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n Bin\Desktop\Report Development\"/>
    </mc:Choice>
  </mc:AlternateContent>
  <bookViews>
    <workbookView xWindow="0" yWindow="0" windowWidth="28395" windowHeight="11205" tabRatio="911" firstSheet="6" activeTab="20"/>
  </bookViews>
  <sheets>
    <sheet name="Cover Page" sheetId="37" r:id="rId1"/>
    <sheet name="F21" sheetId="50" r:id="rId2"/>
    <sheet name="F21S" sheetId="32" r:id="rId3"/>
    <sheet name="F21R" sheetId="47" r:id="rId4"/>
    <sheet name="F22" sheetId="4" r:id="rId5"/>
    <sheet name="F22S" sheetId="5" r:id="rId6"/>
    <sheet name="F23-Div" sheetId="6" r:id="rId7"/>
    <sheet name="F23-Dep" sheetId="7" r:id="rId8"/>
    <sheet name="F23-Sec" sheetId="8" r:id="rId9"/>
    <sheet name="F23-Units" sheetId="45" r:id="rId10"/>
    <sheet name="F24" sheetId="9" r:id="rId11"/>
    <sheet name="F25-Div" sheetId="43" r:id="rId12"/>
    <sheet name="F25-Dep" sheetId="49" r:id="rId13"/>
    <sheet name="F25-Sec" sheetId="44" r:id="rId14"/>
    <sheet name="F25-Units" sheetId="46" r:id="rId15"/>
    <sheet name="F26M" sheetId="53" r:id="rId16"/>
    <sheet name="F26Y" sheetId="52" r:id="rId17"/>
    <sheet name="F30" sheetId="12" r:id="rId18"/>
    <sheet name="F30R" sheetId="48" r:id="rId19"/>
    <sheet name="F31" sheetId="13" r:id="rId20"/>
    <sheet name="F32" sheetId="14" r:id="rId21"/>
    <sheet name="F33" sheetId="15" r:id="rId22"/>
    <sheet name="Formula" sheetId="38" r:id="rId23"/>
    <sheet name="Sheet1" sheetId="42" r:id="rId24"/>
  </sheets>
  <externalReferences>
    <externalReference r:id="rId25"/>
  </externalReferences>
  <definedNames>
    <definedName name="_Fill" localSheetId="0" hidden="1">'[1]3.1.1-BJ1'!#REF!</definedName>
    <definedName name="_Fill" localSheetId="1" hidden="1">'[1]3.1.1-BJ1'!#REF!</definedName>
    <definedName name="_Fill" localSheetId="3" hidden="1">'[1]3.1.1-BJ1'!#REF!</definedName>
    <definedName name="_Fill" localSheetId="2" hidden="1">'[1]3.1.1-BJ1'!#REF!</definedName>
    <definedName name="_Fill" localSheetId="9" hidden="1">'[1]3.1.1-BJ1'!#REF!</definedName>
    <definedName name="_Fill" localSheetId="10" hidden="1">'[1]3.1.1-BJ1'!#REF!</definedName>
    <definedName name="_Fill" localSheetId="12" hidden="1">'[1]3.1.1-BJ1'!#REF!</definedName>
    <definedName name="_Fill" localSheetId="11" hidden="1">'[1]3.1.1-BJ1'!#REF!</definedName>
    <definedName name="_Fill" localSheetId="13" hidden="1">'[1]3.1.1-BJ1'!#REF!</definedName>
    <definedName name="_Fill" localSheetId="14" hidden="1">'[1]3.1.1-BJ1'!#REF!</definedName>
    <definedName name="_Fill" localSheetId="15" hidden="1">'[1]3.1.1-BJ1'!#REF!</definedName>
    <definedName name="_Fill" localSheetId="16" hidden="1">'[1]3.1.1-BJ1'!#REF!</definedName>
    <definedName name="_Fill" localSheetId="18" hidden="1">'[1]3.1.1-BJ1'!#REF!</definedName>
    <definedName name="_Fill" hidden="1">'[1]3.1.1-BJ1'!#REF!</definedName>
    <definedName name="DEPT" localSheetId="0">#REF!</definedName>
    <definedName name="DEPT" localSheetId="1">#REF!</definedName>
    <definedName name="DEPT" localSheetId="3">#REF!</definedName>
    <definedName name="DEPT" localSheetId="9">#REF!</definedName>
    <definedName name="DEPT" localSheetId="12">#REF!</definedName>
    <definedName name="DEPT" localSheetId="14">#REF!</definedName>
    <definedName name="DEPT" localSheetId="15">#REF!</definedName>
    <definedName name="DEPT" localSheetId="16">#REF!</definedName>
    <definedName name="DEPT" localSheetId="18">#REF!</definedName>
    <definedName name="DEPT">#REF!</definedName>
    <definedName name="f" localSheetId="0" hidden="1">'[1]3.1.1-BJ1'!#REF!</definedName>
    <definedName name="f" localSheetId="1" hidden="1">'[1]3.1.1-BJ1'!#REF!</definedName>
    <definedName name="f" localSheetId="3" hidden="1">'[1]3.1.1-BJ1'!#REF!</definedName>
    <definedName name="f" localSheetId="2" hidden="1">'[1]3.1.1-BJ1'!#REF!</definedName>
    <definedName name="f" localSheetId="9" hidden="1">'[1]3.1.1-BJ1'!#REF!</definedName>
    <definedName name="f" localSheetId="10" hidden="1">'[1]3.1.1-BJ1'!#REF!</definedName>
    <definedName name="f" localSheetId="12" hidden="1">'[1]3.1.1-BJ1'!#REF!</definedName>
    <definedName name="f" localSheetId="11" hidden="1">'[1]3.1.1-BJ1'!#REF!</definedName>
    <definedName name="f" localSheetId="13" hidden="1">'[1]3.1.1-BJ1'!#REF!</definedName>
    <definedName name="f" localSheetId="14" hidden="1">'[1]3.1.1-BJ1'!#REF!</definedName>
    <definedName name="f" localSheetId="15" hidden="1">'[1]3.1.1-BJ1'!#REF!</definedName>
    <definedName name="f" localSheetId="16" hidden="1">'[1]3.1.1-BJ1'!#REF!</definedName>
    <definedName name="f" localSheetId="18" hidden="1">'[1]3.1.1-BJ1'!#REF!</definedName>
    <definedName name="f" hidden="1">'[1]3.1.1-BJ1'!#REF!</definedName>
    <definedName name="k" localSheetId="0" hidden="1">'[1]3.1.1-BJ1'!#REF!</definedName>
    <definedName name="k" localSheetId="1" hidden="1">'[1]3.1.1-BJ1'!#REF!</definedName>
    <definedName name="k" localSheetId="3" hidden="1">'[1]3.1.1-BJ1'!#REF!</definedName>
    <definedName name="k" localSheetId="2" hidden="1">'[1]3.1.1-BJ1'!#REF!</definedName>
    <definedName name="k" localSheetId="9" hidden="1">'[1]3.1.1-BJ1'!#REF!</definedName>
    <definedName name="k" localSheetId="10" hidden="1">'[1]3.1.1-BJ1'!#REF!</definedName>
    <definedName name="k" localSheetId="12" hidden="1">'[1]3.1.1-BJ1'!#REF!</definedName>
    <definedName name="k" localSheetId="11" hidden="1">'[1]3.1.1-BJ1'!#REF!</definedName>
    <definedName name="k" localSheetId="13" hidden="1">'[1]3.1.1-BJ1'!#REF!</definedName>
    <definedName name="k" localSheetId="14" hidden="1">'[1]3.1.1-BJ1'!#REF!</definedName>
    <definedName name="k" localSheetId="15" hidden="1">'[1]3.1.1-BJ1'!#REF!</definedName>
    <definedName name="k" localSheetId="16" hidden="1">'[1]3.1.1-BJ1'!#REF!</definedName>
    <definedName name="k" localSheetId="18" hidden="1">'[1]3.1.1-BJ1'!#REF!</definedName>
    <definedName name="k" hidden="1">'[1]3.1.1-BJ1'!#REF!</definedName>
    <definedName name="_xlnm.Print_Area" localSheetId="0">'Cover Page'!$A$1:$H$20</definedName>
    <definedName name="_xlnm.Print_Area" localSheetId="1">'F21'!$A$1:$L$70</definedName>
    <definedName name="_xlnm.Print_Area" localSheetId="3">F21R!$A$1:$L$70</definedName>
    <definedName name="_xlnm.Print_Area" localSheetId="2">F21S!$A$1:$L$70</definedName>
    <definedName name="_xlnm.Print_Area" localSheetId="4">'F22'!$A$1:$R$41</definedName>
    <definedName name="_xlnm.Print_Area" localSheetId="5">F22S!$A$1:$R$41</definedName>
    <definedName name="_xlnm.Print_Area" localSheetId="7">'F23-Dep'!$A$1:$M$69</definedName>
    <definedName name="_xlnm.Print_Area" localSheetId="6">'F23-Div'!$A$1:$M$69</definedName>
    <definedName name="_xlnm.Print_Area" localSheetId="8">'F23-Sec'!$A$1:$M$69</definedName>
    <definedName name="_xlnm.Print_Area" localSheetId="9">'F23-Units'!$A$1:$M$69</definedName>
    <definedName name="_xlnm.Print_Area" localSheetId="10">'F24'!$A$1:$L$59</definedName>
    <definedName name="_xlnm.Print_Area" localSheetId="12">'F25-Dep'!$A$1:$L$58</definedName>
    <definedName name="_xlnm.Print_Area" localSheetId="11">'F25-Div'!$A$1:$L$58</definedName>
    <definedName name="_xlnm.Print_Area" localSheetId="13">'F25-Sec'!$A$1:$L$58</definedName>
    <definedName name="_xlnm.Print_Area" localSheetId="14">'F25-Units'!$A$1:$L$58</definedName>
    <definedName name="_xlnm.Print_Area" localSheetId="16">F26Y!$A$1:$L$66</definedName>
    <definedName name="_xlnm.Print_Area" localSheetId="19">'F31'!$A$1:$R$342</definedName>
    <definedName name="_xlnm.Print_Area" localSheetId="20">'F32'!$A$1:$P$159</definedName>
    <definedName name="_xlnm.Print_Titles" localSheetId="10">'F24'!$1:$3</definedName>
    <definedName name="_xlnm.Print_Titles" localSheetId="12">'F25-Dep'!$1:$3</definedName>
    <definedName name="_xlnm.Print_Titles" localSheetId="11">'F25-Div'!$1:$3</definedName>
    <definedName name="_xlnm.Print_Titles" localSheetId="13">'F25-Sec'!$1:$3</definedName>
    <definedName name="_xlnm.Print_Titles" localSheetId="14">'F25-Units'!$1:$3</definedName>
    <definedName name="_xlnm.Print_Titles" localSheetId="15">F26M!$1:$3</definedName>
    <definedName name="_xlnm.Print_Titles" localSheetId="16">F26Y!$1:$3</definedName>
    <definedName name="_xlnm.Print_Titles" localSheetId="19">'F31'!$1:$3</definedName>
    <definedName name="_xlnm.Print_Titles" localSheetId="20">'F32'!$1:$3</definedName>
    <definedName name="_xlnm.Print_Titles" localSheetId="21">'F33'!$1:$3</definedName>
    <definedName name="trial" localSheetId="0">#REF!</definedName>
    <definedName name="trial" localSheetId="1">#REF!</definedName>
    <definedName name="trial" localSheetId="3">#REF!</definedName>
    <definedName name="trial" localSheetId="2">#REF!</definedName>
    <definedName name="trial" localSheetId="9">#REF!</definedName>
    <definedName name="trial" localSheetId="10">#REF!</definedName>
    <definedName name="trial" localSheetId="12">#REF!</definedName>
    <definedName name="trial" localSheetId="11">#REF!</definedName>
    <definedName name="trial" localSheetId="13">#REF!</definedName>
    <definedName name="trial" localSheetId="14">#REF!</definedName>
    <definedName name="trial" localSheetId="15">#REF!</definedName>
    <definedName name="trial" localSheetId="16">#REF!</definedName>
    <definedName name="trial" localSheetId="18">#REF!</definedName>
    <definedName name="trial">#REF!</definedName>
    <definedName name="TRIALBAL" localSheetId="0">#REF!</definedName>
    <definedName name="TRIALBAL" localSheetId="1">#REF!</definedName>
    <definedName name="TRIALBAL" localSheetId="3">#REF!</definedName>
    <definedName name="TRIALBAL" localSheetId="2">#REF!</definedName>
    <definedName name="TRIALBAL" localSheetId="9">#REF!</definedName>
    <definedName name="TRIALBAL" localSheetId="10">#REF!</definedName>
    <definedName name="TRIALBAL" localSheetId="12">#REF!</definedName>
    <definedName name="TRIALBAL" localSheetId="11">#REF!</definedName>
    <definedName name="TRIALBAL" localSheetId="13">#REF!</definedName>
    <definedName name="TRIALBAL" localSheetId="14">#REF!</definedName>
    <definedName name="TRIALBAL" localSheetId="15">#REF!</definedName>
    <definedName name="TRIALBAL" localSheetId="16">#REF!</definedName>
    <definedName name="TRIALBAL" localSheetId="18">#REF!</definedName>
    <definedName name="TRIALBAL" localSheetId="20">#REF!</definedName>
    <definedName name="TRIALBAL">#REF!</definedName>
  </definedNames>
  <calcPr calcId="152511"/>
</workbook>
</file>

<file path=xl/calcChain.xml><?xml version="1.0" encoding="utf-8"?>
<calcChain xmlns="http://schemas.openxmlformats.org/spreadsheetml/2006/main">
  <c r="C6" i="32" l="1"/>
  <c r="C7" i="32"/>
  <c r="C9" i="32"/>
  <c r="C10" i="32"/>
  <c r="C13" i="32"/>
  <c r="C14" i="32"/>
  <c r="C15" i="32"/>
  <c r="C16" i="32"/>
  <c r="C42" i="52" l="1"/>
  <c r="C46" i="52"/>
  <c r="C23" i="52"/>
  <c r="C24" i="52"/>
  <c r="C25" i="52"/>
  <c r="C26" i="52"/>
  <c r="C27" i="52"/>
  <c r="C28" i="52"/>
  <c r="C22" i="52"/>
  <c r="C63" i="53"/>
  <c r="C63" i="52" s="1"/>
  <c r="C60" i="53"/>
  <c r="C60" i="52" s="1"/>
  <c r="C42" i="53"/>
  <c r="C61" i="53" s="1"/>
  <c r="C61" i="52" s="1"/>
  <c r="C43" i="53"/>
  <c r="C43" i="52" s="1"/>
  <c r="C44" i="53"/>
  <c r="C44" i="52" s="1"/>
  <c r="C45" i="53"/>
  <c r="C64" i="53" s="1"/>
  <c r="C64" i="52" s="1"/>
  <c r="C46" i="53"/>
  <c r="C65" i="53" s="1"/>
  <c r="C65" i="52" s="1"/>
  <c r="C47" i="53"/>
  <c r="C47" i="52" s="1"/>
  <c r="C41" i="53"/>
  <c r="C41" i="52" s="1"/>
  <c r="A61" i="53"/>
  <c r="A62" i="53" s="1"/>
  <c r="A63" i="53" s="1"/>
  <c r="A64" i="53" s="1"/>
  <c r="A65" i="53" s="1"/>
  <c r="A66" i="53" s="1"/>
  <c r="A52" i="53"/>
  <c r="A53" i="53" s="1"/>
  <c r="A54" i="53" s="1"/>
  <c r="A55" i="53" s="1"/>
  <c r="A56" i="53" s="1"/>
  <c r="A57" i="53" s="1"/>
  <c r="A58" i="53" s="1"/>
  <c r="A42" i="53"/>
  <c r="A43" i="53" s="1"/>
  <c r="A44" i="53" s="1"/>
  <c r="A45" i="53" s="1"/>
  <c r="A46" i="53" s="1"/>
  <c r="A47" i="53" s="1"/>
  <c r="A33" i="53"/>
  <c r="A34" i="53" s="1"/>
  <c r="A35" i="53" s="1"/>
  <c r="A36" i="53" s="1"/>
  <c r="A37" i="53" s="1"/>
  <c r="A38" i="53" s="1"/>
  <c r="A39" i="53" s="1"/>
  <c r="A23" i="53"/>
  <c r="A24" i="53" s="1"/>
  <c r="A25" i="53" s="1"/>
  <c r="A26" i="53" s="1"/>
  <c r="A27" i="53" s="1"/>
  <c r="A28" i="53" s="1"/>
  <c r="A14" i="53"/>
  <c r="A15" i="53" s="1"/>
  <c r="A16" i="53" s="1"/>
  <c r="A17" i="53" s="1"/>
  <c r="A18" i="53" s="1"/>
  <c r="A19" i="53" s="1"/>
  <c r="A20" i="53" s="1"/>
  <c r="A6" i="53"/>
  <c r="A7" i="53" s="1"/>
  <c r="I1" i="53"/>
  <c r="A62" i="52"/>
  <c r="A63" i="52" s="1"/>
  <c r="A64" i="52" s="1"/>
  <c r="A65" i="52" s="1"/>
  <c r="A66" i="52" s="1"/>
  <c r="A61" i="52"/>
  <c r="A53" i="52"/>
  <c r="A54" i="52" s="1"/>
  <c r="A55" i="52" s="1"/>
  <c r="A56" i="52" s="1"/>
  <c r="A57" i="52" s="1"/>
  <c r="A58" i="52" s="1"/>
  <c r="A52" i="52"/>
  <c r="A45" i="52"/>
  <c r="A46" i="52" s="1"/>
  <c r="A47" i="52" s="1"/>
  <c r="A44" i="52"/>
  <c r="A43" i="52"/>
  <c r="A42" i="52"/>
  <c r="A35" i="52"/>
  <c r="A36" i="52" s="1"/>
  <c r="A37" i="52" s="1"/>
  <c r="A38" i="52" s="1"/>
  <c r="A39" i="52" s="1"/>
  <c r="A34" i="52"/>
  <c r="A33" i="52"/>
  <c r="A26" i="52"/>
  <c r="A27" i="52" s="1"/>
  <c r="A28" i="52" s="1"/>
  <c r="A25" i="52"/>
  <c r="A24" i="52"/>
  <c r="A23" i="52"/>
  <c r="A17" i="52"/>
  <c r="A18" i="52" s="1"/>
  <c r="A19" i="52" s="1"/>
  <c r="A20" i="52" s="1"/>
  <c r="A16" i="52"/>
  <c r="A15" i="52"/>
  <c r="A14" i="52"/>
  <c r="A7" i="52"/>
  <c r="A6" i="52"/>
  <c r="I1" i="52"/>
  <c r="B47" i="49"/>
  <c r="B47" i="44" s="1"/>
  <c r="B47" i="46" s="1"/>
  <c r="B51" i="49"/>
  <c r="B51" i="44" s="1"/>
  <c r="B51" i="46" s="1"/>
  <c r="B55" i="49"/>
  <c r="B55" i="44" s="1"/>
  <c r="B55" i="46" s="1"/>
  <c r="B6" i="43"/>
  <c r="B7" i="43"/>
  <c r="B8" i="43"/>
  <c r="B9" i="43"/>
  <c r="B10" i="43"/>
  <c r="B10" i="49" s="1"/>
  <c r="B11" i="43"/>
  <c r="B11" i="49" s="1"/>
  <c r="B12" i="43"/>
  <c r="B12" i="49" s="1"/>
  <c r="B13" i="43"/>
  <c r="B13" i="49" s="1"/>
  <c r="B14" i="43"/>
  <c r="B14" i="49" s="1"/>
  <c r="B15" i="43"/>
  <c r="B15" i="49" s="1"/>
  <c r="B16" i="43"/>
  <c r="B16" i="49" s="1"/>
  <c r="B17" i="43"/>
  <c r="B17" i="49" s="1"/>
  <c r="B18" i="43"/>
  <c r="B18" i="49" s="1"/>
  <c r="B19" i="43"/>
  <c r="B19" i="49" s="1"/>
  <c r="B20" i="43"/>
  <c r="B20" i="49" s="1"/>
  <c r="B21" i="43"/>
  <c r="B21" i="49" s="1"/>
  <c r="B22" i="43"/>
  <c r="B22" i="49" s="1"/>
  <c r="B23" i="43"/>
  <c r="B23" i="49" s="1"/>
  <c r="B24" i="43"/>
  <c r="B24" i="49" s="1"/>
  <c r="B25" i="43"/>
  <c r="B25" i="49" s="1"/>
  <c r="B26" i="43"/>
  <c r="B26" i="49" s="1"/>
  <c r="B27" i="43"/>
  <c r="B27" i="49" s="1"/>
  <c r="B28" i="43"/>
  <c r="B28" i="49" s="1"/>
  <c r="B29" i="43"/>
  <c r="B29" i="49" s="1"/>
  <c r="B30" i="43"/>
  <c r="B30" i="49" s="1"/>
  <c r="B31" i="43"/>
  <c r="B31" i="49" s="1"/>
  <c r="B32" i="43"/>
  <c r="B32" i="49" s="1"/>
  <c r="B33" i="43"/>
  <c r="B33" i="49" s="1"/>
  <c r="B34" i="43"/>
  <c r="B34" i="49" s="1"/>
  <c r="B34" i="44" s="1"/>
  <c r="B34" i="46" s="1"/>
  <c r="B35" i="43"/>
  <c r="B35" i="49" s="1"/>
  <c r="B35" i="44" s="1"/>
  <c r="B35" i="46" s="1"/>
  <c r="B36" i="43"/>
  <c r="B36" i="49" s="1"/>
  <c r="B36" i="44" s="1"/>
  <c r="B36" i="46" s="1"/>
  <c r="B37" i="43"/>
  <c r="B37" i="49" s="1"/>
  <c r="B37" i="44" s="1"/>
  <c r="B37" i="46" s="1"/>
  <c r="B38" i="43"/>
  <c r="B38" i="49" s="1"/>
  <c r="B38" i="44" s="1"/>
  <c r="B38" i="46" s="1"/>
  <c r="B39" i="43"/>
  <c r="B39" i="49" s="1"/>
  <c r="B39" i="44" s="1"/>
  <c r="B39" i="46" s="1"/>
  <c r="B40" i="43"/>
  <c r="B40" i="49" s="1"/>
  <c r="B40" i="44" s="1"/>
  <c r="B40" i="46" s="1"/>
  <c r="B41" i="43"/>
  <c r="B41" i="49" s="1"/>
  <c r="B41" i="44" s="1"/>
  <c r="B41" i="46" s="1"/>
  <c r="B42" i="43"/>
  <c r="B42" i="49" s="1"/>
  <c r="B42" i="44" s="1"/>
  <c r="B42" i="46" s="1"/>
  <c r="B43" i="43"/>
  <c r="B43" i="49" s="1"/>
  <c r="B43" i="44" s="1"/>
  <c r="B43" i="46" s="1"/>
  <c r="B44" i="43"/>
  <c r="B44" i="49" s="1"/>
  <c r="B44" i="44" s="1"/>
  <c r="B44" i="46" s="1"/>
  <c r="B45" i="43"/>
  <c r="B45" i="49" s="1"/>
  <c r="B45" i="44" s="1"/>
  <c r="B45" i="46" s="1"/>
  <c r="B46" i="43"/>
  <c r="B46" i="49" s="1"/>
  <c r="B46" i="44" s="1"/>
  <c r="B46" i="46" s="1"/>
  <c r="B47" i="43"/>
  <c r="B48" i="43"/>
  <c r="B48" i="49" s="1"/>
  <c r="B48" i="44" s="1"/>
  <c r="B48" i="46" s="1"/>
  <c r="B49" i="43"/>
  <c r="B49" i="49" s="1"/>
  <c r="B49" i="44" s="1"/>
  <c r="B49" i="46" s="1"/>
  <c r="B50" i="43"/>
  <c r="B50" i="49" s="1"/>
  <c r="B50" i="44" s="1"/>
  <c r="B50" i="46" s="1"/>
  <c r="B51" i="43"/>
  <c r="B52" i="43"/>
  <c r="B52" i="49" s="1"/>
  <c r="B52" i="44" s="1"/>
  <c r="B52" i="46" s="1"/>
  <c r="B53" i="43"/>
  <c r="B53" i="49" s="1"/>
  <c r="B53" i="44" s="1"/>
  <c r="B53" i="46" s="1"/>
  <c r="B54" i="43"/>
  <c r="B54" i="49" s="1"/>
  <c r="B54" i="44" s="1"/>
  <c r="B54" i="46" s="1"/>
  <c r="B55" i="43"/>
  <c r="B56" i="43"/>
  <c r="B56" i="49" s="1"/>
  <c r="B56" i="44" s="1"/>
  <c r="B56" i="46" s="1"/>
  <c r="B57" i="43"/>
  <c r="B57" i="49" s="1"/>
  <c r="B57" i="44" s="1"/>
  <c r="B57" i="46" s="1"/>
  <c r="B58" i="43"/>
  <c r="B58" i="49" s="1"/>
  <c r="B58" i="44" s="1"/>
  <c r="B58" i="46" s="1"/>
  <c r="C66" i="53" l="1"/>
  <c r="C66" i="52" s="1"/>
  <c r="C62" i="53"/>
  <c r="C62" i="52" s="1"/>
  <c r="C45" i="52"/>
  <c r="C6" i="48"/>
  <c r="C7" i="48"/>
  <c r="C8" i="48"/>
  <c r="C9" i="48"/>
  <c r="C10" i="48"/>
  <c r="C11" i="48"/>
  <c r="C12" i="48"/>
  <c r="C13" i="48"/>
  <c r="C14" i="48"/>
  <c r="C15" i="48"/>
  <c r="C16" i="48"/>
  <c r="C17" i="48"/>
  <c r="C18" i="48"/>
  <c r="C19" i="48"/>
  <c r="C20" i="48"/>
  <c r="C21" i="48"/>
  <c r="C22" i="48"/>
  <c r="C23" i="48"/>
  <c r="C24" i="48"/>
  <c r="C25" i="48"/>
  <c r="C26" i="48"/>
  <c r="C27" i="48"/>
  <c r="C28" i="48"/>
  <c r="C29" i="48"/>
  <c r="C30" i="48"/>
  <c r="C31" i="48"/>
  <c r="C32" i="48"/>
  <c r="C33" i="48"/>
  <c r="C34" i="48"/>
  <c r="C35" i="48"/>
  <c r="C36" i="48"/>
  <c r="C37" i="48"/>
  <c r="C38" i="48"/>
  <c r="C39" i="48"/>
  <c r="C40" i="48"/>
  <c r="C41" i="48"/>
  <c r="C42" i="48"/>
  <c r="C43" i="48"/>
  <c r="C44" i="48"/>
  <c r="C45" i="48"/>
  <c r="C46" i="48"/>
  <c r="C47" i="48"/>
  <c r="C48" i="48"/>
  <c r="C49" i="48"/>
  <c r="C50" i="48"/>
  <c r="C51" i="48"/>
  <c r="C52" i="48"/>
  <c r="C53" i="48"/>
  <c r="C54" i="48"/>
  <c r="C55" i="48"/>
  <c r="C56" i="48"/>
  <c r="C57" i="48"/>
  <c r="C58" i="48"/>
  <c r="C59" i="48"/>
  <c r="C60" i="48"/>
  <c r="C61" i="48"/>
  <c r="C62" i="48"/>
  <c r="C63" i="48"/>
  <c r="C64" i="48"/>
  <c r="C66" i="48"/>
  <c r="C67" i="48"/>
  <c r="C68" i="48"/>
  <c r="C69" i="48"/>
  <c r="C70" i="48"/>
  <c r="C71" i="48"/>
  <c r="C72" i="48"/>
  <c r="C73" i="48"/>
  <c r="C5" i="48"/>
  <c r="C10" i="49" l="1"/>
  <c r="C10" i="44" s="1"/>
  <c r="C10" i="46" s="1"/>
  <c r="C20" i="49"/>
  <c r="C20" i="44" s="1"/>
  <c r="C20" i="46" s="1"/>
  <c r="C22" i="49"/>
  <c r="C22" i="44" s="1"/>
  <c r="C22" i="46" s="1"/>
  <c r="C36" i="49"/>
  <c r="C36" i="44" s="1"/>
  <c r="C36" i="46" s="1"/>
  <c r="C46" i="49"/>
  <c r="C46" i="44" s="1"/>
  <c r="C46" i="46" s="1"/>
  <c r="C57" i="49"/>
  <c r="C57" i="44" s="1"/>
  <c r="C57" i="46" s="1"/>
  <c r="C58" i="49"/>
  <c r="C58" i="44" s="1"/>
  <c r="C58" i="46" s="1"/>
  <c r="C7" i="43"/>
  <c r="C7" i="49" s="1"/>
  <c r="C7" i="44" s="1"/>
  <c r="C7" i="46" s="1"/>
  <c r="C8" i="43"/>
  <c r="C8" i="49" s="1"/>
  <c r="C8" i="44" s="1"/>
  <c r="C8" i="46" s="1"/>
  <c r="C9" i="43"/>
  <c r="C9" i="49" s="1"/>
  <c r="C9" i="44" s="1"/>
  <c r="C9" i="46" s="1"/>
  <c r="C11" i="43"/>
  <c r="C11" i="49" s="1"/>
  <c r="C11" i="44" s="1"/>
  <c r="C11" i="46" s="1"/>
  <c r="C12" i="43"/>
  <c r="C12" i="49" s="1"/>
  <c r="C12" i="44" s="1"/>
  <c r="C12" i="46" s="1"/>
  <c r="C13" i="43"/>
  <c r="C13" i="49" s="1"/>
  <c r="C13" i="44" s="1"/>
  <c r="C13" i="46" s="1"/>
  <c r="C14" i="43"/>
  <c r="C14" i="49" s="1"/>
  <c r="C14" i="44" s="1"/>
  <c r="C14" i="46" s="1"/>
  <c r="C15" i="43"/>
  <c r="C15" i="49" s="1"/>
  <c r="C15" i="44" s="1"/>
  <c r="C15" i="46" s="1"/>
  <c r="C16" i="43"/>
  <c r="C16" i="49" s="1"/>
  <c r="C16" i="44" s="1"/>
  <c r="C16" i="46" s="1"/>
  <c r="C17" i="43"/>
  <c r="C17" i="49" s="1"/>
  <c r="C17" i="44" s="1"/>
  <c r="C17" i="46" s="1"/>
  <c r="C18" i="43"/>
  <c r="C18" i="49" s="1"/>
  <c r="C18" i="44" s="1"/>
  <c r="C18" i="46" s="1"/>
  <c r="C19" i="43"/>
  <c r="C19" i="49" s="1"/>
  <c r="C19" i="44" s="1"/>
  <c r="C19" i="46" s="1"/>
  <c r="C21" i="43"/>
  <c r="C21" i="49" s="1"/>
  <c r="C21" i="44" s="1"/>
  <c r="C21" i="46" s="1"/>
  <c r="C23" i="43"/>
  <c r="C23" i="49" s="1"/>
  <c r="C23" i="44" s="1"/>
  <c r="C23" i="46" s="1"/>
  <c r="C24" i="43"/>
  <c r="C24" i="49" s="1"/>
  <c r="C24" i="44" s="1"/>
  <c r="C24" i="46" s="1"/>
  <c r="C25" i="43"/>
  <c r="C25" i="49" s="1"/>
  <c r="C25" i="44" s="1"/>
  <c r="C25" i="46" s="1"/>
  <c r="C26" i="43"/>
  <c r="C26" i="49" s="1"/>
  <c r="C26" i="44" s="1"/>
  <c r="C26" i="46" s="1"/>
  <c r="C27" i="43"/>
  <c r="C27" i="49" s="1"/>
  <c r="C27" i="44" s="1"/>
  <c r="C27" i="46" s="1"/>
  <c r="C28" i="43"/>
  <c r="C28" i="49" s="1"/>
  <c r="C28" i="44" s="1"/>
  <c r="C28" i="46" s="1"/>
  <c r="C29" i="43"/>
  <c r="C29" i="49" s="1"/>
  <c r="C29" i="44" s="1"/>
  <c r="C29" i="46" s="1"/>
  <c r="C30" i="43"/>
  <c r="C30" i="49" s="1"/>
  <c r="C30" i="44" s="1"/>
  <c r="C30" i="46" s="1"/>
  <c r="C31" i="43"/>
  <c r="C31" i="49" s="1"/>
  <c r="C31" i="44" s="1"/>
  <c r="C31" i="46" s="1"/>
  <c r="C32" i="43"/>
  <c r="C32" i="49" s="1"/>
  <c r="C32" i="44" s="1"/>
  <c r="C32" i="46" s="1"/>
  <c r="C33" i="43"/>
  <c r="C33" i="49" s="1"/>
  <c r="C33" i="44" s="1"/>
  <c r="C33" i="46" s="1"/>
  <c r="C37" i="43"/>
  <c r="C37" i="49" s="1"/>
  <c r="C37" i="44" s="1"/>
  <c r="C37" i="46" s="1"/>
  <c r="C38" i="43"/>
  <c r="C38" i="49" s="1"/>
  <c r="C38" i="44" s="1"/>
  <c r="C38" i="46" s="1"/>
  <c r="C39" i="43"/>
  <c r="C39" i="49" s="1"/>
  <c r="C39" i="44" s="1"/>
  <c r="C39" i="46" s="1"/>
  <c r="C40" i="43"/>
  <c r="C40" i="49" s="1"/>
  <c r="C40" i="44" s="1"/>
  <c r="C40" i="46" s="1"/>
  <c r="C41" i="43"/>
  <c r="C41" i="49" s="1"/>
  <c r="C41" i="44" s="1"/>
  <c r="C41" i="46" s="1"/>
  <c r="C42" i="43"/>
  <c r="C42" i="49" s="1"/>
  <c r="C42" i="44" s="1"/>
  <c r="C42" i="46" s="1"/>
  <c r="C47" i="43"/>
  <c r="C47" i="49" s="1"/>
  <c r="C47" i="44" s="1"/>
  <c r="C47" i="46" s="1"/>
  <c r="C48" i="43"/>
  <c r="C48" i="49" s="1"/>
  <c r="C48" i="44" s="1"/>
  <c r="C48" i="46" s="1"/>
  <c r="C49" i="43"/>
  <c r="C49" i="49" s="1"/>
  <c r="C49" i="44" s="1"/>
  <c r="C49" i="46" s="1"/>
  <c r="C50" i="43"/>
  <c r="C50" i="49" s="1"/>
  <c r="C50" i="44" s="1"/>
  <c r="C50" i="46" s="1"/>
  <c r="C51" i="43"/>
  <c r="C51" i="49" s="1"/>
  <c r="C51" i="44" s="1"/>
  <c r="C51" i="46" s="1"/>
  <c r="C52" i="43"/>
  <c r="C52" i="49" s="1"/>
  <c r="C52" i="44" s="1"/>
  <c r="C52" i="46" s="1"/>
  <c r="C53" i="43"/>
  <c r="C53" i="49" s="1"/>
  <c r="C53" i="44" s="1"/>
  <c r="C53" i="46" s="1"/>
  <c r="C54" i="43"/>
  <c r="C54" i="49" s="1"/>
  <c r="C54" i="44" s="1"/>
  <c r="C54" i="46" s="1"/>
  <c r="C6" i="43"/>
  <c r="C6" i="49" s="1"/>
  <c r="C6" i="44" s="1"/>
  <c r="C6" i="46" s="1"/>
  <c r="C10" i="8"/>
  <c r="C10" i="45" s="1"/>
  <c r="C46" i="8"/>
  <c r="C46" i="45" s="1"/>
  <c r="C55" i="8"/>
  <c r="C55" i="45" s="1"/>
  <c r="C7" i="7"/>
  <c r="C7" i="8" s="1"/>
  <c r="C7" i="45" s="1"/>
  <c r="C10" i="7"/>
  <c r="C11" i="7"/>
  <c r="C11" i="8" s="1"/>
  <c r="C11" i="45" s="1"/>
  <c r="C16" i="7"/>
  <c r="C16" i="8" s="1"/>
  <c r="C16" i="45" s="1"/>
  <c r="C27" i="7"/>
  <c r="C27" i="8" s="1"/>
  <c r="C27" i="45" s="1"/>
  <c r="C39" i="7"/>
  <c r="C39" i="8" s="1"/>
  <c r="C39" i="45" s="1"/>
  <c r="C46" i="7"/>
  <c r="C47" i="7"/>
  <c r="C47" i="8" s="1"/>
  <c r="C47" i="45" s="1"/>
  <c r="C48" i="7"/>
  <c r="C48" i="8" s="1"/>
  <c r="C48" i="45" s="1"/>
  <c r="C55" i="7"/>
  <c r="C56" i="7"/>
  <c r="C56" i="8" s="1"/>
  <c r="C56" i="45" s="1"/>
  <c r="C58" i="7"/>
  <c r="C58" i="8" s="1"/>
  <c r="C58" i="45" s="1"/>
  <c r="C7" i="5"/>
  <c r="C10" i="5"/>
  <c r="C11" i="5"/>
  <c r="C16" i="5"/>
  <c r="C17" i="5"/>
  <c r="C18" i="5"/>
  <c r="C19" i="5"/>
  <c r="C20" i="5"/>
  <c r="C69" i="32"/>
  <c r="C69" i="47" s="1"/>
  <c r="C70" i="32"/>
  <c r="C68" i="6" l="1"/>
  <c r="C68" i="7" s="1"/>
  <c r="C68" i="8" s="1"/>
  <c r="C68" i="45" s="1"/>
  <c r="C40" i="4"/>
  <c r="C40" i="5" s="1"/>
  <c r="A3" i="49"/>
  <c r="A3" i="44" s="1"/>
  <c r="A3" i="46" s="1"/>
  <c r="B17" i="44" l="1"/>
  <c r="B17" i="46" s="1"/>
  <c r="B18" i="44"/>
  <c r="B18" i="46" s="1"/>
  <c r="B19" i="44"/>
  <c r="B19" i="46" s="1"/>
  <c r="B20" i="44"/>
  <c r="B20" i="46" s="1"/>
  <c r="B21" i="44"/>
  <c r="B21" i="46" s="1"/>
  <c r="B22" i="44"/>
  <c r="B22" i="46" s="1"/>
  <c r="B23" i="44"/>
  <c r="B23" i="46" s="1"/>
  <c r="B24" i="44"/>
  <c r="B24" i="46" s="1"/>
  <c r="B25" i="44"/>
  <c r="B25" i="46" s="1"/>
  <c r="B26" i="44"/>
  <c r="B26" i="46" s="1"/>
  <c r="B27" i="44"/>
  <c r="B27" i="46" s="1"/>
  <c r="B28" i="44"/>
  <c r="B28" i="46" s="1"/>
  <c r="B29" i="44"/>
  <c r="B29" i="46" s="1"/>
  <c r="B30" i="44"/>
  <c r="B30" i="46" s="1"/>
  <c r="B31" i="44"/>
  <c r="B31" i="46" s="1"/>
  <c r="B32" i="44"/>
  <c r="B32" i="46" s="1"/>
  <c r="B33" i="44"/>
  <c r="B33" i="46" s="1"/>
  <c r="B5" i="43"/>
  <c r="B5" i="49" s="1"/>
  <c r="B5" i="44" s="1"/>
  <c r="B5" i="46" s="1"/>
  <c r="B6" i="49"/>
  <c r="B6" i="44" s="1"/>
  <c r="B6" i="46" s="1"/>
  <c r="B7" i="49"/>
  <c r="B7" i="44" s="1"/>
  <c r="B7" i="46" s="1"/>
  <c r="B8" i="49"/>
  <c r="B8" i="44" s="1"/>
  <c r="B8" i="46" s="1"/>
  <c r="B9" i="49"/>
  <c r="B9" i="44" s="1"/>
  <c r="B9" i="46" s="1"/>
  <c r="B10" i="44"/>
  <c r="B10" i="46" s="1"/>
  <c r="B11" i="44"/>
  <c r="B11" i="46" s="1"/>
  <c r="B12" i="44"/>
  <c r="B12" i="46" s="1"/>
  <c r="B13" i="44"/>
  <c r="B13" i="46" s="1"/>
  <c r="B14" i="44"/>
  <c r="B14" i="46" s="1"/>
  <c r="B15" i="44"/>
  <c r="B15" i="46" s="1"/>
  <c r="B16" i="44"/>
  <c r="B16" i="46" s="1"/>
  <c r="B60" i="7" l="1"/>
  <c r="B60" i="8" s="1"/>
  <c r="B60" i="45" s="1"/>
  <c r="B61" i="7"/>
  <c r="B61" i="8" s="1"/>
  <c r="B61" i="45" s="1"/>
  <c r="B62" i="7"/>
  <c r="B62" i="8" s="1"/>
  <c r="B62" i="45" s="1"/>
  <c r="B63" i="7"/>
  <c r="B63" i="8" s="1"/>
  <c r="B63" i="45" s="1"/>
  <c r="B64" i="7"/>
  <c r="B64" i="8" s="1"/>
  <c r="B64" i="45" s="1"/>
  <c r="B65" i="7"/>
  <c r="B65" i="8" s="1"/>
  <c r="B65" i="45" s="1"/>
  <c r="B66" i="7"/>
  <c r="B66" i="8" s="1"/>
  <c r="B66" i="45" s="1"/>
  <c r="B67" i="7"/>
  <c r="B67" i="8" s="1"/>
  <c r="B67" i="45" s="1"/>
  <c r="B68" i="7"/>
  <c r="B68" i="8" s="1"/>
  <c r="B68" i="45" s="1"/>
  <c r="B69" i="7"/>
  <c r="B69" i="8" s="1"/>
  <c r="B69" i="45" s="1"/>
  <c r="B69" i="47"/>
  <c r="B70" i="47"/>
  <c r="B69" i="32"/>
  <c r="B70" i="32"/>
  <c r="B17" i="5"/>
  <c r="B18" i="5"/>
  <c r="B19" i="5"/>
  <c r="B32" i="5"/>
  <c r="B33" i="5"/>
  <c r="B34" i="5"/>
  <c r="B35" i="5"/>
  <c r="B36" i="5"/>
  <c r="B37" i="5"/>
  <c r="B38" i="5"/>
  <c r="B39" i="5"/>
  <c r="B40" i="5"/>
  <c r="B41" i="5"/>
  <c r="B37" i="47" l="1"/>
  <c r="B36" i="6" s="1"/>
  <c r="B36" i="7" s="1"/>
  <c r="B36" i="8" s="1"/>
  <c r="B36" i="45" s="1"/>
  <c r="C7" i="47"/>
  <c r="C8" i="32"/>
  <c r="C8" i="47" s="1"/>
  <c r="C9" i="47"/>
  <c r="C10" i="47"/>
  <c r="C11" i="32"/>
  <c r="C11" i="47" s="1"/>
  <c r="C12" i="32"/>
  <c r="C12" i="47" s="1"/>
  <c r="C13" i="47"/>
  <c r="C14" i="47"/>
  <c r="C15" i="47"/>
  <c r="C16" i="47"/>
  <c r="C17" i="32"/>
  <c r="C17" i="47" s="1"/>
  <c r="C18" i="32"/>
  <c r="C18" i="47" s="1"/>
  <c r="C17" i="6" s="1"/>
  <c r="C17" i="7" s="1"/>
  <c r="C17" i="8" s="1"/>
  <c r="C17" i="45" s="1"/>
  <c r="C19" i="32"/>
  <c r="C19" i="47" s="1"/>
  <c r="C18" i="6" s="1"/>
  <c r="C18" i="7" s="1"/>
  <c r="C18" i="8" s="1"/>
  <c r="C18" i="45" s="1"/>
  <c r="C20" i="32"/>
  <c r="C20" i="47" s="1"/>
  <c r="C19" i="6" s="1"/>
  <c r="C19" i="7" s="1"/>
  <c r="C19" i="8" s="1"/>
  <c r="C19" i="45" s="1"/>
  <c r="C21" i="32"/>
  <c r="C21" i="47" s="1"/>
  <c r="C20" i="6" s="1"/>
  <c r="C20" i="7" s="1"/>
  <c r="C20" i="8" s="1"/>
  <c r="C20" i="45" s="1"/>
  <c r="C22" i="32"/>
  <c r="C22" i="47" s="1"/>
  <c r="C21" i="6" s="1"/>
  <c r="C21" i="7" s="1"/>
  <c r="C21" i="8" s="1"/>
  <c r="C21" i="45" s="1"/>
  <c r="C23" i="32"/>
  <c r="C23" i="47" s="1"/>
  <c r="C22" i="6" s="1"/>
  <c r="C22" i="7" s="1"/>
  <c r="C22" i="8" s="1"/>
  <c r="C22" i="45" s="1"/>
  <c r="C24" i="32"/>
  <c r="C24" i="47" s="1"/>
  <c r="C23" i="6" s="1"/>
  <c r="C23" i="7" s="1"/>
  <c r="C23" i="8" s="1"/>
  <c r="C23" i="45" s="1"/>
  <c r="C25" i="32"/>
  <c r="C25" i="47" s="1"/>
  <c r="C24" i="6" s="1"/>
  <c r="C24" i="7" s="1"/>
  <c r="C24" i="8" s="1"/>
  <c r="C24" i="45" s="1"/>
  <c r="C26" i="32"/>
  <c r="C26" i="47" s="1"/>
  <c r="C25" i="6" s="1"/>
  <c r="C25" i="7" s="1"/>
  <c r="C25" i="8" s="1"/>
  <c r="C25" i="45" s="1"/>
  <c r="C27" i="32"/>
  <c r="C27" i="47" s="1"/>
  <c r="C26" i="6" s="1"/>
  <c r="C26" i="7" s="1"/>
  <c r="C26" i="8" s="1"/>
  <c r="C26" i="45" s="1"/>
  <c r="C28" i="32"/>
  <c r="C28" i="47" s="1"/>
  <c r="C29" i="32"/>
  <c r="C29" i="47" s="1"/>
  <c r="C28" i="6" s="1"/>
  <c r="C28" i="7" s="1"/>
  <c r="C28" i="8" s="1"/>
  <c r="C28" i="45" s="1"/>
  <c r="C30" i="32"/>
  <c r="C30" i="47" s="1"/>
  <c r="C29" i="6" s="1"/>
  <c r="C29" i="7" s="1"/>
  <c r="C29" i="8" s="1"/>
  <c r="C29" i="45" s="1"/>
  <c r="C31" i="32"/>
  <c r="C31" i="47" s="1"/>
  <c r="C30" i="6" s="1"/>
  <c r="C30" i="7" s="1"/>
  <c r="C30" i="8" s="1"/>
  <c r="C30" i="45" s="1"/>
  <c r="C32" i="32"/>
  <c r="C32" i="47" s="1"/>
  <c r="C31" i="6" s="1"/>
  <c r="C31" i="7" s="1"/>
  <c r="C31" i="8" s="1"/>
  <c r="C31" i="45" s="1"/>
  <c r="C33" i="32"/>
  <c r="C33" i="47" s="1"/>
  <c r="C32" i="6" s="1"/>
  <c r="C32" i="7" s="1"/>
  <c r="C32" i="8" s="1"/>
  <c r="C32" i="45" s="1"/>
  <c r="C34" i="32"/>
  <c r="C34" i="47" s="1"/>
  <c r="C33" i="6" s="1"/>
  <c r="C33" i="7" s="1"/>
  <c r="C33" i="8" s="1"/>
  <c r="C33" i="45" s="1"/>
  <c r="C35" i="32"/>
  <c r="C35" i="47" s="1"/>
  <c r="C34" i="6" s="1"/>
  <c r="C34" i="7" s="1"/>
  <c r="C34" i="8" s="1"/>
  <c r="C34" i="45" s="1"/>
  <c r="C36" i="32"/>
  <c r="C36" i="47" s="1"/>
  <c r="C35" i="6" s="1"/>
  <c r="C35" i="7" s="1"/>
  <c r="C35" i="8" s="1"/>
  <c r="C35" i="45" s="1"/>
  <c r="C37" i="32"/>
  <c r="C37" i="47" s="1"/>
  <c r="C36" i="6" s="1"/>
  <c r="C36" i="7" s="1"/>
  <c r="C36" i="8" s="1"/>
  <c r="C36" i="45" s="1"/>
  <c r="C38" i="32"/>
  <c r="C38" i="47" s="1"/>
  <c r="C37" i="6" s="1"/>
  <c r="C37" i="7" s="1"/>
  <c r="C37" i="8" s="1"/>
  <c r="C37" i="45" s="1"/>
  <c r="C39" i="32"/>
  <c r="C39" i="47" s="1"/>
  <c r="C38" i="6" s="1"/>
  <c r="C38" i="7" s="1"/>
  <c r="C38" i="8" s="1"/>
  <c r="C38" i="45" s="1"/>
  <c r="C40" i="32"/>
  <c r="C40" i="47" s="1"/>
  <c r="C41" i="32"/>
  <c r="C41" i="47" s="1"/>
  <c r="C40" i="6" s="1"/>
  <c r="C40" i="7" s="1"/>
  <c r="C40" i="8" s="1"/>
  <c r="C40" i="45" s="1"/>
  <c r="C42" i="32"/>
  <c r="C42" i="47" s="1"/>
  <c r="C41" i="6" s="1"/>
  <c r="C41" i="7" s="1"/>
  <c r="C41" i="8" s="1"/>
  <c r="C41" i="45" s="1"/>
  <c r="C43" i="32"/>
  <c r="C43" i="47" s="1"/>
  <c r="C42" i="6" s="1"/>
  <c r="C42" i="7" s="1"/>
  <c r="C42" i="8" s="1"/>
  <c r="C42" i="45" s="1"/>
  <c r="C44" i="32"/>
  <c r="C44" i="47" s="1"/>
  <c r="C43" i="6" s="1"/>
  <c r="C43" i="7" s="1"/>
  <c r="C43" i="8" s="1"/>
  <c r="C43" i="45" s="1"/>
  <c r="C45" i="32"/>
  <c r="C45" i="47" s="1"/>
  <c r="C44" i="6" s="1"/>
  <c r="C44" i="7" s="1"/>
  <c r="C44" i="8" s="1"/>
  <c r="C44" i="45" s="1"/>
  <c r="C46" i="32"/>
  <c r="C46" i="47" s="1"/>
  <c r="C45" i="6" s="1"/>
  <c r="C45" i="7" s="1"/>
  <c r="C45" i="8" s="1"/>
  <c r="C45" i="45" s="1"/>
  <c r="C47" i="32"/>
  <c r="C47" i="47" s="1"/>
  <c r="C48" i="32"/>
  <c r="C48" i="47" s="1"/>
  <c r="C49" i="32"/>
  <c r="C49" i="47" s="1"/>
  <c r="C50" i="32"/>
  <c r="C50" i="47" s="1"/>
  <c r="C51" i="32"/>
  <c r="C51" i="47" s="1"/>
  <c r="C52" i="32"/>
  <c r="C52" i="47" s="1"/>
  <c r="C53" i="32"/>
  <c r="C53" i="47" s="1"/>
  <c r="C54" i="32"/>
  <c r="C54" i="47" s="1"/>
  <c r="C55" i="32"/>
  <c r="C55" i="47" s="1"/>
  <c r="C56" i="32"/>
  <c r="C56" i="47" s="1"/>
  <c r="C27" i="4" s="1"/>
  <c r="C27" i="5" s="1"/>
  <c r="C57" i="32"/>
  <c r="C57" i="47" s="1"/>
  <c r="C28" i="4" s="1"/>
  <c r="C28" i="5" s="1"/>
  <c r="C58" i="32"/>
  <c r="C58" i="47" s="1"/>
  <c r="C59" i="32"/>
  <c r="C59" i="47" s="1"/>
  <c r="C30" i="4" s="1"/>
  <c r="C30" i="5" s="1"/>
  <c r="C60" i="32"/>
  <c r="C60" i="47" s="1"/>
  <c r="C62" i="32"/>
  <c r="C62" i="47" s="1"/>
  <c r="C63" i="32"/>
  <c r="C63" i="47" s="1"/>
  <c r="C64" i="32"/>
  <c r="C64" i="47" s="1"/>
  <c r="C65" i="32"/>
  <c r="C65" i="47" s="1"/>
  <c r="C66" i="32"/>
  <c r="C66" i="47" s="1"/>
  <c r="C67" i="32"/>
  <c r="C67" i="47" s="1"/>
  <c r="C68" i="32"/>
  <c r="C68" i="47" s="1"/>
  <c r="C70" i="47"/>
  <c r="B8" i="32"/>
  <c r="B8" i="47" s="1"/>
  <c r="B9" i="32"/>
  <c r="B9" i="47" s="1"/>
  <c r="B10" i="32"/>
  <c r="B10" i="47" s="1"/>
  <c r="B11" i="32"/>
  <c r="B11" i="47" s="1"/>
  <c r="B12" i="32"/>
  <c r="B12" i="47" s="1"/>
  <c r="B13" i="32"/>
  <c r="B13" i="47" s="1"/>
  <c r="B14" i="32"/>
  <c r="B14" i="47" s="1"/>
  <c r="B15" i="32"/>
  <c r="B15" i="47" s="1"/>
  <c r="B16" i="32"/>
  <c r="B16" i="47" s="1"/>
  <c r="B17" i="32"/>
  <c r="B17" i="47" s="1"/>
  <c r="B18" i="32"/>
  <c r="B18" i="47" s="1"/>
  <c r="B17" i="6" s="1"/>
  <c r="B17" i="7" s="1"/>
  <c r="B17" i="8" s="1"/>
  <c r="B17" i="45" s="1"/>
  <c r="B19" i="32"/>
  <c r="B19" i="47" s="1"/>
  <c r="B18" i="6" s="1"/>
  <c r="B18" i="7" s="1"/>
  <c r="B18" i="8" s="1"/>
  <c r="B18" i="45" s="1"/>
  <c r="B20" i="32"/>
  <c r="B20" i="47" s="1"/>
  <c r="B19" i="6" s="1"/>
  <c r="B19" i="7" s="1"/>
  <c r="B19" i="8" s="1"/>
  <c r="B19" i="45" s="1"/>
  <c r="B21" i="32"/>
  <c r="B21" i="47" s="1"/>
  <c r="B20" i="6" s="1"/>
  <c r="B20" i="7" s="1"/>
  <c r="B20" i="8" s="1"/>
  <c r="B20" i="45" s="1"/>
  <c r="B22" i="32"/>
  <c r="B22" i="47" s="1"/>
  <c r="B21" i="6" s="1"/>
  <c r="B21" i="7" s="1"/>
  <c r="B21" i="8" s="1"/>
  <c r="B21" i="45" s="1"/>
  <c r="B23" i="32"/>
  <c r="B23" i="47" s="1"/>
  <c r="B22" i="6" s="1"/>
  <c r="B22" i="7" s="1"/>
  <c r="B22" i="8" s="1"/>
  <c r="B22" i="45" s="1"/>
  <c r="B24" i="32"/>
  <c r="B24" i="47" s="1"/>
  <c r="B23" i="6" s="1"/>
  <c r="B23" i="7" s="1"/>
  <c r="B23" i="8" s="1"/>
  <c r="B23" i="45" s="1"/>
  <c r="B25" i="32"/>
  <c r="B25" i="47" s="1"/>
  <c r="B24" i="6" s="1"/>
  <c r="B24" i="7" s="1"/>
  <c r="B24" i="8" s="1"/>
  <c r="B24" i="45" s="1"/>
  <c r="B26" i="32"/>
  <c r="B26" i="47" s="1"/>
  <c r="B25" i="6" s="1"/>
  <c r="B25" i="7" s="1"/>
  <c r="B25" i="8" s="1"/>
  <c r="B25" i="45" s="1"/>
  <c r="B27" i="32"/>
  <c r="B27" i="47" s="1"/>
  <c r="B26" i="6" s="1"/>
  <c r="B26" i="7" s="1"/>
  <c r="B26" i="8" s="1"/>
  <c r="B26" i="45" s="1"/>
  <c r="B28" i="32"/>
  <c r="B28" i="47" s="1"/>
  <c r="B27" i="6" s="1"/>
  <c r="B27" i="7" s="1"/>
  <c r="B27" i="8" s="1"/>
  <c r="B27" i="45" s="1"/>
  <c r="B29" i="32"/>
  <c r="B29" i="47" s="1"/>
  <c r="B28" i="6" s="1"/>
  <c r="B28" i="7" s="1"/>
  <c r="B28" i="8" s="1"/>
  <c r="B28" i="45" s="1"/>
  <c r="B30" i="32"/>
  <c r="B30" i="47" s="1"/>
  <c r="B29" i="6" s="1"/>
  <c r="B29" i="7" s="1"/>
  <c r="B29" i="8" s="1"/>
  <c r="B29" i="45" s="1"/>
  <c r="B31" i="32"/>
  <c r="B31" i="47" s="1"/>
  <c r="B30" i="6" s="1"/>
  <c r="B30" i="7" s="1"/>
  <c r="B30" i="8" s="1"/>
  <c r="B30" i="45" s="1"/>
  <c r="B32" i="32"/>
  <c r="B32" i="47" s="1"/>
  <c r="B31" i="6" s="1"/>
  <c r="B31" i="7" s="1"/>
  <c r="B31" i="8" s="1"/>
  <c r="B31" i="45" s="1"/>
  <c r="B33" i="32"/>
  <c r="B33" i="47" s="1"/>
  <c r="B32" i="6" s="1"/>
  <c r="B32" i="7" s="1"/>
  <c r="B32" i="8" s="1"/>
  <c r="B32" i="45" s="1"/>
  <c r="B34" i="32"/>
  <c r="B34" i="47" s="1"/>
  <c r="B33" i="6" s="1"/>
  <c r="B33" i="7" s="1"/>
  <c r="B33" i="8" s="1"/>
  <c r="B33" i="45" s="1"/>
  <c r="B35" i="32"/>
  <c r="B35" i="47" s="1"/>
  <c r="B34" i="6" s="1"/>
  <c r="B34" i="7" s="1"/>
  <c r="B34" i="8" s="1"/>
  <c r="B34" i="45" s="1"/>
  <c r="B36" i="32"/>
  <c r="B36" i="47" s="1"/>
  <c r="B35" i="6" s="1"/>
  <c r="B35" i="7" s="1"/>
  <c r="B35" i="8" s="1"/>
  <c r="B35" i="45" s="1"/>
  <c r="B37" i="32"/>
  <c r="B38" i="32"/>
  <c r="B38" i="47" s="1"/>
  <c r="B37" i="6" s="1"/>
  <c r="B37" i="7" s="1"/>
  <c r="B37" i="8" s="1"/>
  <c r="B37" i="45" s="1"/>
  <c r="B39" i="32"/>
  <c r="B39" i="47" s="1"/>
  <c r="B38" i="6" s="1"/>
  <c r="B38" i="7" s="1"/>
  <c r="B38" i="8" s="1"/>
  <c r="B38" i="45" s="1"/>
  <c r="B40" i="32"/>
  <c r="B40" i="47" s="1"/>
  <c r="B39" i="6" s="1"/>
  <c r="B39" i="7" s="1"/>
  <c r="B39" i="8" s="1"/>
  <c r="B39" i="45" s="1"/>
  <c r="B41" i="32"/>
  <c r="B41" i="47" s="1"/>
  <c r="B40" i="6" s="1"/>
  <c r="B40" i="7" s="1"/>
  <c r="B40" i="8" s="1"/>
  <c r="B40" i="45" s="1"/>
  <c r="B42" i="32"/>
  <c r="B42" i="47" s="1"/>
  <c r="B41" i="6" s="1"/>
  <c r="B41" i="7" s="1"/>
  <c r="B41" i="8" s="1"/>
  <c r="B41" i="45" s="1"/>
  <c r="B43" i="32"/>
  <c r="B43" i="47" s="1"/>
  <c r="B42" i="6" s="1"/>
  <c r="B42" i="7" s="1"/>
  <c r="B42" i="8" s="1"/>
  <c r="B42" i="45" s="1"/>
  <c r="B44" i="32"/>
  <c r="B44" i="47" s="1"/>
  <c r="B43" i="6" s="1"/>
  <c r="B43" i="7" s="1"/>
  <c r="B43" i="8" s="1"/>
  <c r="B43" i="45" s="1"/>
  <c r="B45" i="32"/>
  <c r="B45" i="47" s="1"/>
  <c r="B44" i="6" s="1"/>
  <c r="B44" i="7" s="1"/>
  <c r="B44" i="8" s="1"/>
  <c r="B44" i="45" s="1"/>
  <c r="B46" i="32"/>
  <c r="B46" i="47" s="1"/>
  <c r="B45" i="6" s="1"/>
  <c r="B45" i="7" s="1"/>
  <c r="B45" i="8" s="1"/>
  <c r="B45" i="45" s="1"/>
  <c r="B47" i="32"/>
  <c r="B47" i="47" s="1"/>
  <c r="B46" i="6" s="1"/>
  <c r="B46" i="7" s="1"/>
  <c r="B46" i="8" s="1"/>
  <c r="B46" i="45" s="1"/>
  <c r="B48" i="32"/>
  <c r="B48" i="47" s="1"/>
  <c r="B47" i="6" s="1"/>
  <c r="B47" i="7" s="1"/>
  <c r="B47" i="8" s="1"/>
  <c r="B47" i="45" s="1"/>
  <c r="B49" i="32"/>
  <c r="B49" i="47" s="1"/>
  <c r="B50" i="32"/>
  <c r="B50" i="47" s="1"/>
  <c r="B51" i="32"/>
  <c r="B51" i="47" s="1"/>
  <c r="B52" i="32"/>
  <c r="B52" i="47" s="1"/>
  <c r="B53" i="32"/>
  <c r="B53" i="47" s="1"/>
  <c r="B54" i="32"/>
  <c r="B54" i="47" s="1"/>
  <c r="B55" i="32"/>
  <c r="B55" i="47" s="1"/>
  <c r="B56" i="32"/>
  <c r="B56" i="47" s="1"/>
  <c r="B57" i="32"/>
  <c r="B57" i="47" s="1"/>
  <c r="B58" i="32"/>
  <c r="B58" i="47" s="1"/>
  <c r="B59" i="32"/>
  <c r="B59" i="47" s="1"/>
  <c r="B60" i="32"/>
  <c r="B60" i="47" s="1"/>
  <c r="B61" i="32"/>
  <c r="B61" i="47" s="1"/>
  <c r="B62" i="32"/>
  <c r="B62" i="47" s="1"/>
  <c r="B63" i="32"/>
  <c r="B63" i="47" s="1"/>
  <c r="B64" i="32"/>
  <c r="B64" i="47" s="1"/>
  <c r="B65" i="32"/>
  <c r="B65" i="47" s="1"/>
  <c r="B66" i="32"/>
  <c r="B66" i="47" s="1"/>
  <c r="B67" i="32"/>
  <c r="B67" i="47" s="1"/>
  <c r="B68" i="32"/>
  <c r="B68" i="47" s="1"/>
  <c r="C6" i="47"/>
  <c r="B7" i="32"/>
  <c r="B7" i="47" s="1"/>
  <c r="B6" i="32"/>
  <c r="B6" i="47" s="1"/>
  <c r="H1" i="32"/>
  <c r="H1" i="47" s="1"/>
  <c r="D1" i="32"/>
  <c r="D1" i="47" s="1"/>
  <c r="B24" i="4" l="1"/>
  <c r="B24" i="5" s="1"/>
  <c r="B52" i="6"/>
  <c r="B52" i="7" s="1"/>
  <c r="B52" i="8" s="1"/>
  <c r="B52" i="45" s="1"/>
  <c r="B12" i="4"/>
  <c r="B12" i="5" s="1"/>
  <c r="B12" i="6"/>
  <c r="B12" i="7" s="1"/>
  <c r="B12" i="8" s="1"/>
  <c r="B12" i="45" s="1"/>
  <c r="C67" i="6"/>
  <c r="C67" i="7" s="1"/>
  <c r="C67" i="8" s="1"/>
  <c r="C67" i="45" s="1"/>
  <c r="C39" i="4"/>
  <c r="C39" i="5" s="1"/>
  <c r="C50" i="6"/>
  <c r="C50" i="7" s="1"/>
  <c r="C50" i="8" s="1"/>
  <c r="C50" i="45" s="1"/>
  <c r="C22" i="4"/>
  <c r="C22" i="5" s="1"/>
  <c r="B25" i="4"/>
  <c r="B25" i="5" s="1"/>
  <c r="B53" i="6"/>
  <c r="B53" i="7" s="1"/>
  <c r="B53" i="8" s="1"/>
  <c r="B53" i="45" s="1"/>
  <c r="B28" i="4"/>
  <c r="B28" i="5" s="1"/>
  <c r="B56" i="6"/>
  <c r="B56" i="7" s="1"/>
  <c r="B56" i="8" s="1"/>
  <c r="B56" i="45" s="1"/>
  <c r="B20" i="4"/>
  <c r="B20" i="5" s="1"/>
  <c r="B48" i="6"/>
  <c r="B48" i="7" s="1"/>
  <c r="B48" i="8" s="1"/>
  <c r="B48" i="45" s="1"/>
  <c r="B16" i="4"/>
  <c r="B16" i="5" s="1"/>
  <c r="B16" i="6"/>
  <c r="B16" i="7" s="1"/>
  <c r="B16" i="8" s="1"/>
  <c r="B16" i="45" s="1"/>
  <c r="B8" i="4"/>
  <c r="B8" i="5" s="1"/>
  <c r="B8" i="6"/>
  <c r="B8" i="7" s="1"/>
  <c r="B8" i="8" s="1"/>
  <c r="B8" i="45" s="1"/>
  <c r="C38" i="4"/>
  <c r="C38" i="5" s="1"/>
  <c r="C66" i="6"/>
  <c r="C66" i="7" s="1"/>
  <c r="C66" i="8" s="1"/>
  <c r="C66" i="45" s="1"/>
  <c r="C34" i="4"/>
  <c r="C34" i="5" s="1"/>
  <c r="C62" i="6"/>
  <c r="C62" i="7" s="1"/>
  <c r="C62" i="8" s="1"/>
  <c r="C62" i="45" s="1"/>
  <c r="C57" i="6"/>
  <c r="C57" i="7" s="1"/>
  <c r="C57" i="8" s="1"/>
  <c r="C57" i="45" s="1"/>
  <c r="C29" i="4"/>
  <c r="C29" i="5" s="1"/>
  <c r="C53" i="6"/>
  <c r="C53" i="7" s="1"/>
  <c r="C53" i="8" s="1"/>
  <c r="C53" i="45" s="1"/>
  <c r="C25" i="4"/>
  <c r="C25" i="5" s="1"/>
  <c r="C21" i="4"/>
  <c r="C21" i="5" s="1"/>
  <c r="C49" i="6"/>
  <c r="C49" i="7" s="1"/>
  <c r="C49" i="8" s="1"/>
  <c r="C49" i="45" s="1"/>
  <c r="B6" i="4"/>
  <c r="B6" i="5" s="1"/>
  <c r="B6" i="6"/>
  <c r="B6" i="7" s="1"/>
  <c r="B6" i="8" s="1"/>
  <c r="B6" i="45" s="1"/>
  <c r="B29" i="4"/>
  <c r="B29" i="5" s="1"/>
  <c r="B57" i="6"/>
  <c r="B57" i="7" s="1"/>
  <c r="B57" i="8" s="1"/>
  <c r="B57" i="45" s="1"/>
  <c r="B21" i="4"/>
  <c r="B21" i="5" s="1"/>
  <c r="B49" i="6"/>
  <c r="B49" i="7" s="1"/>
  <c r="B49" i="8" s="1"/>
  <c r="B49" i="45" s="1"/>
  <c r="B9" i="4"/>
  <c r="B9" i="5" s="1"/>
  <c r="B9" i="6"/>
  <c r="B9" i="7" s="1"/>
  <c r="B9" i="8" s="1"/>
  <c r="B9" i="45" s="1"/>
  <c r="B27" i="4"/>
  <c r="B27" i="5" s="1"/>
  <c r="B55" i="6"/>
  <c r="B55" i="7" s="1"/>
  <c r="B55" i="8" s="1"/>
  <c r="B55" i="45" s="1"/>
  <c r="B23" i="4"/>
  <c r="B23" i="5" s="1"/>
  <c r="B51" i="6"/>
  <c r="B51" i="7" s="1"/>
  <c r="B51" i="8" s="1"/>
  <c r="B51" i="45" s="1"/>
  <c r="B15" i="4"/>
  <c r="B15" i="5" s="1"/>
  <c r="B15" i="6"/>
  <c r="B15" i="7" s="1"/>
  <c r="B15" i="8" s="1"/>
  <c r="B15" i="45" s="1"/>
  <c r="B11" i="4"/>
  <c r="B11" i="5" s="1"/>
  <c r="B11" i="6"/>
  <c r="B11" i="7" s="1"/>
  <c r="B11" i="8" s="1"/>
  <c r="B11" i="45" s="1"/>
  <c r="B7" i="4"/>
  <c r="B7" i="5" s="1"/>
  <c r="B7" i="6"/>
  <c r="B7" i="7" s="1"/>
  <c r="B7" i="8" s="1"/>
  <c r="B7" i="45" s="1"/>
  <c r="C65" i="6"/>
  <c r="C65" i="7" s="1"/>
  <c r="C65" i="8" s="1"/>
  <c r="C65" i="45" s="1"/>
  <c r="C37" i="4"/>
  <c r="C37" i="5" s="1"/>
  <c r="C33" i="4"/>
  <c r="C33" i="5" s="1"/>
  <c r="C61" i="6"/>
  <c r="C61" i="7" s="1"/>
  <c r="C61" i="8" s="1"/>
  <c r="C61" i="45" s="1"/>
  <c r="C24" i="4"/>
  <c r="C24" i="5" s="1"/>
  <c r="C52" i="6"/>
  <c r="C52" i="7" s="1"/>
  <c r="C52" i="8" s="1"/>
  <c r="C52" i="45" s="1"/>
  <c r="B13" i="4"/>
  <c r="B13" i="5" s="1"/>
  <c r="B13" i="6"/>
  <c r="B13" i="7" s="1"/>
  <c r="B13" i="8" s="1"/>
  <c r="B13" i="45" s="1"/>
  <c r="C63" i="6"/>
  <c r="C63" i="7" s="1"/>
  <c r="C63" i="8" s="1"/>
  <c r="C63" i="45" s="1"/>
  <c r="C35" i="4"/>
  <c r="C35" i="5" s="1"/>
  <c r="B5" i="4"/>
  <c r="B5" i="5" s="1"/>
  <c r="B5" i="6"/>
  <c r="B5" i="7" s="1"/>
  <c r="B5" i="8" s="1"/>
  <c r="B5" i="45" s="1"/>
  <c r="B30" i="4"/>
  <c r="B30" i="5" s="1"/>
  <c r="B58" i="6"/>
  <c r="B58" i="7" s="1"/>
  <c r="B58" i="8" s="1"/>
  <c r="B58" i="45" s="1"/>
  <c r="B26" i="4"/>
  <c r="B26" i="5" s="1"/>
  <c r="B54" i="6"/>
  <c r="B54" i="7" s="1"/>
  <c r="B54" i="8" s="1"/>
  <c r="B54" i="45" s="1"/>
  <c r="B22" i="4"/>
  <c r="B22" i="5" s="1"/>
  <c r="B50" i="6"/>
  <c r="B50" i="7" s="1"/>
  <c r="B50" i="8" s="1"/>
  <c r="B50" i="45" s="1"/>
  <c r="B14" i="4"/>
  <c r="B14" i="5" s="1"/>
  <c r="B14" i="6"/>
  <c r="B14" i="7" s="1"/>
  <c r="B14" i="8" s="1"/>
  <c r="B14" i="45" s="1"/>
  <c r="B10" i="4"/>
  <c r="B10" i="5" s="1"/>
  <c r="B10" i="6"/>
  <c r="B10" i="7" s="1"/>
  <c r="B10" i="8" s="1"/>
  <c r="B10" i="45" s="1"/>
  <c r="C41" i="4"/>
  <c r="C41" i="5" s="1"/>
  <c r="C69" i="6"/>
  <c r="C69" i="7" s="1"/>
  <c r="C69" i="8" s="1"/>
  <c r="C69" i="45" s="1"/>
  <c r="C64" i="6"/>
  <c r="C64" i="7" s="1"/>
  <c r="C64" i="8" s="1"/>
  <c r="C64" i="45" s="1"/>
  <c r="C36" i="4"/>
  <c r="C36" i="5" s="1"/>
  <c r="C59" i="6"/>
  <c r="C59" i="7" s="1"/>
  <c r="C59" i="8" s="1"/>
  <c r="C59" i="45" s="1"/>
  <c r="C31" i="4"/>
  <c r="C31" i="5" s="1"/>
  <c r="C51" i="6"/>
  <c r="C51" i="7" s="1"/>
  <c r="C51" i="8" s="1"/>
  <c r="C51" i="45" s="1"/>
  <c r="C23" i="4"/>
  <c r="C23" i="5" s="1"/>
  <c r="C14" i="4"/>
  <c r="C14" i="5" s="1"/>
  <c r="C14" i="6"/>
  <c r="C14" i="7" s="1"/>
  <c r="C14" i="8" s="1"/>
  <c r="C14" i="45" s="1"/>
  <c r="C13" i="4"/>
  <c r="C13" i="5" s="1"/>
  <c r="C13" i="6"/>
  <c r="C13" i="7" s="1"/>
  <c r="C13" i="8" s="1"/>
  <c r="C13" i="45" s="1"/>
  <c r="C12" i="4"/>
  <c r="C12" i="5" s="1"/>
  <c r="C12" i="6"/>
  <c r="C12" i="7" s="1"/>
  <c r="C12" i="8" s="1"/>
  <c r="C12" i="45" s="1"/>
  <c r="C9" i="6"/>
  <c r="C9" i="7" s="1"/>
  <c r="C9" i="8" s="1"/>
  <c r="C9" i="45" s="1"/>
  <c r="C9" i="4"/>
  <c r="C9" i="5" s="1"/>
  <c r="C8" i="4"/>
  <c r="C8" i="5" s="1"/>
  <c r="C8" i="6"/>
  <c r="C8" i="7" s="1"/>
  <c r="C8" i="8" s="1"/>
  <c r="C8" i="45" s="1"/>
  <c r="C5" i="6"/>
  <c r="C5" i="7" s="1"/>
  <c r="C5" i="8" s="1"/>
  <c r="C5" i="45" s="1"/>
  <c r="C5" i="4"/>
  <c r="C5" i="5" s="1"/>
  <c r="C6" i="4"/>
  <c r="C6" i="5" s="1"/>
  <c r="C6" i="6"/>
  <c r="C6" i="7" s="1"/>
  <c r="C6" i="8" s="1"/>
  <c r="C6" i="45" s="1"/>
  <c r="C15" i="6"/>
  <c r="C15" i="7" s="1"/>
  <c r="C15" i="8" s="1"/>
  <c r="C15" i="45" s="1"/>
  <c r="C15" i="4"/>
  <c r="C15" i="5" s="1"/>
  <c r="C54" i="6"/>
  <c r="C54" i="7" s="1"/>
  <c r="C54" i="8" s="1"/>
  <c r="C54" i="45" s="1"/>
  <c r="C26" i="4"/>
  <c r="C26" i="5" s="1"/>
  <c r="B31" i="4"/>
  <c r="B31" i="5" s="1"/>
  <c r="B59" i="6"/>
  <c r="B59" i="7" s="1"/>
  <c r="B59" i="8" s="1"/>
  <c r="B59" i="45" s="1"/>
  <c r="A62" i="50"/>
  <c r="A63" i="50" s="1"/>
  <c r="A7" i="50"/>
  <c r="A8" i="50" s="1"/>
  <c r="A9" i="50" s="1"/>
  <c r="A10" i="50" s="1"/>
  <c r="A11" i="50" s="1"/>
  <c r="A12" i="50" s="1"/>
  <c r="A13" i="50" s="1"/>
  <c r="A14" i="50" l="1"/>
  <c r="A15" i="50" s="1"/>
  <c r="A16" i="50" s="1"/>
  <c r="A17" i="50" s="1"/>
  <c r="A18" i="50" s="1"/>
  <c r="A19" i="50" s="1"/>
  <c r="A20" i="50" s="1"/>
  <c r="A21" i="50" s="1"/>
  <c r="A22" i="50" s="1"/>
  <c r="A23" i="50" s="1"/>
  <c r="A24" i="50" s="1"/>
  <c r="A25" i="50" s="1"/>
  <c r="A26" i="50" s="1"/>
  <c r="A27" i="50" s="1"/>
  <c r="A28" i="50" s="1"/>
  <c r="A29" i="50" s="1"/>
  <c r="A30" i="50" s="1"/>
  <c r="A31" i="50" s="1"/>
  <c r="A32" i="50" s="1"/>
  <c r="A33" i="50" s="1"/>
  <c r="A34" i="50" s="1"/>
  <c r="A35" i="50" s="1"/>
  <c r="A36" i="50" s="1"/>
  <c r="A37" i="50" s="1"/>
  <c r="A38" i="50" s="1"/>
  <c r="A39" i="50" s="1"/>
  <c r="A40" i="50" s="1"/>
  <c r="A41" i="50" s="1"/>
  <c r="A42" i="50" s="1"/>
  <c r="A43" i="50" s="1"/>
  <c r="A44" i="50" s="1"/>
  <c r="A45" i="50" s="1"/>
  <c r="A46" i="50" s="1"/>
  <c r="A47" i="50" s="1"/>
  <c r="A48" i="50" s="1"/>
  <c r="A49" i="50" s="1"/>
  <c r="A50" i="50" s="1"/>
  <c r="A51" i="50" s="1"/>
  <c r="A52" i="50" s="1"/>
  <c r="A53" i="50" s="1"/>
  <c r="A54" i="50" s="1"/>
  <c r="A55" i="50" s="1"/>
  <c r="A56" i="50" s="1"/>
  <c r="A57" i="50" s="1"/>
  <c r="A58" i="50" s="1"/>
  <c r="A59" i="50" s="1"/>
  <c r="A60" i="50" s="1"/>
  <c r="A2" i="44" l="1"/>
  <c r="A2" i="46" s="1"/>
  <c r="A4" i="49"/>
  <c r="A6" i="49"/>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A57" i="49" s="1"/>
  <c r="A58" i="49" s="1"/>
  <c r="A67" i="48" l="1"/>
  <c r="A68" i="48" s="1"/>
  <c r="A69" i="48" s="1"/>
  <c r="A70" i="48" s="1"/>
  <c r="A71" i="48" s="1"/>
  <c r="A72" i="48" s="1"/>
  <c r="A73" i="48" s="1"/>
  <c r="H65" i="48"/>
  <c r="G65" i="48"/>
  <c r="F65" i="48"/>
  <c r="E65" i="48"/>
  <c r="D65" i="48"/>
  <c r="A6" i="48"/>
  <c r="A7" i="48" s="1"/>
  <c r="A8" i="48" s="1"/>
  <c r="A9" i="48" s="1"/>
  <c r="A10" i="48" s="1"/>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40" i="48" s="1"/>
  <c r="A41" i="48" s="1"/>
  <c r="A42" i="48" s="1"/>
  <c r="A43" i="48" s="1"/>
  <c r="A44" i="48" s="1"/>
  <c r="A45" i="48" s="1"/>
  <c r="A46" i="48" s="1"/>
  <c r="A47" i="48" s="1"/>
  <c r="A48" i="48" s="1"/>
  <c r="A49" i="48" s="1"/>
  <c r="A50" i="48" s="1"/>
  <c r="A51" i="48" s="1"/>
  <c r="A52" i="48" s="1"/>
  <c r="A53" i="48" s="1"/>
  <c r="A54" i="48" s="1"/>
  <c r="A55" i="48" s="1"/>
  <c r="A56" i="48" s="1"/>
  <c r="A57" i="48" s="1"/>
  <c r="A58" i="48" s="1"/>
  <c r="A59" i="48" s="1"/>
  <c r="A60" i="48" s="1"/>
  <c r="A61" i="48" s="1"/>
  <c r="A62" i="48" s="1"/>
  <c r="A63" i="48" s="1"/>
  <c r="A64" i="48" s="1"/>
  <c r="I4" i="48"/>
  <c r="I65" i="48" s="1"/>
  <c r="I1" i="48"/>
  <c r="A62" i="47"/>
  <c r="A63" i="47" s="1"/>
  <c r="A7" i="47"/>
  <c r="A8" i="47" s="1"/>
  <c r="A9" i="47" s="1"/>
  <c r="A10" i="47" s="1"/>
  <c r="A11" i="47" s="1"/>
  <c r="A12" i="47" s="1"/>
  <c r="A13" i="47" s="1"/>
  <c r="A14" i="47" s="1"/>
  <c r="A15" i="47" s="1"/>
  <c r="A16" i="47" s="1"/>
  <c r="A17" i="47" s="1"/>
  <c r="A18" i="47" s="1"/>
  <c r="A19" i="47" s="1"/>
  <c r="A20" i="47" s="1"/>
  <c r="A21" i="47" s="1"/>
  <c r="A22" i="47" s="1"/>
  <c r="A23" i="47" s="1"/>
  <c r="A24" i="47" s="1"/>
  <c r="A25" i="47" s="1"/>
  <c r="A26" i="47" s="1"/>
  <c r="A27" i="47" s="1"/>
  <c r="A28" i="47" s="1"/>
  <c r="A29" i="47" s="1"/>
  <c r="A30" i="47" s="1"/>
  <c r="A31" i="47" s="1"/>
  <c r="A32" i="47" s="1"/>
  <c r="A33" i="47" s="1"/>
  <c r="A34" i="47" s="1"/>
  <c r="A35" i="47" s="1"/>
  <c r="A36" i="47" s="1"/>
  <c r="A37" i="47" s="1"/>
  <c r="A38" i="47" s="1"/>
  <c r="A39" i="47" s="1"/>
  <c r="A40" i="47" s="1"/>
  <c r="A41" i="47" s="1"/>
  <c r="A42" i="47" s="1"/>
  <c r="A43" i="47" s="1"/>
  <c r="A44" i="47" s="1"/>
  <c r="A45" i="47" s="1"/>
  <c r="A46" i="47" s="1"/>
  <c r="A47" i="47" s="1"/>
  <c r="A48" i="47" s="1"/>
  <c r="A49" i="47" s="1"/>
  <c r="A50" i="47" s="1"/>
  <c r="A51" i="47" s="1"/>
  <c r="A52" i="47" s="1"/>
  <c r="A53" i="47" s="1"/>
  <c r="A54" i="47" s="1"/>
  <c r="A55" i="47" s="1"/>
  <c r="A56" i="47" s="1"/>
  <c r="A57" i="47" s="1"/>
  <c r="A58" i="47" s="1"/>
  <c r="A59" i="47" s="1"/>
  <c r="A60" i="47" s="1"/>
  <c r="A5" i="37"/>
  <c r="A6" i="37" s="1"/>
  <c r="A7" i="37" s="1"/>
  <c r="A8" i="37" s="1"/>
  <c r="A9" i="37" s="1"/>
  <c r="A10" i="37" s="1"/>
  <c r="A11" i="37" s="1"/>
  <c r="A19" i="37" l="1"/>
  <c r="A20" i="37" s="1"/>
  <c r="A12" i="37"/>
  <c r="A13" i="37" s="1"/>
  <c r="A14" i="37" s="1"/>
  <c r="A15" i="37" s="1"/>
  <c r="A16" i="37" s="1"/>
  <c r="A17" i="37" s="1"/>
  <c r="A18" i="37" s="1"/>
  <c r="N1" i="13"/>
  <c r="A6" i="46"/>
  <c r="A7" i="46" s="1"/>
  <c r="A8" i="46" s="1"/>
  <c r="A9" i="46" s="1"/>
  <c r="A10" i="46" s="1"/>
  <c r="A11" i="46" s="1"/>
  <c r="A12" i="46" s="1"/>
  <c r="A13" i="46" s="1"/>
  <c r="A14" i="46" s="1"/>
  <c r="A15" i="46" s="1"/>
  <c r="A16" i="46" s="1"/>
  <c r="A17" i="46" s="1"/>
  <c r="A18" i="46" s="1"/>
  <c r="A19" i="46" s="1"/>
  <c r="A20" i="46" s="1"/>
  <c r="A21" i="46" s="1"/>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4" i="46"/>
  <c r="I1" i="46"/>
  <c r="A4" i="44"/>
  <c r="A61" i="45"/>
  <c r="A62" i="45" s="1"/>
  <c r="A6" i="45"/>
  <c r="A7" i="45" s="1"/>
  <c r="A8" i="45" s="1"/>
  <c r="A9" i="45" s="1"/>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39" i="45" s="1"/>
  <c r="A40" i="45" s="1"/>
  <c r="A41" i="45" s="1"/>
  <c r="A42" i="45" s="1"/>
  <c r="A43" i="45" s="1"/>
  <c r="A44" i="45" s="1"/>
  <c r="A45" i="45" s="1"/>
  <c r="A46" i="45" s="1"/>
  <c r="A47" i="45" s="1"/>
  <c r="A48" i="45" s="1"/>
  <c r="A49" i="45" s="1"/>
  <c r="A50" i="45" s="1"/>
  <c r="A51" i="45" s="1"/>
  <c r="A52" i="45" s="1"/>
  <c r="A53" i="45" s="1"/>
  <c r="A54" i="45" s="1"/>
  <c r="A55" i="45" s="1"/>
  <c r="A56" i="45" s="1"/>
  <c r="A57" i="45" s="1"/>
  <c r="A58" i="45" s="1"/>
  <c r="A59" i="45" s="1"/>
  <c r="I1" i="45"/>
  <c r="D1" i="45"/>
  <c r="I1" i="44" l="1"/>
  <c r="A6" i="44" l="1"/>
  <c r="A7" i="44" s="1"/>
  <c r="A8" i="44" s="1"/>
  <c r="A9" i="44" s="1"/>
  <c r="A10" i="44" s="1"/>
  <c r="A11" i="44" s="1"/>
  <c r="A12" i="44" s="1"/>
  <c r="A13" i="44" s="1"/>
  <c r="A14" i="44" s="1"/>
  <c r="A15" i="44" s="1"/>
  <c r="A16" i="44" s="1"/>
  <c r="A17" i="44" s="1"/>
  <c r="A18" i="44" s="1"/>
  <c r="A19" i="44" s="1"/>
  <c r="A20" i="44" s="1"/>
  <c r="A21" i="44" s="1"/>
  <c r="A22" i="44" s="1"/>
  <c r="A23" i="44" s="1"/>
  <c r="A24" i="44" s="1"/>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52" i="44" s="1"/>
  <c r="A53" i="44" s="1"/>
  <c r="A54" i="44" s="1"/>
  <c r="A55" i="44" s="1"/>
  <c r="A56" i="44" s="1"/>
  <c r="A57" i="44" s="1"/>
  <c r="A58" i="44" s="1"/>
  <c r="A6" i="43"/>
  <c r="A7" i="43" s="1"/>
  <c r="A8" i="43" s="1"/>
  <c r="A9" i="43" s="1"/>
  <c r="A10" i="43" s="1"/>
  <c r="A11" i="43" s="1"/>
  <c r="A12" i="43" s="1"/>
  <c r="A13" i="43" s="1"/>
  <c r="A14" i="43" s="1"/>
  <c r="A15" i="43" s="1"/>
  <c r="A16" i="43" s="1"/>
  <c r="A17" i="43" s="1"/>
  <c r="A18" i="43" s="1"/>
  <c r="A19" i="43" s="1"/>
  <c r="A20" i="43" s="1"/>
  <c r="A21" i="43" s="1"/>
  <c r="A22" i="43" s="1"/>
  <c r="A23" i="43" s="1"/>
  <c r="A24" i="43" s="1"/>
  <c r="A25" i="43" s="1"/>
  <c r="A26" i="43" s="1"/>
  <c r="A27" i="43" s="1"/>
  <c r="A28" i="43" s="1"/>
  <c r="A29" i="43" s="1"/>
  <c r="A30" i="43" s="1"/>
  <c r="A31" i="43" s="1"/>
  <c r="A32" i="43" s="1"/>
  <c r="A33" i="43" s="1"/>
  <c r="A34" i="43" s="1"/>
  <c r="A35" i="43" s="1"/>
  <c r="A36" i="43" s="1"/>
  <c r="A37" i="43" s="1"/>
  <c r="A38" i="43" s="1"/>
  <c r="A39" i="43" s="1"/>
  <c r="A40" i="43" s="1"/>
  <c r="A41" i="43" s="1"/>
  <c r="A42" i="43" s="1"/>
  <c r="A43" i="43" s="1"/>
  <c r="A44" i="43" s="1"/>
  <c r="A45" i="43" s="1"/>
  <c r="A46" i="43" s="1"/>
  <c r="A47" i="43" s="1"/>
  <c r="A48" i="43" s="1"/>
  <c r="A49" i="43" s="1"/>
  <c r="A50" i="43" s="1"/>
  <c r="A51" i="43" s="1"/>
  <c r="A52" i="43" s="1"/>
  <c r="A53" i="43" s="1"/>
  <c r="A54" i="43" s="1"/>
  <c r="A55" i="43" s="1"/>
  <c r="A56" i="43" s="1"/>
  <c r="A57" i="43" s="1"/>
  <c r="A58" i="43" s="1"/>
  <c r="A3" i="7" l="1"/>
  <c r="A3" i="8" l="1"/>
  <c r="A3" i="45"/>
  <c r="F65" i="12"/>
  <c r="G65" i="12"/>
  <c r="H65" i="12"/>
  <c r="I4" i="12"/>
  <c r="I65" i="12" s="1"/>
  <c r="I1" i="12"/>
  <c r="I1" i="8"/>
  <c r="D1" i="8"/>
  <c r="I1" i="6"/>
  <c r="O1" i="5"/>
  <c r="D1" i="4"/>
  <c r="D1" i="13" s="1"/>
  <c r="D1" i="14" s="1"/>
  <c r="D1" i="15" s="1"/>
  <c r="D1" i="5" l="1"/>
  <c r="D1" i="6" s="1"/>
  <c r="D1" i="12"/>
  <c r="D1" i="49"/>
  <c r="D1" i="48"/>
  <c r="D1" i="43"/>
  <c r="D157" i="14"/>
  <c r="D75" i="14"/>
  <c r="D1" i="53" l="1"/>
  <c r="D1" i="52"/>
  <c r="D1" i="44"/>
  <c r="D1" i="46"/>
  <c r="A5" i="13" l="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l="1"/>
  <c r="A84" i="13" s="1"/>
  <c r="A85" i="13" s="1"/>
  <c r="A86" i="13" s="1"/>
  <c r="A87" i="13" s="1"/>
  <c r="A88" i="13" s="1"/>
  <c r="A89" i="13" s="1"/>
  <c r="A90" i="13" s="1"/>
  <c r="A91" i="13" s="1"/>
  <c r="A92" i="13" s="1"/>
  <c r="A93" i="13" s="1"/>
  <c r="A94" i="13" s="1"/>
  <c r="A95" i="13" s="1"/>
  <c r="A96" i="13" s="1"/>
  <c r="A97" i="13" s="1"/>
  <c r="A98" i="13" s="1"/>
  <c r="A99" i="13" s="1"/>
  <c r="A100" i="13" s="1"/>
  <c r="A101" i="13" s="1"/>
  <c r="A102" i="13" s="1"/>
  <c r="A103" i="13" s="1"/>
  <c r="A104" i="13" s="1"/>
  <c r="A105" i="13" s="1"/>
  <c r="A106" i="13" s="1"/>
  <c r="A107" i="13" s="1"/>
  <c r="A108" i="13" s="1"/>
  <c r="A109" i="13" s="1"/>
  <c r="A110" i="13" s="1"/>
  <c r="A111" i="13" s="1"/>
  <c r="A112" i="13" s="1"/>
  <c r="A113" i="13" s="1"/>
  <c r="A114" i="13" s="1"/>
  <c r="A115" i="13" s="1"/>
  <c r="A116" i="13" s="1"/>
  <c r="A117" i="13" s="1"/>
  <c r="A118" i="13" s="1"/>
  <c r="A119" i="13" s="1"/>
  <c r="A120" i="13" s="1"/>
  <c r="A121" i="13" s="1"/>
  <c r="A122" i="13" s="1"/>
  <c r="A123" i="13" s="1"/>
  <c r="A124" i="13" s="1"/>
  <c r="A125" i="13" s="1"/>
  <c r="A126" i="13" s="1"/>
  <c r="A127" i="13" s="1"/>
  <c r="A128" i="13" s="1"/>
  <c r="A129" i="13" s="1"/>
  <c r="A130" i="13" s="1"/>
  <c r="A131" i="13" s="1"/>
  <c r="A132" i="13" s="1"/>
  <c r="A133" i="13" s="1"/>
  <c r="A134" i="13" s="1"/>
  <c r="A135" i="13" s="1"/>
  <c r="A136" i="13" s="1"/>
  <c r="A137" i="13" s="1"/>
  <c r="A138" i="13" s="1"/>
  <c r="A139" i="13" s="1"/>
  <c r="A140" i="13" s="1"/>
  <c r="A141" i="13" s="1"/>
  <c r="A142" i="13" s="1"/>
  <c r="A143" i="13" s="1"/>
  <c r="A144" i="13" s="1"/>
  <c r="A145" i="13" s="1"/>
  <c r="A146" i="13" s="1"/>
  <c r="A147" i="13" s="1"/>
  <c r="A148" i="13" s="1"/>
  <c r="A149" i="13" s="1"/>
  <c r="A150" i="13" s="1"/>
  <c r="A151" i="13" s="1"/>
  <c r="A152" i="13" s="1"/>
  <c r="A153" i="13" s="1"/>
  <c r="A154" i="13" s="1"/>
  <c r="A155" i="13" s="1"/>
  <c r="A156" i="13" s="1"/>
  <c r="A157" i="13" s="1"/>
  <c r="A158" i="13" s="1"/>
  <c r="A159" i="13" s="1"/>
  <c r="A160" i="13" s="1"/>
  <c r="A161" i="13" s="1"/>
  <c r="A162" i="13" s="1"/>
  <c r="A163" i="13" s="1"/>
  <c r="A164" i="13" s="1"/>
  <c r="A165" i="13" s="1"/>
  <c r="A166" i="13" s="1"/>
  <c r="A167" i="13" s="1"/>
  <c r="A168" i="13" s="1"/>
  <c r="A169" i="13" s="1"/>
  <c r="A170" i="13" s="1"/>
  <c r="A171" i="13" s="1"/>
  <c r="A172" i="13" s="1"/>
  <c r="A173" i="13" s="1"/>
  <c r="A174" i="13" s="1"/>
  <c r="A175" i="13" s="1"/>
  <c r="A176" i="13" s="1"/>
  <c r="A177" i="13" s="1"/>
  <c r="A178" i="13" s="1"/>
  <c r="A179" i="13" s="1"/>
  <c r="A180" i="13" s="1"/>
  <c r="A181" i="13" s="1"/>
  <c r="A182" i="13" s="1"/>
  <c r="A183" i="13" s="1"/>
  <c r="A184" i="13" s="1"/>
  <c r="A185" i="13" s="1"/>
  <c r="A186" i="13" s="1"/>
  <c r="A187" i="13" s="1"/>
  <c r="A188" i="13" s="1"/>
  <c r="A189" i="13" s="1"/>
  <c r="A190" i="13" s="1"/>
  <c r="A191" i="13" s="1"/>
  <c r="A192" i="13" s="1"/>
  <c r="A193" i="13" s="1"/>
  <c r="A194" i="13" s="1"/>
  <c r="A195" i="13" s="1"/>
  <c r="A196" i="13" s="1"/>
  <c r="A197" i="13" s="1"/>
  <c r="A198" i="13" s="1"/>
  <c r="A199" i="13" s="1"/>
  <c r="A200" i="13" s="1"/>
  <c r="A201" i="13" s="1"/>
  <c r="A202" i="13" s="1"/>
  <c r="A203" i="13" s="1"/>
  <c r="A204" i="13" s="1"/>
  <c r="A205" i="13" s="1"/>
  <c r="A206" i="13" s="1"/>
  <c r="A207" i="13" s="1"/>
  <c r="A208" i="13" s="1"/>
  <c r="A209" i="13" s="1"/>
  <c r="A210" i="13" s="1"/>
  <c r="A211" i="13" s="1"/>
  <c r="A212" i="13" s="1"/>
  <c r="A213" i="13" s="1"/>
  <c r="A214" i="13" s="1"/>
  <c r="A215" i="13" s="1"/>
  <c r="A216" i="13" s="1"/>
  <c r="A217" i="13" s="1"/>
  <c r="A218" i="13" s="1"/>
  <c r="A219" i="13" s="1"/>
  <c r="A220" i="13" s="1"/>
  <c r="A221" i="13" s="1"/>
  <c r="A222" i="13" s="1"/>
  <c r="A223" i="13" s="1"/>
  <c r="A224" i="13" s="1"/>
  <c r="A225" i="13" s="1"/>
  <c r="A226" i="13" s="1"/>
  <c r="A227" i="13" s="1"/>
  <c r="A228" i="13" s="1"/>
  <c r="A229" i="13" s="1"/>
  <c r="A230" i="13" s="1"/>
  <c r="A231" i="13" s="1"/>
  <c r="A232" i="13" s="1"/>
  <c r="A233" i="13" s="1"/>
  <c r="A234" i="13" s="1"/>
  <c r="A235" i="13" s="1"/>
  <c r="A236" i="13" s="1"/>
  <c r="A237" i="13" s="1"/>
  <c r="A238" i="13" s="1"/>
  <c r="A239" i="13" s="1"/>
  <c r="A240" i="13" s="1"/>
  <c r="A241" i="13" s="1"/>
  <c r="A242" i="13" s="1"/>
  <c r="A243" i="13" s="1"/>
  <c r="A244" i="13" s="1"/>
  <c r="A245" i="13" s="1"/>
  <c r="A246" i="13" s="1"/>
  <c r="A247" i="13" s="1"/>
  <c r="A248" i="13" s="1"/>
  <c r="A249" i="13" s="1"/>
  <c r="A250" i="13" s="1"/>
  <c r="A251" i="13" s="1"/>
  <c r="A252" i="13" s="1"/>
  <c r="A253" i="13" s="1"/>
  <c r="A254" i="13" s="1"/>
  <c r="A255" i="13" s="1"/>
  <c r="A256" i="13" s="1"/>
  <c r="A257" i="13" s="1"/>
  <c r="A258" i="13" s="1"/>
  <c r="A259" i="13" s="1"/>
  <c r="A260" i="13" s="1"/>
  <c r="A261" i="13" s="1"/>
  <c r="A262" i="13" s="1"/>
  <c r="A263" i="13" s="1"/>
  <c r="A264" i="13" s="1"/>
  <c r="A265" i="13" s="1"/>
  <c r="A266" i="13" s="1"/>
  <c r="A267" i="13" s="1"/>
  <c r="A268" i="13" s="1"/>
  <c r="A269" i="13" s="1"/>
  <c r="A270" i="13" s="1"/>
  <c r="A271" i="13" s="1"/>
  <c r="A272" i="13" s="1"/>
  <c r="A273" i="13" s="1"/>
  <c r="A274" i="13" s="1"/>
  <c r="A275" i="13" s="1"/>
  <c r="A276" i="13" s="1"/>
  <c r="A277" i="13" s="1"/>
  <c r="A278" i="13" s="1"/>
  <c r="A279" i="13" s="1"/>
  <c r="A280" i="13" s="1"/>
  <c r="A281" i="13" s="1"/>
  <c r="A282" i="13" s="1"/>
  <c r="A283" i="13" s="1"/>
  <c r="A284" i="13" s="1"/>
  <c r="A285" i="13" s="1"/>
  <c r="A286" i="13" s="1"/>
  <c r="A287" i="13" s="1"/>
  <c r="A288" i="13" s="1"/>
  <c r="A289" i="13" s="1"/>
  <c r="A290" i="13" s="1"/>
  <c r="A291" i="13" s="1"/>
  <c r="A292" i="13" s="1"/>
  <c r="A293" i="13" s="1"/>
  <c r="A294" i="13" s="1"/>
  <c r="A295" i="13" s="1"/>
  <c r="A296" i="13" s="1"/>
  <c r="A297" i="13" s="1"/>
  <c r="A298" i="13" s="1"/>
  <c r="A299" i="13" s="1"/>
  <c r="A300" i="13" s="1"/>
  <c r="A301" i="13" s="1"/>
  <c r="A302" i="13" s="1"/>
  <c r="A303" i="13" s="1"/>
  <c r="A304" i="13" s="1"/>
  <c r="A305" i="13" s="1"/>
  <c r="A306" i="13" s="1"/>
  <c r="A307" i="13" s="1"/>
  <c r="A308" i="13" s="1"/>
  <c r="A309" i="13" s="1"/>
  <c r="A310" i="13" s="1"/>
  <c r="A311" i="13" s="1"/>
  <c r="A312" i="13" s="1"/>
  <c r="A313" i="13" s="1"/>
  <c r="A314" i="13" s="1"/>
  <c r="A315" i="13" s="1"/>
  <c r="A316" i="13" s="1"/>
  <c r="A317" i="13" s="1"/>
  <c r="A318" i="13" s="1"/>
  <c r="A319" i="13" s="1"/>
  <c r="A320" i="13" s="1"/>
  <c r="A321" i="13" s="1"/>
  <c r="A322" i="13" s="1"/>
  <c r="A323" i="13" s="1"/>
  <c r="A324" i="13" s="1"/>
  <c r="A325" i="13" s="1"/>
  <c r="A326" i="13" s="1"/>
  <c r="A327" i="13" s="1"/>
  <c r="A328" i="13" s="1"/>
  <c r="A329" i="13" s="1"/>
  <c r="A330" i="13" s="1"/>
  <c r="A62" i="32"/>
  <c r="A63" i="32" s="1"/>
  <c r="A7" i="32"/>
  <c r="A8" i="32" s="1"/>
  <c r="A9" i="32" s="1"/>
  <c r="A10" i="32" s="1"/>
  <c r="A11" i="32" s="1"/>
  <c r="A12" i="32" s="1"/>
  <c r="A13" i="32" s="1"/>
  <c r="A14" i="32" s="1"/>
  <c r="A15" i="32" s="1"/>
  <c r="A16" i="32" s="1"/>
  <c r="A17" i="32" s="1"/>
  <c r="A18" i="32" s="1"/>
  <c r="A19" i="32" s="1"/>
  <c r="A20" i="32" s="1"/>
  <c r="A21" i="32" s="1"/>
  <c r="A22" i="32" s="1"/>
  <c r="A23" i="32" s="1"/>
  <c r="A24" i="32" s="1"/>
  <c r="A25" i="32" s="1"/>
  <c r="A26" i="32" s="1"/>
  <c r="A27" i="32" s="1"/>
  <c r="A28" i="32" s="1"/>
  <c r="A29" i="32" s="1"/>
  <c r="A30" i="32" s="1"/>
  <c r="A31" i="32" s="1"/>
  <c r="A32" i="32" s="1"/>
  <c r="A33" i="32" s="1"/>
  <c r="A34" i="32" s="1"/>
  <c r="A35" i="32" s="1"/>
  <c r="A36" i="32" s="1"/>
  <c r="A37" i="32" s="1"/>
  <c r="A38" i="32" s="1"/>
  <c r="A39" i="32" s="1"/>
  <c r="A40" i="32" s="1"/>
  <c r="A41" i="32" s="1"/>
  <c r="A42" i="32" s="1"/>
  <c r="A43" i="32" s="1"/>
  <c r="A44" i="32" s="1"/>
  <c r="A45" i="32" s="1"/>
  <c r="A46" i="32" s="1"/>
  <c r="A47" i="32" s="1"/>
  <c r="A48" i="32" s="1"/>
  <c r="A49" i="32" s="1"/>
  <c r="A50" i="32" s="1"/>
  <c r="A51" i="32" s="1"/>
  <c r="A52" i="32" s="1"/>
  <c r="A53" i="32" s="1"/>
  <c r="A54" i="32" s="1"/>
  <c r="A55" i="32" s="1"/>
  <c r="A56" i="32" s="1"/>
  <c r="A57" i="32" s="1"/>
  <c r="A58" i="32" s="1"/>
  <c r="A59" i="32" s="1"/>
  <c r="A60" i="32" s="1"/>
  <c r="A331" i="13" l="1"/>
  <c r="A332" i="13" s="1"/>
  <c r="A333" i="13" s="1"/>
  <c r="A334" i="13" s="1"/>
  <c r="A335" i="13" s="1"/>
  <c r="A336" i="13" s="1"/>
  <c r="A337" i="13" s="1"/>
  <c r="A338" i="13" s="1"/>
  <c r="A339" i="13" s="1"/>
  <c r="A340" i="13" s="1"/>
  <c r="A341" i="13" s="1"/>
  <c r="A342" i="13" s="1"/>
  <c r="A67" i="12"/>
  <c r="A68" i="12" l="1"/>
  <c r="A69" i="12" s="1"/>
  <c r="A70" i="12" s="1"/>
  <c r="A71" i="12" s="1"/>
  <c r="A72" i="12" s="1"/>
  <c r="A73" i="12" s="1"/>
  <c r="D97" i="14" l="1"/>
  <c r="D158" i="14" s="1"/>
  <c r="D39" i="14"/>
  <c r="D13" i="14"/>
  <c r="A34" i="5"/>
  <c r="A35" i="5" s="1"/>
  <c r="A36" i="5" s="1"/>
  <c r="A37" i="5" s="1"/>
  <c r="A38" i="5" s="1"/>
  <c r="A39" i="5" s="1"/>
  <c r="A40" i="5" s="1"/>
  <c r="A41" i="5" s="1"/>
  <c r="A5" i="15"/>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A129" i="15" s="1"/>
  <c r="A130" i="15" s="1"/>
  <c r="A131" i="15" s="1"/>
  <c r="A132" i="15" s="1"/>
  <c r="A133" i="15" s="1"/>
  <c r="A134" i="15" s="1"/>
  <c r="A135" i="15" s="1"/>
  <c r="A136" i="15" s="1"/>
  <c r="A137" i="15" s="1"/>
  <c r="A138" i="15" s="1"/>
  <c r="A139" i="15" s="1"/>
  <c r="A140" i="15" s="1"/>
  <c r="A141" i="15" s="1"/>
  <c r="A142" i="15" s="1"/>
  <c r="A143" i="15" s="1"/>
  <c r="A144" i="15" s="1"/>
  <c r="A145" i="15" s="1"/>
  <c r="A146" i="15" s="1"/>
  <c r="A147" i="15" s="1"/>
  <c r="A148" i="15" s="1"/>
  <c r="A149" i="15" s="1"/>
  <c r="A150" i="15" s="1"/>
  <c r="A151" i="15" s="1"/>
  <c r="A152" i="15" s="1"/>
  <c r="A153" i="15" s="1"/>
  <c r="A154" i="15" s="1"/>
  <c r="A155" i="15" s="1"/>
  <c r="A156" i="15" s="1"/>
  <c r="A157" i="15" s="1"/>
  <c r="A158" i="15" s="1"/>
  <c r="A159" i="15" s="1"/>
  <c r="A160" i="15" s="1"/>
  <c r="A161" i="15" s="1"/>
  <c r="A162" i="15" s="1"/>
  <c r="A163" i="15" s="1"/>
  <c r="A164" i="15" s="1"/>
  <c r="A165" i="15" s="1"/>
  <c r="A166" i="15" s="1"/>
  <c r="A167" i="15" s="1"/>
  <c r="A168" i="15" s="1"/>
  <c r="A169" i="15" s="1"/>
  <c r="A170" i="15" s="1"/>
  <c r="A171" i="15" s="1"/>
  <c r="A172" i="15" s="1"/>
  <c r="A173" i="15" s="1"/>
  <c r="A174" i="15" s="1"/>
  <c r="A175" i="15" s="1"/>
  <c r="A176" i="15" s="1"/>
  <c r="A177" i="15" s="1"/>
  <c r="A178" i="15" s="1"/>
  <c r="A179" i="15" s="1"/>
  <c r="A180" i="15" s="1"/>
  <c r="A181" i="15" s="1"/>
  <c r="A182" i="15" s="1"/>
  <c r="A183" i="15" s="1"/>
  <c r="A184" i="15" s="1"/>
  <c r="A185" i="15" s="1"/>
  <c r="A186" i="15" s="1"/>
  <c r="A187" i="15" s="1"/>
  <c r="A188" i="15" s="1"/>
  <c r="A189" i="15" s="1"/>
  <c r="A190" i="15" s="1"/>
  <c r="A191" i="15" s="1"/>
  <c r="A192" i="15" s="1"/>
  <c r="A193" i="15" s="1"/>
  <c r="A194" i="15" s="1"/>
  <c r="A195" i="15" s="1"/>
  <c r="A196" i="15" s="1"/>
  <c r="A197" i="15" s="1"/>
  <c r="A198" i="15" s="1"/>
  <c r="A199" i="15" s="1"/>
  <c r="A200" i="15" s="1"/>
  <c r="A201" i="15" s="1"/>
  <c r="A202" i="15" s="1"/>
  <c r="A203" i="15" s="1"/>
  <c r="A204" i="15" s="1"/>
  <c r="A205" i="15" s="1"/>
  <c r="A61" i="6"/>
  <c r="A62" i="6" s="1"/>
  <c r="A61" i="8"/>
  <c r="A62" i="8" s="1"/>
  <c r="A61" i="7"/>
  <c r="A62" i="7" s="1"/>
  <c r="A33" i="4"/>
  <c r="A6" i="5"/>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E13" i="14"/>
  <c r="F13" i="14"/>
  <c r="G13" i="14"/>
  <c r="H13" i="14"/>
  <c r="I13" i="14"/>
  <c r="J13" i="14"/>
  <c r="K13" i="14"/>
  <c r="L13" i="14"/>
  <c r="M13" i="14"/>
  <c r="N13" i="14"/>
  <c r="O13" i="14"/>
  <c r="P13" i="14"/>
  <c r="E157" i="14"/>
  <c r="F157" i="14"/>
  <c r="G157" i="14"/>
  <c r="H157" i="14"/>
  <c r="I157" i="14"/>
  <c r="J157" i="14"/>
  <c r="K157" i="14"/>
  <c r="L157" i="14"/>
  <c r="M157" i="14"/>
  <c r="N157" i="14"/>
  <c r="O157" i="14"/>
  <c r="P157" i="14"/>
  <c r="I75" i="14"/>
  <c r="I97" i="14" s="1"/>
  <c r="J75" i="14"/>
  <c r="J97" i="14" s="1"/>
  <c r="I39" i="14"/>
  <c r="J39" i="14"/>
  <c r="P75" i="14"/>
  <c r="P97" i="14" s="1"/>
  <c r="O75" i="14"/>
  <c r="O97" i="14" s="1"/>
  <c r="N75" i="14"/>
  <c r="N97" i="14" s="1"/>
  <c r="M75" i="14"/>
  <c r="M97" i="14" s="1"/>
  <c r="L75" i="14"/>
  <c r="L97" i="14" s="1"/>
  <c r="K75" i="14"/>
  <c r="K97" i="14" s="1"/>
  <c r="H75" i="14"/>
  <c r="H97" i="14" s="1"/>
  <c r="G75" i="14"/>
  <c r="G97" i="14" s="1"/>
  <c r="F75" i="14"/>
  <c r="F97" i="14" s="1"/>
  <c r="E75" i="14"/>
  <c r="E97" i="14" s="1"/>
  <c r="P39" i="14"/>
  <c r="O39" i="14"/>
  <c r="N39" i="14"/>
  <c r="M39" i="14"/>
  <c r="L39" i="14"/>
  <c r="K39" i="14"/>
  <c r="H39" i="14"/>
  <c r="G39" i="14"/>
  <c r="F39" i="14"/>
  <c r="E39" i="14"/>
  <c r="E44" i="14" s="1"/>
  <c r="A7" i="14"/>
  <c r="A8" i="14" s="1"/>
  <c r="A9" i="14" s="1"/>
  <c r="A10" i="14" s="1"/>
  <c r="A11" i="14" s="1"/>
  <c r="A12" i="14" s="1"/>
  <c r="A13"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E65" i="12"/>
  <c r="D65" i="12"/>
  <c r="A6" i="12"/>
  <c r="A7" i="12" s="1"/>
  <c r="A8" i="12" s="1"/>
  <c r="A9" i="12" s="1"/>
  <c r="A10" i="12" s="1"/>
  <c r="A11" i="12" s="1"/>
  <c r="A12" i="12" s="1"/>
  <c r="A13" i="12" s="1"/>
  <c r="A14" i="12" s="1"/>
  <c r="A7" i="9"/>
  <c r="A8" i="9" s="1"/>
  <c r="A9" i="9" s="1"/>
  <c r="A10" i="9" s="1"/>
  <c r="A11" i="9" s="1"/>
  <c r="A12" i="9" s="1"/>
  <c r="A13" i="9" s="1"/>
  <c r="A14" i="9" s="1"/>
  <c r="A6" i="8"/>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 i="7"/>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 i="6"/>
  <c r="A7" i="6"/>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34" i="4"/>
  <c r="A35" i="4" s="1"/>
  <c r="A36" i="4" s="1"/>
  <c r="A37" i="4" s="1"/>
  <c r="A38" i="4" s="1"/>
  <c r="A39" i="4" s="1"/>
  <c r="A40" i="4" s="1"/>
  <c r="A41" i="4" s="1"/>
  <c r="A6" i="4"/>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L44" i="14" l="1"/>
  <c r="A209" i="15"/>
  <c r="A210" i="15" s="1"/>
  <c r="A211" i="15" s="1"/>
  <c r="A212" i="15" s="1"/>
  <c r="A213" i="15" s="1"/>
  <c r="A214" i="15" s="1"/>
  <c r="A215" i="15" s="1"/>
  <c r="A216" i="15" s="1"/>
  <c r="A217" i="15" s="1"/>
  <c r="A218" i="15" s="1"/>
  <c r="A219" i="15" s="1"/>
  <c r="A220" i="15" s="1"/>
  <c r="A221" i="15" s="1"/>
  <c r="A222" i="15" s="1"/>
  <c r="A223" i="15" s="1"/>
  <c r="A224" i="15" s="1"/>
  <c r="A225" i="15" s="1"/>
  <c r="A226" i="15" s="1"/>
  <c r="A227" i="15" s="1"/>
  <c r="A228" i="15" s="1"/>
  <c r="A229" i="15" s="1"/>
  <c r="A230" i="15" s="1"/>
  <c r="A231" i="15" s="1"/>
  <c r="A232" i="15" s="1"/>
  <c r="A233" i="15" s="1"/>
  <c r="A234" i="15" s="1"/>
  <c r="A235" i="15" s="1"/>
  <c r="A236" i="15" s="1"/>
  <c r="A237" i="15" s="1"/>
  <c r="A238" i="15" s="1"/>
  <c r="A239" i="15" s="1"/>
  <c r="A240" i="15" s="1"/>
  <c r="A241" i="15" s="1"/>
  <c r="A242" i="15" s="1"/>
  <c r="A243" i="15" s="1"/>
  <c r="A244" i="15" s="1"/>
  <c r="A245" i="15" s="1"/>
  <c r="A246" i="15" s="1"/>
  <c r="A247" i="15" s="1"/>
  <c r="A248" i="15" s="1"/>
  <c r="A249" i="15" s="1"/>
  <c r="A250" i="15" s="1"/>
  <c r="A251" i="15" s="1"/>
  <c r="A252" i="15" s="1"/>
  <c r="A253" i="15" s="1"/>
  <c r="A206" i="15"/>
  <c r="A207" i="15" s="1"/>
  <c r="A208" i="15" s="1"/>
  <c r="O44" i="14"/>
  <c r="K44" i="14"/>
  <c r="F44" i="14"/>
  <c r="F159" i="14" s="1"/>
  <c r="F158" i="14"/>
  <c r="A73" i="14"/>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15" i="9"/>
  <c r="A16" i="9" s="1"/>
  <c r="A17" i="9" s="1"/>
  <c r="A18" i="9" s="1"/>
  <c r="A19" i="9" s="1"/>
  <c r="A20" i="9" s="1"/>
  <c r="A21" i="9" s="1"/>
  <c r="A22" i="9" s="1"/>
  <c r="A23" i="9" s="1"/>
  <c r="A24" i="9" s="1"/>
  <c r="A25" i="9" s="1"/>
  <c r="A26" i="9" s="1"/>
  <c r="A27" i="9" s="1"/>
  <c r="A28" i="9" s="1"/>
  <c r="A29" i="9" s="1"/>
  <c r="A30" i="9" s="1"/>
  <c r="A31" i="9" s="1"/>
  <c r="A32" i="9" s="1"/>
  <c r="A33" i="9" s="1"/>
  <c r="A34" i="9" s="1"/>
  <c r="K158" i="14"/>
  <c r="K159" i="14" s="1"/>
  <c r="J44" i="14"/>
  <c r="L158" i="14"/>
  <c r="L159" i="14" s="1"/>
  <c r="P158" i="14"/>
  <c r="I44" i="14"/>
  <c r="M44" i="14"/>
  <c r="H158" i="14"/>
  <c r="N158" i="14"/>
  <c r="O158" i="14"/>
  <c r="P44" i="14"/>
  <c r="H44" i="14"/>
  <c r="D44" i="14"/>
  <c r="D159" i="14" s="1"/>
  <c r="J158" i="14"/>
  <c r="N44" i="14"/>
  <c r="G44" i="14"/>
  <c r="A15" i="12"/>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J159" i="14"/>
  <c r="I158" i="14"/>
  <c r="G158" i="14"/>
  <c r="E158" i="14"/>
  <c r="E159" i="14" s="1"/>
  <c r="M158" i="14"/>
  <c r="O159" i="14" l="1"/>
  <c r="N159" i="14"/>
  <c r="A94" i="14"/>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P159" i="14"/>
  <c r="A35" i="9"/>
  <c r="A36" i="9" s="1"/>
  <c r="A37" i="9" s="1"/>
  <c r="A38" i="9" s="1"/>
  <c r="A39" i="9" s="1"/>
  <c r="A40" i="9" s="1"/>
  <c r="A41" i="9" s="1"/>
  <c r="A42" i="9" s="1"/>
  <c r="A43" i="9" s="1"/>
  <c r="A44" i="9" s="1"/>
  <c r="A45" i="9" s="1"/>
  <c r="A46" i="9" s="1"/>
  <c r="A47" i="9" s="1"/>
  <c r="I159" i="14"/>
  <c r="M159" i="14"/>
  <c r="H159" i="14"/>
  <c r="G159" i="14"/>
  <c r="A55" i="12"/>
  <c r="A56" i="12" s="1"/>
  <c r="A57" i="12" s="1"/>
  <c r="A58" i="12" s="1"/>
  <c r="A155" i="14" l="1"/>
  <c r="A156" i="14" s="1"/>
  <c r="A157" i="14" s="1"/>
  <c r="A158" i="14" s="1"/>
  <c r="A159" i="14" s="1"/>
  <c r="A48" i="9"/>
  <c r="A49" i="9" s="1"/>
  <c r="A50" i="9" s="1"/>
  <c r="A51" i="9" s="1"/>
  <c r="A52" i="9" s="1"/>
  <c r="A53" i="9" s="1"/>
  <c r="A54" i="9" s="1"/>
  <c r="A55" i="9" s="1"/>
  <c r="A59" i="12"/>
  <c r="A60" i="12" s="1"/>
  <c r="A61" i="12" s="1"/>
  <c r="A62" i="12" s="1"/>
  <c r="A63" i="12" s="1"/>
  <c r="A64" i="12" s="1"/>
  <c r="A56" i="9" l="1"/>
  <c r="A57" i="9" s="1"/>
  <c r="A58" i="9" s="1"/>
  <c r="A59" i="9" s="1"/>
</calcChain>
</file>

<file path=xl/comments1.xml><?xml version="1.0" encoding="utf-8"?>
<comments xmlns="http://schemas.openxmlformats.org/spreadsheetml/2006/main">
  <authors>
    <author>ldlnb83</author>
  </authors>
  <commentList>
    <comment ref="A3" authorId="0" shapeId="0">
      <text>
        <r>
          <rPr>
            <b/>
            <sz val="9"/>
            <color indexed="81"/>
            <rFont val="Tahoma"/>
            <family val="2"/>
          </rPr>
          <t>user:</t>
        </r>
        <r>
          <rPr>
            <sz val="9"/>
            <color indexed="81"/>
            <rFont val="Tahoma"/>
            <family val="2"/>
          </rPr>
          <t xml:space="preserve">
Actual figures (Not in thousand)</t>
        </r>
      </text>
    </comment>
  </commentList>
</comments>
</file>

<file path=xl/comments2.xml><?xml version="1.0" encoding="utf-8"?>
<comments xmlns="http://schemas.openxmlformats.org/spreadsheetml/2006/main">
  <authors>
    <author>ldlnb83</author>
  </authors>
  <commentList>
    <comment ref="B2" authorId="0" shapeId="0">
      <text>
        <r>
          <rPr>
            <b/>
            <sz val="9"/>
            <color indexed="81"/>
            <rFont val="Tahoma"/>
            <family val="2"/>
          </rPr>
          <t>user:</t>
        </r>
        <r>
          <rPr>
            <sz val="9"/>
            <color indexed="81"/>
            <rFont val="Tahoma"/>
            <family val="2"/>
          </rPr>
          <t xml:space="preserve">
Actual figures (Not in thousand)
</t>
        </r>
      </text>
    </comment>
  </commentList>
</comments>
</file>

<file path=xl/sharedStrings.xml><?xml version="1.0" encoding="utf-8"?>
<sst xmlns="http://schemas.openxmlformats.org/spreadsheetml/2006/main" count="2667" uniqueCount="1861">
  <si>
    <t>Profit After Taxation %</t>
  </si>
  <si>
    <t>Profits Before Taxation/Total Sales</t>
  </si>
  <si>
    <t>Profit Before Taxation %</t>
  </si>
  <si>
    <t>Profits from Operations/Total Sales</t>
  </si>
  <si>
    <t>Operating Profit Margin %</t>
  </si>
  <si>
    <t>A&amp;G Margin Total %</t>
  </si>
  <si>
    <t>A&amp;G Margin Direct %</t>
  </si>
  <si>
    <t>Selling &amp; Dist Margin %</t>
  </si>
  <si>
    <t>(Interco Sales - Cost of Interco Sales)/Interco Sales</t>
  </si>
  <si>
    <t>- Interco Sales GP %</t>
  </si>
  <si>
    <t>(External Sales - Cost of External Sales)/External Sales</t>
  </si>
  <si>
    <t>- External Sales GP %</t>
  </si>
  <si>
    <t>Gross Profits/Total Sales</t>
  </si>
  <si>
    <t>Gross Profits Margin %</t>
  </si>
  <si>
    <t>TOTAL</t>
  </si>
  <si>
    <t>DEPT 8</t>
  </si>
  <si>
    <t>DEPT 6</t>
  </si>
  <si>
    <t>DEPT 5</t>
  </si>
  <si>
    <t>DEPT 3</t>
  </si>
  <si>
    <t>Performance Indicators</t>
  </si>
  <si>
    <r>
      <t xml:space="preserve">Less: </t>
    </r>
    <r>
      <rPr>
        <sz val="8"/>
        <rFont val="Arial"/>
        <family val="2"/>
      </rPr>
      <t>Taxation</t>
    </r>
  </si>
  <si>
    <t>Profit Before Taxation</t>
  </si>
  <si>
    <t>Total Non-Op Income/(Exp)</t>
  </si>
  <si>
    <t>Other Non-Op Income/(Exp)</t>
  </si>
  <si>
    <t>Gain/(Loss) Disposal of FA</t>
  </si>
  <si>
    <t>Dividend Income</t>
  </si>
  <si>
    <t>Interest Income</t>
  </si>
  <si>
    <t>Profit from Operations</t>
  </si>
  <si>
    <t>Total A&amp;G Expenses</t>
  </si>
  <si>
    <t>GST/VAT Expense</t>
  </si>
  <si>
    <t xml:space="preserve">Bad Debts Recovered </t>
  </si>
  <si>
    <t>Prov for Doubtful Debts</t>
  </si>
  <si>
    <t>Prov for Stock Obso/Pilferage</t>
  </si>
  <si>
    <t>Stationery/Printing/Telephone</t>
  </si>
  <si>
    <t>Depn of Fixed Assets</t>
  </si>
  <si>
    <t>Rental/Property Related</t>
  </si>
  <si>
    <t>Equipment Expenses</t>
  </si>
  <si>
    <t>Entertainment</t>
  </si>
  <si>
    <t>Transportation</t>
  </si>
  <si>
    <t>Overseas Travelling</t>
  </si>
  <si>
    <t>Personnel Related Cost</t>
  </si>
  <si>
    <t>Total S&amp;D Expenses</t>
  </si>
  <si>
    <t>Advertising/Promotion</t>
  </si>
  <si>
    <t>Carriage/Transportation</t>
  </si>
  <si>
    <t>Other Op Expense</t>
  </si>
  <si>
    <t>Other Op Income</t>
  </si>
  <si>
    <t>=C7+C10</t>
  </si>
  <si>
    <t>Gross Profit</t>
  </si>
  <si>
    <t>=SUM(C8:C9)</t>
  </si>
  <si>
    <t>Total Cost of Sales</t>
  </si>
  <si>
    <t>Cost of Interco Sales</t>
  </si>
  <si>
    <t>Cost of External Sales</t>
  </si>
  <si>
    <t>=SUM(C5:C6)</t>
  </si>
  <si>
    <t>Total Sales</t>
  </si>
  <si>
    <t>Interco Sales</t>
  </si>
  <si>
    <t>External Sales</t>
  </si>
  <si>
    <t>Last Year</t>
  </si>
  <si>
    <t xml:space="preserve">Variance </t>
  </si>
  <si>
    <t>Budget</t>
  </si>
  <si>
    <t xml:space="preserve">Actual </t>
  </si>
  <si>
    <t>Variance</t>
  </si>
  <si>
    <t>FX:         0.00</t>
  </si>
  <si>
    <t>CURRENCY: SGD 000s</t>
  </si>
  <si>
    <t>SECTION:</t>
  </si>
  <si>
    <t>DEPT: ADMIN</t>
  </si>
  <si>
    <t>DIVISION: HO CORPORATE</t>
  </si>
  <si>
    <t>LEEDEN NATIONAL OXYGEN LTD</t>
  </si>
  <si>
    <t>S/No</t>
  </si>
  <si>
    <t xml:space="preserve">Old </t>
  </si>
  <si>
    <t xml:space="preserve">New </t>
  </si>
  <si>
    <t>Report Name</t>
  </si>
  <si>
    <t>Format</t>
  </si>
  <si>
    <t>User/Comment</t>
  </si>
  <si>
    <t xml:space="preserve"> </t>
  </si>
  <si>
    <t>F101</t>
  </si>
  <si>
    <t>A4 P</t>
  </si>
  <si>
    <t>000s</t>
  </si>
  <si>
    <t>F102</t>
  </si>
  <si>
    <t>Convert to S$</t>
  </si>
  <si>
    <t>A4 L</t>
  </si>
  <si>
    <t>Balance Sheet</t>
  </si>
  <si>
    <t>Actual</t>
  </si>
  <si>
    <t>In Actual Data for easy checking of entries.</t>
  </si>
  <si>
    <t>Detailed Manufacturing Account</t>
  </si>
  <si>
    <t>Detailed Balance Sheet</t>
  </si>
  <si>
    <t>CURRENT MONTH</t>
  </si>
  <si>
    <t>YEAR TO DATE</t>
  </si>
  <si>
    <t>Total</t>
  </si>
  <si>
    <t>Total Other Op Income/(Exp)</t>
  </si>
  <si>
    <t>Selling &amp; Distribution</t>
  </si>
  <si>
    <t>Operating Profits Margin %</t>
  </si>
  <si>
    <t>Profits Before Taxation %</t>
  </si>
  <si>
    <t>DIVISION:</t>
  </si>
  <si>
    <t xml:space="preserve">DEPT: </t>
  </si>
  <si>
    <t>DIV 1</t>
  </si>
  <si>
    <t>DIV 2</t>
  </si>
  <si>
    <t>DIV 3</t>
  </si>
  <si>
    <t>DIV 4</t>
  </si>
  <si>
    <t>DIV 5</t>
  </si>
  <si>
    <t>DIV 6</t>
  </si>
  <si>
    <t>DIV 7</t>
  </si>
  <si>
    <t>DIV 8</t>
  </si>
  <si>
    <t>DEPT 1</t>
  </si>
  <si>
    <t>DEPT 2</t>
  </si>
  <si>
    <t>DEPT 4</t>
  </si>
  <si>
    <t>DEPT 7</t>
  </si>
  <si>
    <t>SECT 1</t>
  </si>
  <si>
    <t>SECT 2</t>
  </si>
  <si>
    <t>SECT 3</t>
  </si>
  <si>
    <t>SECT 4</t>
  </si>
  <si>
    <t>SECT 5</t>
  </si>
  <si>
    <t>SECT 6</t>
  </si>
  <si>
    <t>SECT 7</t>
  </si>
  <si>
    <t>SECT 8</t>
  </si>
  <si>
    <t>Manufacturing Costs</t>
  </si>
  <si>
    <t xml:space="preserve">Direct Material </t>
  </si>
  <si>
    <t>Salary &amp; Leave</t>
  </si>
  <si>
    <t>Bonus</t>
  </si>
  <si>
    <t xml:space="preserve">Foreign Workers/Casual/Temp </t>
  </si>
  <si>
    <t>Overtime</t>
  </si>
  <si>
    <t>Staff Transport/Vehicle Rental</t>
  </si>
  <si>
    <t>Social Security Contribution</t>
  </si>
  <si>
    <t>Others Direct Labor Costs</t>
  </si>
  <si>
    <t xml:space="preserve">Direct Labor </t>
  </si>
  <si>
    <t>Prime Cost</t>
  </si>
  <si>
    <t>Indirect Material</t>
  </si>
  <si>
    <t>Foreign Workers/Casual/Temp</t>
  </si>
  <si>
    <t>Staff Transport</t>
  </si>
  <si>
    <t>Expats' Expenses</t>
  </si>
  <si>
    <t>Other Indirect Labor Costs</t>
  </si>
  <si>
    <t>Indirect Labor</t>
  </si>
  <si>
    <t>Utilities - Elec, Water, Gas</t>
  </si>
  <si>
    <t xml:space="preserve">Product Development/Testing </t>
  </si>
  <si>
    <t>Manufacturing Loss/Wastage</t>
  </si>
  <si>
    <t>Rejects/Reworks/Scrap</t>
  </si>
  <si>
    <t>Work in Progress</t>
  </si>
  <si>
    <t>Factory Rental</t>
  </si>
  <si>
    <t>Property Tax for Factory</t>
  </si>
  <si>
    <t>Depreciation</t>
  </si>
  <si>
    <t>Licenses &amp; Insurance</t>
  </si>
  <si>
    <t>Non Capitalised Purchases</t>
  </si>
  <si>
    <t>Others Fixed Overhead</t>
  </si>
  <si>
    <t>Fixed Overhead</t>
  </si>
  <si>
    <t>Cost of Goods Manufactured</t>
  </si>
  <si>
    <t>MONTH:</t>
  </si>
  <si>
    <t>FX RATE:</t>
  </si>
  <si>
    <t>Audited</t>
  </si>
  <si>
    <t>S$</t>
  </si>
  <si>
    <t>Cash and Bank Balances</t>
  </si>
  <si>
    <t>Fixed Deposits</t>
  </si>
  <si>
    <t>Stocks</t>
  </si>
  <si>
    <t>Trade Debtors</t>
  </si>
  <si>
    <t>Due From Assoc/JV/Related</t>
  </si>
  <si>
    <t>Due From Interco</t>
  </si>
  <si>
    <t>Short-Term Investment</t>
  </si>
  <si>
    <t>Other Debtors/Deposits/Prepayment</t>
  </si>
  <si>
    <t>TOTAL CURRENT ASSETS</t>
  </si>
  <si>
    <t>=SUM(C5:C12)</t>
  </si>
  <si>
    <t>Leasehold Properties</t>
  </si>
  <si>
    <t>Construction in Progress</t>
  </si>
  <si>
    <t>Renovations</t>
  </si>
  <si>
    <t>Investment Property</t>
  </si>
  <si>
    <t>Plant, Machinery &amp; Equipment</t>
  </si>
  <si>
    <t>Furniture and Fittings</t>
  </si>
  <si>
    <t>Office Equipment &amp; Computers</t>
  </si>
  <si>
    <t>Motor Vehicles</t>
  </si>
  <si>
    <t>NET FIXED ASSETS</t>
  </si>
  <si>
    <t>Investment in Subsidiaries</t>
  </si>
  <si>
    <t>Investment in Assoc/JV/Related</t>
  </si>
  <si>
    <t>Intangible Assets</t>
  </si>
  <si>
    <t>Due From Shareholders</t>
  </si>
  <si>
    <t>Deferred Tax Assets</t>
  </si>
  <si>
    <t>Goodwill</t>
  </si>
  <si>
    <t>Less: Impairment/Amortization/Prov</t>
  </si>
  <si>
    <t>TOTAL NON CURRENT ASSETS</t>
  </si>
  <si>
    <t>TOTAL ASSETS</t>
  </si>
  <si>
    <t>OD/Revolving Credit</t>
  </si>
  <si>
    <t>Trust Receipts/Notes Payable/Factoring</t>
  </si>
  <si>
    <t>Short Term Loans</t>
  </si>
  <si>
    <t>Term Loans - Current Portion</t>
  </si>
  <si>
    <t xml:space="preserve">Hire Purchase Creditors </t>
  </si>
  <si>
    <t>Trade Creditors</t>
  </si>
  <si>
    <t>Due to Assoc/JV/Related</t>
  </si>
  <si>
    <t>Due to Interco</t>
  </si>
  <si>
    <t>Prov for Taxation</t>
  </si>
  <si>
    <t>Other Creditors/Accruals</t>
  </si>
  <si>
    <t>TOTAL CURRENT LIABILITIES</t>
  </si>
  <si>
    <t>Long Term Loans</t>
  </si>
  <si>
    <t>Hire Purchase Creditors</t>
  </si>
  <si>
    <t>Deferred Tax Liabilities</t>
  </si>
  <si>
    <t>TOTAL NON CURRENT LIABILITIES</t>
  </si>
  <si>
    <t>TOTAL LIABILITIES</t>
  </si>
  <si>
    <t>Share Premium</t>
  </si>
  <si>
    <t>Quasi-Equity Loan</t>
  </si>
  <si>
    <t>Reserves</t>
  </si>
  <si>
    <t>Accumulated Profits/(Loss)</t>
  </si>
  <si>
    <t>Minority Interest</t>
  </si>
  <si>
    <t>Foreign Currency Translation Reserve</t>
  </si>
  <si>
    <t>TOTAL EQUITY</t>
  </si>
  <si>
    <t>TOTAL LIAB &amp; EQUITY</t>
  </si>
  <si>
    <t>Debtors Turnover (Days)</t>
  </si>
  <si>
    <t>Stocks Turnover (Days)</t>
  </si>
  <si>
    <t>Liabilities to Equity (Leverage)</t>
  </si>
  <si>
    <t>Debt to Equity</t>
  </si>
  <si>
    <t>Provision for Doubtful Debts</t>
  </si>
  <si>
    <t>Provision for Stock Obso/Pilferage</t>
  </si>
  <si>
    <t>Provision for Plant Maintenance</t>
  </si>
  <si>
    <t>P&amp;L Account by Month</t>
  </si>
  <si>
    <t>Detailed P&amp;L Account</t>
  </si>
  <si>
    <t xml:space="preserve">CURRENCY: S$ </t>
  </si>
  <si>
    <t xml:space="preserve">External Sales–Goods </t>
  </si>
  <si>
    <t>External Sales–Cylinder Rental</t>
  </si>
  <si>
    <t>External Sales–Equip Rental</t>
  </si>
  <si>
    <t>External Sales–Repair &amp; Service</t>
  </si>
  <si>
    <t>External Sales–Project Sales</t>
  </si>
  <si>
    <t>External Sales–Delivery Charges</t>
  </si>
  <si>
    <t>External Sales–Mgmt Fee</t>
  </si>
  <si>
    <t>Enternal Sales–Property Rental</t>
  </si>
  <si>
    <t>Interco Sales–Goods</t>
  </si>
  <si>
    <t>Interco Sales–Cylinder Rental</t>
  </si>
  <si>
    <t>Interco Sales–Equip Rental</t>
  </si>
  <si>
    <t>Interco Sales–Repair &amp; Service</t>
  </si>
  <si>
    <t>Interco Sales–Project Sales</t>
  </si>
  <si>
    <t>Interco Sales–Mgmt Fee</t>
  </si>
  <si>
    <t>Interco Sales–Property Rental</t>
  </si>
  <si>
    <t>External COS–Goods</t>
  </si>
  <si>
    <t>External COS–Cylinder Rental</t>
  </si>
  <si>
    <t>External COS–Equip Rental</t>
  </si>
  <si>
    <t>External COS–Repair &amp; Service</t>
  </si>
  <si>
    <t>External COS–Project Sales</t>
  </si>
  <si>
    <t>External COS–Delivery Charges</t>
  </si>
  <si>
    <t xml:space="preserve">Interco COS–Goods </t>
  </si>
  <si>
    <t>Interco COS–Cylinder Rental</t>
  </si>
  <si>
    <t>Interco COS–Project Sales</t>
  </si>
  <si>
    <t>Interco COS–Delivery Charges</t>
  </si>
  <si>
    <t>Add Other Operating Income</t>
  </si>
  <si>
    <t>Commission Income</t>
  </si>
  <si>
    <t>Income on Disposal of Scrap</t>
  </si>
  <si>
    <t>Insurance Claim</t>
  </si>
  <si>
    <t>Other Misc Income</t>
  </si>
  <si>
    <t>Amortisation–Trademark &amp; Patent</t>
  </si>
  <si>
    <t>Amortisation–Product License</t>
  </si>
  <si>
    <t>Amortisation–Club Membership</t>
  </si>
  <si>
    <t>Provision for Bonus</t>
  </si>
  <si>
    <t>Comms &amp; Incentives</t>
  </si>
  <si>
    <t>Foreign Workers</t>
  </si>
  <si>
    <t>Casual/Temp Staff</t>
  </si>
  <si>
    <t>Staff Allow &amp; Incentive</t>
  </si>
  <si>
    <t>Shift Allowance</t>
  </si>
  <si>
    <t>Staff Vehicle Rental</t>
  </si>
  <si>
    <t>Social Securities</t>
  </si>
  <si>
    <t>Worker’s Levy</t>
  </si>
  <si>
    <t>Staff Recruitment</t>
  </si>
  <si>
    <t xml:space="preserve">Staff Training </t>
  </si>
  <si>
    <t>Staff Insurance</t>
  </si>
  <si>
    <t>Staff Medical</t>
  </si>
  <si>
    <t>Staff Welfare</t>
  </si>
  <si>
    <t>Staff Uniforms/PPE</t>
  </si>
  <si>
    <t>Staff Accommodation</t>
  </si>
  <si>
    <t>Other Staff Expenses</t>
  </si>
  <si>
    <t>Expats’ Allowance</t>
  </si>
  <si>
    <t>Expats’ Housing</t>
  </si>
  <si>
    <t>Expats’ Transportation</t>
  </si>
  <si>
    <t>Expats’ Education</t>
  </si>
  <si>
    <t>Expats’ Phone, Internet, Etc.</t>
  </si>
  <si>
    <t>Carriage Outwards</t>
  </si>
  <si>
    <t>Transport–Others</t>
  </si>
  <si>
    <t>Road Tax–Motor Vehicle</t>
  </si>
  <si>
    <t xml:space="preserve">Inspection Fee–Motor Vehicle    </t>
  </si>
  <si>
    <t>Leasing of Motor Vehicle</t>
  </si>
  <si>
    <t>Upkeep of Motor Vehicle</t>
  </si>
  <si>
    <t>Exhibition Expenses</t>
  </si>
  <si>
    <t>Product Development</t>
  </si>
  <si>
    <t>Business Development</t>
  </si>
  <si>
    <t>Non-capitalised Purchases</t>
  </si>
  <si>
    <t xml:space="preserve">R&amp;M–Equipment </t>
  </si>
  <si>
    <t>R&amp;M–Machinery</t>
  </si>
  <si>
    <t>R&amp;M–F&amp;F</t>
  </si>
  <si>
    <t>R&amp;M–Office Equip</t>
  </si>
  <si>
    <t>R&amp;M–Computers</t>
  </si>
  <si>
    <t>R&amp;M–Motor Vehicles</t>
  </si>
  <si>
    <t>Insurance of Equipment</t>
  </si>
  <si>
    <t>Insurance of Vehicles</t>
  </si>
  <si>
    <t>Rental</t>
  </si>
  <si>
    <t>Upkeep of Premises</t>
  </si>
  <si>
    <t>Waste Disposal</t>
  </si>
  <si>
    <t>Water Charges</t>
  </si>
  <si>
    <t>Electricity Charges</t>
  </si>
  <si>
    <t>Gas Charges</t>
  </si>
  <si>
    <t>Property Tax</t>
  </si>
  <si>
    <t>Licenses Fees</t>
  </si>
  <si>
    <t xml:space="preserve">Insurance–General </t>
  </si>
  <si>
    <t>Dep–Land Rights Use</t>
  </si>
  <si>
    <t>Dep–Buildings</t>
  </si>
  <si>
    <t>Dep–Renovations</t>
  </si>
  <si>
    <t>Dep–Machinery</t>
  </si>
  <si>
    <t xml:space="preserve">Dep–Equipment </t>
  </si>
  <si>
    <t>Dep–Tools</t>
  </si>
  <si>
    <t>Dep–Furniture &amp; Fittings</t>
  </si>
  <si>
    <t>Dep–Office Equip</t>
  </si>
  <si>
    <t>Dep–Computers</t>
  </si>
  <si>
    <t>Postage &amp; Mail Charges</t>
  </si>
  <si>
    <t>Printing &amp; Stationaries</t>
  </si>
  <si>
    <t>Telephone/Fax/Teleconference</t>
  </si>
  <si>
    <t>Internet</t>
  </si>
  <si>
    <t>Subscription–Prof Bodies (S&amp;D)</t>
  </si>
  <si>
    <t>Credit Card Charges</t>
  </si>
  <si>
    <t>Donations</t>
  </si>
  <si>
    <t>Other Misc Expenses</t>
  </si>
  <si>
    <t>Workers’ Levy</t>
  </si>
  <si>
    <t>Staff Training</t>
  </si>
  <si>
    <t>Directors Fees</t>
  </si>
  <si>
    <t>Directors Remuneration</t>
  </si>
  <si>
    <t>Directors Allowance</t>
  </si>
  <si>
    <t>Inspection Fee–Motor Vehicle</t>
  </si>
  <si>
    <t>Leasing of Machinery &amp; Equip</t>
  </si>
  <si>
    <t>Non-Capitalised Purchases</t>
  </si>
  <si>
    <t>R&amp;M–Equipment</t>
  </si>
  <si>
    <t>Rental of Premises</t>
  </si>
  <si>
    <t xml:space="preserve">Property Tax </t>
  </si>
  <si>
    <t>Assessment Fee</t>
  </si>
  <si>
    <t xml:space="preserve">Stamp Duty </t>
  </si>
  <si>
    <t>Dep–Leasehold Land</t>
  </si>
  <si>
    <t>Dep–Motor Vehicles</t>
  </si>
  <si>
    <t>Subscription</t>
  </si>
  <si>
    <t>Directors’ Fee</t>
  </si>
  <si>
    <t>Audit Fees</t>
  </si>
  <si>
    <t>Secretarial Fees</t>
  </si>
  <si>
    <t>Tax Fees</t>
  </si>
  <si>
    <t>Legal Fees</t>
  </si>
  <si>
    <t>Professional Fees</t>
  </si>
  <si>
    <t>Consultancy Fees</t>
  </si>
  <si>
    <t>Security Charges</t>
  </si>
  <si>
    <t>Insurance–General</t>
  </si>
  <si>
    <t>Insurance–Motor Vehicles</t>
  </si>
  <si>
    <t>Insurance–Others</t>
  </si>
  <si>
    <t>Prov for Stock Obsolescence</t>
  </si>
  <si>
    <t>Prov for Pilferage</t>
  </si>
  <si>
    <t>Prov for Doubtful Debt</t>
  </si>
  <si>
    <t>Bad Debt Written Off/Recovered</t>
  </si>
  <si>
    <t>Bank Charges</t>
  </si>
  <si>
    <t>Interest–Bank Overdraft</t>
  </si>
  <si>
    <t>Interest–Factoring/TR/Bill Payback</t>
  </si>
  <si>
    <t>Interest–Short Term Loan</t>
  </si>
  <si>
    <t>Interest–Term Loan</t>
  </si>
  <si>
    <t>Interest–Hire Purchase</t>
  </si>
  <si>
    <t>Interest–Loan from Interco</t>
  </si>
  <si>
    <t>Interest–Loan from Assoc/Rel</t>
  </si>
  <si>
    <t>Interest–Loan from Shareholders</t>
  </si>
  <si>
    <t>Interest–Loan from Others</t>
  </si>
  <si>
    <t>Gain/(Loss) on Derivatives–Reald</t>
  </si>
  <si>
    <t>Gain/(Loss) on Derivatives–Unreald</t>
  </si>
  <si>
    <t>Gain/(loss) on Exch Diff–Reald</t>
  </si>
  <si>
    <t>Gain/(Loss) on Exch Diff–Unreald</t>
  </si>
  <si>
    <t>Non Operating Income/Expenses</t>
  </si>
  <si>
    <t>Government Grant</t>
  </si>
  <si>
    <t>Share of Assoc/JV’s P&amp;L</t>
  </si>
  <si>
    <t>Negative Goodwill</t>
  </si>
  <si>
    <t>ESOS Expenses</t>
  </si>
  <si>
    <t>Net Profit Before Taxation</t>
  </si>
  <si>
    <r>
      <rPr>
        <b/>
        <sz val="8"/>
        <rFont val="Arial"/>
        <family val="2"/>
      </rPr>
      <t xml:space="preserve">Less: </t>
    </r>
    <r>
      <rPr>
        <b/>
        <u/>
        <sz val="8"/>
        <rFont val="Arial"/>
        <family val="2"/>
      </rPr>
      <t>Taxation</t>
    </r>
  </si>
  <si>
    <t>Real Property Gain Tax</t>
  </si>
  <si>
    <t>Foreign Withholding Tax</t>
  </si>
  <si>
    <t>GST/VAT Expense Off</t>
  </si>
  <si>
    <t>Taxation–Current Year</t>
  </si>
  <si>
    <t>Taxation–Prior Year</t>
  </si>
  <si>
    <t>Deferred Tax–Current Year</t>
  </si>
  <si>
    <t>Deferred Tax–Prior Year</t>
  </si>
  <si>
    <t>Net Profit After Taxation</t>
  </si>
  <si>
    <t>Direct Material</t>
  </si>
  <si>
    <t>Total Direct Material</t>
  </si>
  <si>
    <t xml:space="preserve">Direct Labour </t>
  </si>
  <si>
    <t>Total Direct Labour</t>
  </si>
  <si>
    <t>Direct Exps-Electricity</t>
  </si>
  <si>
    <t>Indirect labour</t>
  </si>
  <si>
    <t>Total Indirect Labour</t>
  </si>
  <si>
    <t>Carriage Inwards</t>
  </si>
  <si>
    <t>Storage Charges</t>
  </si>
  <si>
    <t>Product Certification</t>
  </si>
  <si>
    <t>Product Testing</t>
  </si>
  <si>
    <t>QC Testing</t>
  </si>
  <si>
    <t>Manufacturing Loss</t>
  </si>
  <si>
    <t>Manufacturing Wastage</t>
  </si>
  <si>
    <t>Rejects</t>
  </si>
  <si>
    <t>Scrap</t>
  </si>
  <si>
    <t>Total Variable Overhead</t>
  </si>
  <si>
    <t>Upkeep of Factory</t>
  </si>
  <si>
    <t>Licenses</t>
  </si>
  <si>
    <t>R&amp;M–Plant</t>
  </si>
  <si>
    <t xml:space="preserve">R&amp;M–Machinery </t>
  </si>
  <si>
    <t>R&amp;M– Pipelines</t>
  </si>
  <si>
    <t>R&amp;M–Storage Tanks</t>
  </si>
  <si>
    <t>R&amp;M–ISO Tanks</t>
  </si>
  <si>
    <t>R&amp;M–Racks &amp; Cylinders</t>
  </si>
  <si>
    <t>R&amp;M–Tools</t>
  </si>
  <si>
    <t>R&amp;M–Dies &amp; Moulds</t>
  </si>
  <si>
    <t>R&amp;M–Furniture &amp; Fittings</t>
  </si>
  <si>
    <t>R&amp;M–Vehicles</t>
  </si>
  <si>
    <t>Leasing of Vehicles</t>
  </si>
  <si>
    <t>Rental of Cylinders</t>
  </si>
  <si>
    <t>Dep–Plant</t>
  </si>
  <si>
    <t>Dep­–Pipelines</t>
  </si>
  <si>
    <t>Dep–Storage Tanks</t>
  </si>
  <si>
    <t>Dep–ISO Tanks</t>
  </si>
  <si>
    <t>Dep–Racks &amp; Cylinders</t>
  </si>
  <si>
    <t>Dep–Dies &amp; Moulds</t>
  </si>
  <si>
    <t>Dep–Spare Parts</t>
  </si>
  <si>
    <t>Printing &amp; Stationeries</t>
  </si>
  <si>
    <t xml:space="preserve">Telephone/Fax/Teleconference </t>
  </si>
  <si>
    <t>Security Systems</t>
  </si>
  <si>
    <t>Miscellaneous Expense</t>
  </si>
  <si>
    <t>Total Fixed Overhead</t>
  </si>
  <si>
    <t>Total Manufacturing Cost</t>
  </si>
  <si>
    <t>External Sales–Other Charges</t>
  </si>
  <si>
    <t>Interco Sales– Delivery Charges</t>
  </si>
  <si>
    <t>Interco Sales–Other Charges</t>
  </si>
  <si>
    <t>Assoc/JV/Rel Sales</t>
  </si>
  <si>
    <t>Assoc/JV/Rel Sales–Cylinder Rental</t>
  </si>
  <si>
    <t>Assoc/JV/Rel Sales–Equip Rental</t>
  </si>
  <si>
    <t>Assoc/JV/Rel Sales–Repair &amp; Service</t>
  </si>
  <si>
    <t>Assoc/JV/Rel Sales–Delivery Charges</t>
  </si>
  <si>
    <t>Assoc/JV/Rel Sales–Other Charges</t>
  </si>
  <si>
    <t>Assoc/JV/Rel Sales–Project Sales</t>
  </si>
  <si>
    <t>Assoc/JV/Rel Sales–Mgmt Fee</t>
  </si>
  <si>
    <t>Assoc/JV/Rel Sales–Property Rental</t>
  </si>
  <si>
    <t xml:space="preserve">Assoc/JV/Rel Sales–Goods </t>
  </si>
  <si>
    <t>External COS–Other Charges</t>
  </si>
  <si>
    <t>Interco COS–Equip Rental</t>
  </si>
  <si>
    <t>Interco COS–Repair &amp; Service</t>
  </si>
  <si>
    <t>Interco COS–Other Charges</t>
  </si>
  <si>
    <t>Assoc/JV/Rel COS–Goods</t>
  </si>
  <si>
    <t>Assoc/JV/Rel COS–Cylinder Rental</t>
  </si>
  <si>
    <t>Assoc/JV/Rel COS–Equip Rental</t>
  </si>
  <si>
    <t>Assoc/JV/Rel COS–Repair &amp; Service</t>
  </si>
  <si>
    <t>Assoc/JV/Rel COS–Delivery Charges</t>
  </si>
  <si>
    <t>Assoc/JV/Rel COS–Other Charges</t>
  </si>
  <si>
    <t>Assoc/JV/Rel COS–Project Sales</t>
  </si>
  <si>
    <t>Cost of Assoc/JV/Rel Sales</t>
  </si>
  <si>
    <t>Insurance</t>
  </si>
  <si>
    <t>Handling Charges</t>
  </si>
  <si>
    <t>Import/Custom Duties</t>
  </si>
  <si>
    <t>Dep–Rental Equipment</t>
  </si>
  <si>
    <t xml:space="preserve">Dep–Onsite Plant </t>
  </si>
  <si>
    <t xml:space="preserve">Dep–Onsite Storage Tanks </t>
  </si>
  <si>
    <t>Staff Vehicle Expenses</t>
  </si>
  <si>
    <t>Expats’ Other Expenses</t>
  </si>
  <si>
    <t>Endorsement Fees</t>
  </si>
  <si>
    <t>Export Packaging Exps</t>
  </si>
  <si>
    <t>A&amp;P Expenses</t>
  </si>
  <si>
    <t>Leasing of Equipment</t>
  </si>
  <si>
    <t xml:space="preserve">Dep–Onsite Pipelines </t>
  </si>
  <si>
    <t>Telephone/Fax/Videoconference</t>
  </si>
  <si>
    <t>Recovery to/from Interco</t>
  </si>
  <si>
    <t>Head Office Costs/Alloc</t>
  </si>
  <si>
    <t>Dep–Investment Property</t>
  </si>
  <si>
    <t>Recovery to/(from) Interco</t>
  </si>
  <si>
    <t>Impairm Loss on Subsidiaries</t>
  </si>
  <si>
    <t>Impairm Loss on Assoc/JV/Rel Co</t>
  </si>
  <si>
    <t xml:space="preserve">Impairm Loss–Property </t>
  </si>
  <si>
    <t>Impairm Loss–Plant &amp; Equip</t>
  </si>
  <si>
    <t>Impairm Loss–Investment</t>
  </si>
  <si>
    <t>Impairm Loss–Goodwill</t>
  </si>
  <si>
    <t>Impairm Loss–Others</t>
  </si>
  <si>
    <t xml:space="preserve">Other Non-Operating Exps </t>
  </si>
  <si>
    <t>DM–Raw Materials</t>
  </si>
  <si>
    <t>DM–Parts &amp; Access</t>
  </si>
  <si>
    <t>DM–Packaging Materials</t>
  </si>
  <si>
    <t>DM–Labelling Materials</t>
  </si>
  <si>
    <t>DM–Refill Materials</t>
  </si>
  <si>
    <t>DM–Others</t>
  </si>
  <si>
    <t>DM–Control A/C</t>
  </si>
  <si>
    <t>DL–Salary &amp; Leave</t>
  </si>
  <si>
    <t>DL-Salary Foreign Workers</t>
  </si>
  <si>
    <t>DL–Bonus</t>
  </si>
  <si>
    <t>DL–Bonus Foreign Workers</t>
  </si>
  <si>
    <t>DL–Coms &amp; Incentive</t>
  </si>
  <si>
    <t>DL–Foreign Workers</t>
  </si>
  <si>
    <t>DL–Contractors</t>
  </si>
  <si>
    <t>DL–Casual/Temp Staff</t>
  </si>
  <si>
    <t>DL–Overtime</t>
  </si>
  <si>
    <t>DL–OT Foreign Workers</t>
  </si>
  <si>
    <t>DL–Shift Allow &amp; Incentive</t>
  </si>
  <si>
    <t>DL–Worker Allowance</t>
  </si>
  <si>
    <t>DL–Worker Transport</t>
  </si>
  <si>
    <t>DL–Social Securities</t>
  </si>
  <si>
    <t>DL–Worker’s Levy</t>
  </si>
  <si>
    <t>DL–Worker Recruitment</t>
  </si>
  <si>
    <t>DL–Worker Training</t>
  </si>
  <si>
    <t>DL–Worker Insurance</t>
  </si>
  <si>
    <t>DL–Worker Medical</t>
  </si>
  <si>
    <t xml:space="preserve">DL–Worker Welfare </t>
  </si>
  <si>
    <t xml:space="preserve">DL–Worker Uniforms/PPE </t>
  </si>
  <si>
    <t>DL–Staff Accommodation</t>
  </si>
  <si>
    <t>DL–Others</t>
  </si>
  <si>
    <t>DL–Control A/C</t>
  </si>
  <si>
    <t>Direct Exps–LPG</t>
  </si>
  <si>
    <t>Direct Exps–Welding Gases</t>
  </si>
  <si>
    <t>DM–Packing &amp; Label Materials</t>
  </si>
  <si>
    <t>IL–Salary &amp; Leave</t>
  </si>
  <si>
    <t>IL–Bonus</t>
  </si>
  <si>
    <t>IL–Coms &amp; Incentive</t>
  </si>
  <si>
    <t>IL–Foreign Workers</t>
  </si>
  <si>
    <t>IL–Contractors</t>
  </si>
  <si>
    <t>IL–Casual/ Temp Staff</t>
  </si>
  <si>
    <t>IL–Overtime</t>
  </si>
  <si>
    <t>IL–Shift Allow &amp; Incentive</t>
  </si>
  <si>
    <t>IL–Worker Allowance</t>
  </si>
  <si>
    <t>IL–Staff Transport</t>
  </si>
  <si>
    <t>IL–Social Securities</t>
  </si>
  <si>
    <t>IL–Worker’s Levy</t>
  </si>
  <si>
    <t>IL–Staff Recruitment</t>
  </si>
  <si>
    <t xml:space="preserve">IL–Staff Training </t>
  </si>
  <si>
    <t>IL–Staff Insurance</t>
  </si>
  <si>
    <t xml:space="preserve">IL–Staff Medical </t>
  </si>
  <si>
    <t>IL–Staff Welfare</t>
  </si>
  <si>
    <t>IL–Staff Uniforms/PPE</t>
  </si>
  <si>
    <t xml:space="preserve">IL–Staff Accommodation </t>
  </si>
  <si>
    <t>IL–Others</t>
  </si>
  <si>
    <t>Overseas Traveling</t>
  </si>
  <si>
    <t>Research &amp; Development</t>
  </si>
  <si>
    <t>Rework</t>
  </si>
  <si>
    <t>Disposal of Sludge</t>
  </si>
  <si>
    <t>Raw Materials</t>
  </si>
  <si>
    <t>Derivatives</t>
  </si>
  <si>
    <t>Other Misc Debtors</t>
  </si>
  <si>
    <t>Revolving Credit</t>
  </si>
  <si>
    <t>Due to Shareholders</t>
  </si>
  <si>
    <t>Prov for A&amp;P</t>
  </si>
  <si>
    <t>Share Capital</t>
  </si>
  <si>
    <t>Treasury Shares</t>
  </si>
  <si>
    <t>Fixed Deposit</t>
  </si>
  <si>
    <t>Prov for Raw Materials</t>
  </si>
  <si>
    <t>Semi-Finished Goods</t>
  </si>
  <si>
    <t>Packing &amp; Labelling Materials</t>
  </si>
  <si>
    <t>Prov for Packing &amp; Label Material</t>
  </si>
  <si>
    <t xml:space="preserve">Consumables </t>
  </si>
  <si>
    <t>Stocks In Transit</t>
  </si>
  <si>
    <t xml:space="preserve">Finished Goods </t>
  </si>
  <si>
    <t xml:space="preserve">Prov for Finished Goods </t>
  </si>
  <si>
    <t>Trading Stocks</t>
  </si>
  <si>
    <t>Prov for Trading Stocks</t>
  </si>
  <si>
    <t>Prov for Stock Pilferage</t>
  </si>
  <si>
    <t>Stocks Adjustment Account</t>
  </si>
  <si>
    <t xml:space="preserve">Due from Interco–Trade </t>
  </si>
  <si>
    <t>Prov for DD–Interco Trade</t>
  </si>
  <si>
    <t>Due from Interco–Non-Trade</t>
  </si>
  <si>
    <t>Prov for DD–Interco Non-Trade</t>
  </si>
  <si>
    <t xml:space="preserve">Due from Interco–Loan </t>
  </si>
  <si>
    <t>Prov for DD–Interco Loan</t>
  </si>
  <si>
    <t xml:space="preserve">Due from JV Co–Trade </t>
  </si>
  <si>
    <t xml:space="preserve">Prov for DD–JV Co Trade </t>
  </si>
  <si>
    <t>Due from JV Co–Non-Trade</t>
  </si>
  <si>
    <t>Prov for DD–JV Co Non-Trade</t>
  </si>
  <si>
    <t>Due from JV Co–Loan</t>
  </si>
  <si>
    <t>Prov for DD–JV Co Loan</t>
  </si>
  <si>
    <t xml:space="preserve">Due from Assoc–Trade </t>
  </si>
  <si>
    <t>Prov for DD–Assoc Trade</t>
  </si>
  <si>
    <t>Due from Assoc–Non-Trade</t>
  </si>
  <si>
    <t>Prov for DD–Assoc Non-Trade</t>
  </si>
  <si>
    <t xml:space="preserve">Due from Assoc–Loan </t>
  </si>
  <si>
    <t xml:space="preserve">Prov for DD–Assoc Loan </t>
  </si>
  <si>
    <t xml:space="preserve">Due from Rel–Trade </t>
  </si>
  <si>
    <t xml:space="preserve">Prov for DD–Rel Trade </t>
  </si>
  <si>
    <t>Due from Rel–Non-Trade</t>
  </si>
  <si>
    <t xml:space="preserve">Prov for DD–Rel Non-Trade </t>
  </si>
  <si>
    <t>Marketable Securities</t>
  </si>
  <si>
    <t>Prov for Gain/Loss In Mkt Sec</t>
  </si>
  <si>
    <t>Assets Held For Sale</t>
  </si>
  <si>
    <t xml:space="preserve">Tax Recoverable </t>
  </si>
  <si>
    <t xml:space="preserve">GST–Input </t>
  </si>
  <si>
    <t xml:space="preserve">Prepayment </t>
  </si>
  <si>
    <t xml:space="preserve">Deposit </t>
  </si>
  <si>
    <t xml:space="preserve">Advance to Supplier </t>
  </si>
  <si>
    <t xml:space="preserve">Staff Advance  </t>
  </si>
  <si>
    <t xml:space="preserve">Staff Loan </t>
  </si>
  <si>
    <t>Interest Receivables</t>
  </si>
  <si>
    <t>Recoverable Exps</t>
  </si>
  <si>
    <t>Suspense–GST</t>
  </si>
  <si>
    <t xml:space="preserve">Suspense–Others </t>
  </si>
  <si>
    <t>Land–Freehold</t>
  </si>
  <si>
    <t xml:space="preserve">Land–Leasehold </t>
  </si>
  <si>
    <t>Accum Dep–Leasehold land</t>
  </si>
  <si>
    <t xml:space="preserve">Land–Rights </t>
  </si>
  <si>
    <t>Accum Dep–Land Rights</t>
  </si>
  <si>
    <t>Building</t>
  </si>
  <si>
    <t>Accum Dep–Building</t>
  </si>
  <si>
    <t xml:space="preserve">Renovations </t>
  </si>
  <si>
    <t>Accum Dep–Renovations</t>
  </si>
  <si>
    <t>Accum Dep–Investment Property</t>
  </si>
  <si>
    <t>Plant</t>
  </si>
  <si>
    <t xml:space="preserve">Accum Dep–Plant </t>
  </si>
  <si>
    <t xml:space="preserve">Prov for Impairment–Plant </t>
  </si>
  <si>
    <t>Machinery</t>
  </si>
  <si>
    <t xml:space="preserve">Accum Dep–Machinery </t>
  </si>
  <si>
    <t>Equipment</t>
  </si>
  <si>
    <t>Accum Dep–Equipment</t>
  </si>
  <si>
    <t>Rental Equipment</t>
  </si>
  <si>
    <t>Accum Dep–Rental Equipment</t>
  </si>
  <si>
    <t>Pipelines</t>
  </si>
  <si>
    <t>Accum Dep–Pipelines</t>
  </si>
  <si>
    <t>Storage Tanks</t>
  </si>
  <si>
    <t>Accum Dep–Storage Tanks</t>
  </si>
  <si>
    <t>ISO Tanks</t>
  </si>
  <si>
    <t>Accum Dep–ISO Tanks</t>
  </si>
  <si>
    <t>Racks &amp; Cylinders</t>
  </si>
  <si>
    <t>Accum Dep–Racks &amp; Cylinders</t>
  </si>
  <si>
    <t>Tools</t>
  </si>
  <si>
    <t>Accum Dep–Tools</t>
  </si>
  <si>
    <t>Dies &amp; Moulds</t>
  </si>
  <si>
    <t>Accum Dep–Dies &amp; Moulds</t>
  </si>
  <si>
    <t>Spare Parts</t>
  </si>
  <si>
    <t>Accum Dep –Spare Parts</t>
  </si>
  <si>
    <t>Furniture &amp; Fittings</t>
  </si>
  <si>
    <t>Accum Dep–F&amp;F</t>
  </si>
  <si>
    <t>Office Equipment</t>
  </si>
  <si>
    <t>Accum Dep–Office Equip</t>
  </si>
  <si>
    <t xml:space="preserve">Computer </t>
  </si>
  <si>
    <t xml:space="preserve">Accum Dep–Computer </t>
  </si>
  <si>
    <t>Motor Vehicle</t>
  </si>
  <si>
    <t>Accum Dep–Motor Vehicle</t>
  </si>
  <si>
    <t>Investment in Subsidiary</t>
  </si>
  <si>
    <t>Investment in JV Co</t>
  </si>
  <si>
    <t>Investment in Assoc Co</t>
  </si>
  <si>
    <t>Investment in Rel Co</t>
  </si>
  <si>
    <t>Investment in Quoted shares</t>
  </si>
  <si>
    <t>Intangibles–Trade Name</t>
  </si>
  <si>
    <t>Intangibles–Customer Relationship</t>
  </si>
  <si>
    <t>Intangibles–Trademark &amp; Patent</t>
  </si>
  <si>
    <t>Intangibles–Product License</t>
  </si>
  <si>
    <t>Intangibles–Club Membership</t>
  </si>
  <si>
    <t xml:space="preserve">Intangibles–Others </t>
  </si>
  <si>
    <t>Due from Shareholders</t>
  </si>
  <si>
    <t>Bank Overdraft</t>
  </si>
  <si>
    <t>Factoring/Bills Payable/TR</t>
  </si>
  <si>
    <t>Short-Term Loan</t>
  </si>
  <si>
    <t xml:space="preserve">Term Loan–Current </t>
  </si>
  <si>
    <t xml:space="preserve">HP Creditors–Current </t>
  </si>
  <si>
    <t xml:space="preserve">Accrued Purchases–External </t>
  </si>
  <si>
    <t>Accrued Purchases–Interco</t>
  </si>
  <si>
    <t>Accrued Purchases–JV</t>
  </si>
  <si>
    <t>Accrued Purchases–Assoc</t>
  </si>
  <si>
    <t>Accrued Purchases–Rel</t>
  </si>
  <si>
    <t xml:space="preserve">Due to Interco–Trade </t>
  </si>
  <si>
    <t xml:space="preserve">Due to Interco–Non-Trade </t>
  </si>
  <si>
    <t xml:space="preserve">Due to Interco–Loan </t>
  </si>
  <si>
    <t xml:space="preserve">Due to JV–Trade </t>
  </si>
  <si>
    <t>Due to JV–Non-Trade</t>
  </si>
  <si>
    <t xml:space="preserve">Due to JV–Loan </t>
  </si>
  <si>
    <t>Due to Assoc–Trade</t>
  </si>
  <si>
    <t>Due to Assoc–Non-Trade</t>
  </si>
  <si>
    <t xml:space="preserve">Due to Assoc–Loan </t>
  </si>
  <si>
    <t xml:space="preserve">Due to Rel Parties–Trade </t>
  </si>
  <si>
    <t>Due to Rel Parties–Non-Trade</t>
  </si>
  <si>
    <t>Due to Interbranch</t>
  </si>
  <si>
    <t>Prov for taxation (Current Year)</t>
  </si>
  <si>
    <t>Prov for taxation (Prior Year)</t>
  </si>
  <si>
    <t>Accruals–Salary and Leave</t>
  </si>
  <si>
    <t>Accrual–Social Securities</t>
  </si>
  <si>
    <t>Accruals–Other HR Exps</t>
  </si>
  <si>
    <t>Accruals–Staff Claims</t>
  </si>
  <si>
    <t>Accruals–Transportation</t>
  </si>
  <si>
    <t>Accruals–Audit Fees</t>
  </si>
  <si>
    <t>Accruals–Tax Fees</t>
  </si>
  <si>
    <t>Accruals–Professional Fees</t>
  </si>
  <si>
    <t>Accruals–Interest Payables</t>
  </si>
  <si>
    <t xml:space="preserve">Accruals–Others </t>
  </si>
  <si>
    <t>Customer Deposit</t>
  </si>
  <si>
    <t xml:space="preserve">Customer down payment </t>
  </si>
  <si>
    <t>Landed Cost Clearing A/C</t>
  </si>
  <si>
    <t xml:space="preserve">Other Creditors–Sundry </t>
  </si>
  <si>
    <t>Other Creditors–Bill Lost Clear</t>
  </si>
  <si>
    <t>Other Creditors–W/H Tax</t>
  </si>
  <si>
    <t xml:space="preserve">Other Creditors–Others </t>
  </si>
  <si>
    <t>GST-output</t>
  </si>
  <si>
    <t>Proposed Dividend</t>
  </si>
  <si>
    <t>Dividend Payable</t>
  </si>
  <si>
    <t xml:space="preserve">Prov for Bonus </t>
  </si>
  <si>
    <t>Prov for Com &amp; Incentives</t>
  </si>
  <si>
    <t xml:space="preserve">Prov for Gratuities </t>
  </si>
  <si>
    <t>Prov for Cylinder Loss</t>
  </si>
  <si>
    <t>Prov for Plant Maintenance</t>
  </si>
  <si>
    <t>Long-Term Loan</t>
  </si>
  <si>
    <t>HP Creditors</t>
  </si>
  <si>
    <t>Due to Assoc–Loan</t>
  </si>
  <si>
    <t xml:space="preserve">Due to Rel Parties–Loan </t>
  </si>
  <si>
    <t>Calls in Arrears</t>
  </si>
  <si>
    <t>Convertible Loan</t>
  </si>
  <si>
    <t>Capital Reserve</t>
  </si>
  <si>
    <t>Asset Revaluation Reserve</t>
  </si>
  <si>
    <t>Statutory Fund Reserve</t>
  </si>
  <si>
    <t>Investment Revaluation Reserve</t>
  </si>
  <si>
    <t>Fair Value Adjustment Reserve</t>
  </si>
  <si>
    <t>Amalgamation Reserve</t>
  </si>
  <si>
    <t>General Reserve</t>
  </si>
  <si>
    <t>ESOS Reserve</t>
  </si>
  <si>
    <t>Accumulated Profit/(Loss)</t>
  </si>
  <si>
    <t>Foreign Currency Trans Reserve</t>
  </si>
  <si>
    <t>A&amp;G Direct Expenses</t>
  </si>
  <si>
    <t>A&amp;G Other Expenses</t>
  </si>
  <si>
    <t xml:space="preserve">A&amp;G Direct Expenses </t>
  </si>
  <si>
    <t xml:space="preserve">A&amp;G Other Expenses </t>
  </si>
  <si>
    <t>CURRENCY:        000s</t>
  </si>
  <si>
    <t xml:space="preserve">Indirect Material </t>
  </si>
  <si>
    <t>Total Fixed &amp; Variable Overhead</t>
  </si>
  <si>
    <t>Amort–Trademark &amp; Patent</t>
  </si>
  <si>
    <t>Amort–Product License</t>
  </si>
  <si>
    <t>Subscription–Prof Bodies (Manufac)</t>
  </si>
  <si>
    <t>Prov for Gain/Loss in FX (Debtors)</t>
  </si>
  <si>
    <t>Prov for Gain/Loss in FX (Creditors)</t>
  </si>
  <si>
    <t>F101S</t>
  </si>
  <si>
    <t>F102S</t>
  </si>
  <si>
    <t>F103</t>
  </si>
  <si>
    <t>F131</t>
  </si>
  <si>
    <t>F141</t>
  </si>
  <si>
    <t>F142</t>
  </si>
  <si>
    <t>F151</t>
  </si>
  <si>
    <t>CURRENCY:      000s</t>
  </si>
  <si>
    <t>5201</t>
  </si>
  <si>
    <t>5202</t>
  </si>
  <si>
    <t>5203</t>
  </si>
  <si>
    <t>5204</t>
  </si>
  <si>
    <t>5211</t>
  </si>
  <si>
    <t>5221</t>
  </si>
  <si>
    <t>5222</t>
  </si>
  <si>
    <t>5223</t>
  </si>
  <si>
    <t>Less Other Operating Expenses</t>
  </si>
  <si>
    <t>5001</t>
  </si>
  <si>
    <t>5002</t>
  </si>
  <si>
    <t>5003</t>
  </si>
  <si>
    <t>5004</t>
  </si>
  <si>
    <t>5005</t>
  </si>
  <si>
    <t>5006</t>
  </si>
  <si>
    <t>5007</t>
  </si>
  <si>
    <t>5021</t>
  </si>
  <si>
    <t>5022</t>
  </si>
  <si>
    <t>5101</t>
  </si>
  <si>
    <t>5102</t>
  </si>
  <si>
    <t>5103</t>
  </si>
  <si>
    <t>5104</t>
  </si>
  <si>
    <t>5106</t>
  </si>
  <si>
    <t>5107</t>
  </si>
  <si>
    <t>5511</t>
  </si>
  <si>
    <t>5519</t>
  </si>
  <si>
    <t>5629</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</si>
  <si>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</si>
  <si>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</si>
  <si>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</si>
  <si>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</si>
  <si>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</si>
  <si>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</si>
  <si>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</si>
  <si>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</si>
  <si>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</si>
  <si>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</si>
  <si>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</si>
  <si>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</si>
  <si>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</si>
  <si>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</si>
  <si>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</si>
  <si>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</si>
  <si>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</si>
  <si>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</si>
  <si>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</si>
  <si>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</si>
  <si>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</si>
  <si>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7031</t>
  </si>
  <si>
    <t>7032</t>
  </si>
  <si>
    <t>7033</t>
  </si>
  <si>
    <t>7034</t>
  </si>
  <si>
    <t>7035</t>
  </si>
  <si>
    <t>7036</t>
  </si>
  <si>
    <t>7101</t>
  </si>
  <si>
    <t>7102</t>
  </si>
  <si>
    <t>7103</t>
  </si>
  <si>
    <t>7104</t>
  </si>
  <si>
    <t>7105</t>
  </si>
  <si>
    <t>7106</t>
  </si>
  <si>
    <t>7107</t>
  </si>
  <si>
    <t>7108</t>
  </si>
  <si>
    <t>7201</t>
  </si>
  <si>
    <t>7202</t>
  </si>
  <si>
    <t>7203</t>
  </si>
  <si>
    <t>7204</t>
  </si>
  <si>
    <t>7301</t>
  </si>
  <si>
    <t>7302</t>
  </si>
  <si>
    <t>7401</t>
  </si>
  <si>
    <t>7402</t>
  </si>
  <si>
    <t>7403</t>
  </si>
  <si>
    <t>7404</t>
  </si>
  <si>
    <t>7405</t>
  </si>
  <si>
    <t>7406</t>
  </si>
  <si>
    <t>7407</t>
  </si>
  <si>
    <t>7408</t>
  </si>
  <si>
    <t>7409</t>
  </si>
  <si>
    <t>7410</t>
  </si>
  <si>
    <t>7503</t>
  </si>
  <si>
    <t>7504</t>
  </si>
  <si>
    <t>7505</t>
  </si>
  <si>
    <t>7506</t>
  </si>
  <si>
    <t>7507</t>
  </si>
  <si>
    <t>7508</t>
  </si>
  <si>
    <t>7509</t>
  </si>
  <si>
    <t>7601</t>
  </si>
  <si>
    <t>7602</t>
  </si>
  <si>
    <t>7603</t>
  </si>
  <si>
    <t>7604</t>
  </si>
  <si>
    <t>7605</t>
  </si>
  <si>
    <t>7606</t>
  </si>
  <si>
    <t>7607</t>
  </si>
  <si>
    <t>7608</t>
  </si>
  <si>
    <t>7609</t>
  </si>
  <si>
    <t>7610</t>
  </si>
  <si>
    <t>7611</t>
  </si>
  <si>
    <t>7612</t>
  </si>
  <si>
    <t>7613</t>
  </si>
  <si>
    <t>7701</t>
  </si>
  <si>
    <t>7702</t>
  </si>
  <si>
    <t>7703</t>
  </si>
  <si>
    <t>7704</t>
  </si>
  <si>
    <t>7705</t>
  </si>
  <si>
    <t>7706</t>
  </si>
  <si>
    <t>7707</t>
  </si>
  <si>
    <t>7708</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</si>
  <si>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</si>
  <si>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</si>
  <si>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</si>
  <si>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</si>
  <si>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</si>
  <si>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</si>
  <si>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</si>
  <si>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</si>
  <si>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</si>
  <si>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</si>
  <si>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</si>
  <si>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</si>
  <si>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</si>
  <si>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</si>
  <si>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</si>
  <si>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</si>
  <si>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</si>
  <si>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</si>
  <si>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</si>
  <si>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</si>
  <si>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</si>
  <si>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8031</t>
  </si>
  <si>
    <t>8032</t>
  </si>
  <si>
    <t>8033</t>
  </si>
  <si>
    <t>8034</t>
  </si>
  <si>
    <t>8035</t>
  </si>
  <si>
    <t>8036</t>
  </si>
  <si>
    <t>8041</t>
  </si>
  <si>
    <t>8042</t>
  </si>
  <si>
    <t>8043</t>
  </si>
  <si>
    <t>8101</t>
  </si>
  <si>
    <t>8102</t>
  </si>
  <si>
    <t>8103</t>
  </si>
  <si>
    <t>8104</t>
  </si>
  <si>
    <t>8105</t>
  </si>
  <si>
    <t>8106</t>
  </si>
  <si>
    <t>8151</t>
  </si>
  <si>
    <t>8152</t>
  </si>
  <si>
    <t>8201</t>
  </si>
  <si>
    <t>8202</t>
  </si>
  <si>
    <t>8203</t>
  </si>
  <si>
    <t>8204</t>
  </si>
  <si>
    <t>8205</t>
  </si>
  <si>
    <t>8206</t>
  </si>
  <si>
    <t>8207</t>
  </si>
  <si>
    <t>8303</t>
  </si>
  <si>
    <t>8304</t>
  </si>
  <si>
    <t>8305</t>
  </si>
  <si>
    <t>8306</t>
  </si>
  <si>
    <t>8307</t>
  </si>
  <si>
    <t>8308</t>
  </si>
  <si>
    <t>8309</t>
  </si>
  <si>
    <t>8310</t>
  </si>
  <si>
    <t>8401</t>
  </si>
  <si>
    <t>8402</t>
  </si>
  <si>
    <t>8403</t>
  </si>
  <si>
    <t>8404</t>
  </si>
  <si>
    <t>8405</t>
  </si>
  <si>
    <t>8406</t>
  </si>
  <si>
    <t>8407</t>
  </si>
  <si>
    <t>8408</t>
  </si>
  <si>
    <t>8409</t>
  </si>
  <si>
    <t>8501</t>
  </si>
  <si>
    <t>8502</t>
  </si>
  <si>
    <t>8503</t>
  </si>
  <si>
    <t>8504</t>
  </si>
  <si>
    <t>8505</t>
  </si>
  <si>
    <t>8601</t>
  </si>
  <si>
    <t>8602</t>
  </si>
  <si>
    <t>8603</t>
  </si>
  <si>
    <t>8604</t>
  </si>
  <si>
    <t>8605</t>
  </si>
  <si>
    <t>8606</t>
  </si>
  <si>
    <t>8607</t>
  </si>
  <si>
    <t>8608</t>
  </si>
  <si>
    <t>8621</t>
  </si>
  <si>
    <t>8622</t>
  </si>
  <si>
    <t>8623</t>
  </si>
  <si>
    <t>8631</t>
  </si>
  <si>
    <t>8701</t>
  </si>
  <si>
    <t>8702</t>
  </si>
  <si>
    <t>8703</t>
  </si>
  <si>
    <t>8704</t>
  </si>
  <si>
    <t>8711</t>
  </si>
  <si>
    <t>8801</t>
  </si>
  <si>
    <t>8802</t>
  </si>
  <si>
    <t>8803</t>
  </si>
  <si>
    <t>8804</t>
  </si>
  <si>
    <t>8805</t>
  </si>
  <si>
    <t>8807</t>
  </si>
  <si>
    <t>8808</t>
  </si>
  <si>
    <t>8809</t>
  </si>
  <si>
    <t>8821</t>
  </si>
  <si>
    <t>8822</t>
  </si>
  <si>
    <t>8831</t>
  </si>
  <si>
    <t>8832</t>
  </si>
  <si>
    <t>9031</t>
  </si>
  <si>
    <t>9101</t>
  </si>
  <si>
    <t>9116</t>
  </si>
  <si>
    <t>9199</t>
  </si>
  <si>
    <t>9201</t>
  </si>
  <si>
    <t>9211</t>
  </si>
  <si>
    <t>9401</t>
  </si>
  <si>
    <t>9402</t>
  </si>
  <si>
    <t>9403</t>
  </si>
  <si>
    <t>9404</t>
  </si>
  <si>
    <t>8000 to 8099</t>
  </si>
  <si>
    <t>8150 to 8199</t>
  </si>
  <si>
    <t>8200 to 8299</t>
  </si>
  <si>
    <t>8400 to 8499</t>
  </si>
  <si>
    <t>8500 to 8599</t>
  </si>
  <si>
    <t>7000 to 7099</t>
  </si>
  <si>
    <t>7100 to 7199</t>
  </si>
  <si>
    <t>7200 to 7299</t>
  </si>
  <si>
    <t>7400 to 7499</t>
  </si>
  <si>
    <t>7500 to 7599</t>
  </si>
  <si>
    <t>7600 to 7699</t>
  </si>
  <si>
    <t>8701 to 8702</t>
  </si>
  <si>
    <t xml:space="preserve">9400 to 9999 </t>
  </si>
  <si>
    <t>-Total S&amp;D Exps/Total Sales</t>
  </si>
  <si>
    <t>-Total Direct A&amp;G Exps/Total Sales</t>
  </si>
  <si>
    <t>-Total A&amp;G Exps/Total Sales</t>
  </si>
  <si>
    <t>Profits After Taxation</t>
  </si>
  <si>
    <t>Profits after Taxation/Total Sales</t>
  </si>
  <si>
    <t>1201</t>
  </si>
  <si>
    <t>1211</t>
  </si>
  <si>
    <t>1212</t>
  </si>
  <si>
    <t>1221</t>
  </si>
  <si>
    <t>1222</t>
  </si>
  <si>
    <t>1231</t>
  </si>
  <si>
    <t>1241</t>
  </si>
  <si>
    <t>1242</t>
  </si>
  <si>
    <t>1242L</t>
  </si>
  <si>
    <t>1299</t>
  </si>
  <si>
    <t>1301</t>
  </si>
  <si>
    <t>1499</t>
  </si>
  <si>
    <t>1501</t>
  </si>
  <si>
    <t>1600</t>
  </si>
  <si>
    <t>1802</t>
  </si>
  <si>
    <t>1803</t>
  </si>
  <si>
    <t>1804</t>
  </si>
  <si>
    <t>1811</t>
  </si>
  <si>
    <t>1812</t>
  </si>
  <si>
    <t>1822</t>
  </si>
  <si>
    <t>1831</t>
  </si>
  <si>
    <t>1841</t>
  </si>
  <si>
    <t>1901</t>
  </si>
  <si>
    <t>2001</t>
  </si>
  <si>
    <t>2002</t>
  </si>
  <si>
    <t>2002D</t>
  </si>
  <si>
    <t>2003</t>
  </si>
  <si>
    <t>2003D</t>
  </si>
  <si>
    <t>2011</t>
  </si>
  <si>
    <t>2011D</t>
  </si>
  <si>
    <t>2021</t>
  </si>
  <si>
    <t>2022</t>
  </si>
  <si>
    <t>2022D</t>
  </si>
  <si>
    <t>2031</t>
  </si>
  <si>
    <t>2031D</t>
  </si>
  <si>
    <t>2101</t>
  </si>
  <si>
    <t>2101D</t>
  </si>
  <si>
    <t>2102</t>
  </si>
  <si>
    <t>2102D</t>
  </si>
  <si>
    <t>2103</t>
  </si>
  <si>
    <t>2103D</t>
  </si>
  <si>
    <t>2104</t>
  </si>
  <si>
    <t>2104D</t>
  </si>
  <si>
    <t>2111</t>
  </si>
  <si>
    <t>2111D</t>
  </si>
  <si>
    <t>2112</t>
  </si>
  <si>
    <t>2112D</t>
  </si>
  <si>
    <t>2113</t>
  </si>
  <si>
    <t>2113D</t>
  </si>
  <si>
    <t>2114</t>
  </si>
  <si>
    <t>2114D</t>
  </si>
  <si>
    <t>2121</t>
  </si>
  <si>
    <t>2121D</t>
  </si>
  <si>
    <t>2122</t>
  </si>
  <si>
    <t>2122D</t>
  </si>
  <si>
    <t>2123</t>
  </si>
  <si>
    <t>2123D</t>
  </si>
  <si>
    <t>2201</t>
  </si>
  <si>
    <t>2201D</t>
  </si>
  <si>
    <t>2301</t>
  </si>
  <si>
    <t>2301D</t>
  </si>
  <si>
    <t>2302</t>
  </si>
  <si>
    <t>2302D</t>
  </si>
  <si>
    <t>2401</t>
  </si>
  <si>
    <t>2401D</t>
  </si>
  <si>
    <t>2601</t>
  </si>
  <si>
    <t>2701</t>
  </si>
  <si>
    <t>2702</t>
  </si>
  <si>
    <t>2703</t>
  </si>
  <si>
    <t>2704</t>
  </si>
  <si>
    <t>2711</t>
  </si>
  <si>
    <t>2719</t>
  </si>
  <si>
    <t>2811</t>
  </si>
  <si>
    <t>2901</t>
  </si>
  <si>
    <t>3601</t>
  </si>
  <si>
    <t>3611</t>
  </si>
  <si>
    <t>3731</t>
  </si>
  <si>
    <t>3799</t>
  </si>
  <si>
    <t>3801</t>
  </si>
  <si>
    <t>3802</t>
  </si>
  <si>
    <t>3901</t>
  </si>
  <si>
    <t>3902</t>
  </si>
  <si>
    <t>3903</t>
  </si>
  <si>
    <t>3904</t>
  </si>
  <si>
    <t>3911</t>
  </si>
  <si>
    <t>3921</t>
  </si>
  <si>
    <t>3922</t>
  </si>
  <si>
    <t>3923</t>
  </si>
  <si>
    <t>3924</t>
  </si>
  <si>
    <t>3929</t>
  </si>
  <si>
    <t>3931</t>
  </si>
  <si>
    <t>3932</t>
  </si>
  <si>
    <t>3941</t>
  </si>
  <si>
    <t>3943</t>
  </si>
  <si>
    <t>3944</t>
  </si>
  <si>
    <t>3945</t>
  </si>
  <si>
    <t>3946</t>
  </si>
  <si>
    <t>3950</t>
  </si>
  <si>
    <t>3960</t>
  </si>
  <si>
    <t>3981</t>
  </si>
  <si>
    <t>3982</t>
  </si>
  <si>
    <t>3983</t>
  </si>
  <si>
    <t>3991</t>
  </si>
  <si>
    <t>3992</t>
  </si>
  <si>
    <t>3993</t>
  </si>
  <si>
    <t>3961</t>
  </si>
  <si>
    <t>4401</t>
  </si>
  <si>
    <t>4501</t>
  </si>
  <si>
    <t>4502</t>
  </si>
  <si>
    <t>4520</t>
  </si>
  <si>
    <t>4601</t>
  </si>
  <si>
    <t>4701</t>
  </si>
  <si>
    <t>4710</t>
  </si>
  <si>
    <t>4720</t>
  </si>
  <si>
    <t>4730</t>
  </si>
  <si>
    <t>4740</t>
  </si>
  <si>
    <t>4750</t>
  </si>
  <si>
    <t>4801</t>
  </si>
  <si>
    <t>4810</t>
  </si>
  <si>
    <t>4910</t>
  </si>
  <si>
    <t>4920</t>
  </si>
  <si>
    <t>CURRENCY:       000s</t>
  </si>
  <si>
    <t>1200 to 1299</t>
  </si>
  <si>
    <t>2724 to 2799</t>
  </si>
  <si>
    <t>2811 to 2899</t>
  </si>
  <si>
    <t>2901 to 2999</t>
  </si>
  <si>
    <t xml:space="preserve">3801 to 3899 </t>
  </si>
  <si>
    <t>4910 to 4919</t>
  </si>
  <si>
    <t>4920 to 4999</t>
  </si>
  <si>
    <t>(Trade debtors + provision for debts)/ (External sales + External sales other) x No. of days to date</t>
  </si>
  <si>
    <t>(Stock + Provision for stock obsolescence)/ -(Total Cost of sales)  x No. of days to date</t>
  </si>
  <si>
    <t>Total Liabilities / Total Equity</t>
  </si>
  <si>
    <t>Total Borrowings / Total Equity. Total Borrowings refers to summation of OD or factoring or revolving credit, Trust receipts or ST loans, current portion of Term Loans, Current HP creditors, Long Term Loans and HP Creditors.</t>
  </si>
  <si>
    <t>4510</t>
  </si>
  <si>
    <t>6103 to 6104</t>
  </si>
  <si>
    <t>6105 to 6199</t>
  </si>
  <si>
    <t>6201 to 6202</t>
  </si>
  <si>
    <t>6203 to 6204</t>
  </si>
  <si>
    <t>6206, 6208</t>
  </si>
  <si>
    <t>6207</t>
  </si>
  <si>
    <t>Shift Allowance &amp; Incentive</t>
  </si>
  <si>
    <t>6209 to 6210</t>
  </si>
  <si>
    <t>6213</t>
  </si>
  <si>
    <t>6214</t>
  </si>
  <si>
    <t>6215</t>
  </si>
  <si>
    <t>Workers' Levy</t>
  </si>
  <si>
    <t xml:space="preserve">Direct Expenses </t>
  </si>
  <si>
    <t>6251 to 6299</t>
  </si>
  <si>
    <t>6301 to 6310</t>
  </si>
  <si>
    <t>6311</t>
  </si>
  <si>
    <t>6312</t>
  </si>
  <si>
    <t>6314, 6316</t>
  </si>
  <si>
    <t>6317</t>
  </si>
  <si>
    <t>6320</t>
  </si>
  <si>
    <t>6321</t>
  </si>
  <si>
    <t>6322</t>
  </si>
  <si>
    <t>6351 to 6399</t>
  </si>
  <si>
    <t>6401 to 6410</t>
  </si>
  <si>
    <t>6421 to 6430</t>
  </si>
  <si>
    <t>6411 to 6420</t>
  </si>
  <si>
    <t>6431, 6432</t>
  </si>
  <si>
    <t>6433 to 6435</t>
  </si>
  <si>
    <t>6102</t>
  </si>
  <si>
    <t>6103</t>
  </si>
  <si>
    <t>6104</t>
  </si>
  <si>
    <t>6105</t>
  </si>
  <si>
    <t>6199</t>
  </si>
  <si>
    <t>6106 to 6198</t>
  </si>
  <si>
    <t>6201</t>
  </si>
  <si>
    <t>6202</t>
  </si>
  <si>
    <t>6203</t>
  </si>
  <si>
    <t>6204</t>
  </si>
  <si>
    <t>6205</t>
  </si>
  <si>
    <t>6206</t>
  </si>
  <si>
    <t>6208</t>
  </si>
  <si>
    <t>6209</t>
  </si>
  <si>
    <t>6210</t>
  </si>
  <si>
    <t>6211</t>
  </si>
  <si>
    <t>6212</t>
  </si>
  <si>
    <t>6216</t>
  </si>
  <si>
    <t>6217</t>
  </si>
  <si>
    <t>6218</t>
  </si>
  <si>
    <t>6219</t>
  </si>
  <si>
    <t>6220</t>
  </si>
  <si>
    <t>6221</t>
  </si>
  <si>
    <t>6222</t>
  </si>
  <si>
    <t>6229</t>
  </si>
  <si>
    <t>6251</t>
  </si>
  <si>
    <t>6252</t>
  </si>
  <si>
    <t>6313</t>
  </si>
  <si>
    <t>6314</t>
  </si>
  <si>
    <t>6315</t>
  </si>
  <si>
    <t>6316</t>
  </si>
  <si>
    <t>6318</t>
  </si>
  <si>
    <t>6319</t>
  </si>
  <si>
    <t>6323</t>
  </si>
  <si>
    <t>6324</t>
  </si>
  <si>
    <t>6325</t>
  </si>
  <si>
    <t>6326</t>
  </si>
  <si>
    <t>6327</t>
  </si>
  <si>
    <t>6328</t>
  </si>
  <si>
    <t>6329</t>
  </si>
  <si>
    <t>6351</t>
  </si>
  <si>
    <t>6352</t>
  </si>
  <si>
    <t>6353</t>
  </si>
  <si>
    <t>6354</t>
  </si>
  <si>
    <t>6355</t>
  </si>
  <si>
    <t>6401</t>
  </si>
  <si>
    <t>6402</t>
  </si>
  <si>
    <t>6411</t>
  </si>
  <si>
    <t>6412</t>
  </si>
  <si>
    <t>6413</t>
  </si>
  <si>
    <t>6414</t>
  </si>
  <si>
    <t>6421</t>
  </si>
  <si>
    <t>6422</t>
  </si>
  <si>
    <t>6423</t>
  </si>
  <si>
    <t>6431</t>
  </si>
  <si>
    <t>6432</t>
  </si>
  <si>
    <t>6433</t>
  </si>
  <si>
    <t>6434</t>
  </si>
  <si>
    <t>6435</t>
  </si>
  <si>
    <t>6436 to 6499</t>
  </si>
  <si>
    <t>6501</t>
  </si>
  <si>
    <t>6502</t>
  </si>
  <si>
    <t>6503</t>
  </si>
  <si>
    <t>6504</t>
  </si>
  <si>
    <t>6601</t>
  </si>
  <si>
    <t>6602</t>
  </si>
  <si>
    <t>6603</t>
  </si>
  <si>
    <t>6604</t>
  </si>
  <si>
    <t>6605</t>
  </si>
  <si>
    <t>6606</t>
  </si>
  <si>
    <t>6607</t>
  </si>
  <si>
    <t>6608</t>
  </si>
  <si>
    <t>6609</t>
  </si>
  <si>
    <t>6610</t>
  </si>
  <si>
    <t>6611</t>
  </si>
  <si>
    <t>6612</t>
  </si>
  <si>
    <t>6621</t>
  </si>
  <si>
    <t>6622</t>
  </si>
  <si>
    <t>6701</t>
  </si>
  <si>
    <t>6702</t>
  </si>
  <si>
    <t>6703</t>
  </si>
  <si>
    <t>6704</t>
  </si>
  <si>
    <t>6705</t>
  </si>
  <si>
    <t>6706</t>
  </si>
  <si>
    <t>6707</t>
  </si>
  <si>
    <t>6708</t>
  </si>
  <si>
    <t>6709</t>
  </si>
  <si>
    <t>6710</t>
  </si>
  <si>
    <t>6711</t>
  </si>
  <si>
    <t>6731</t>
  </si>
  <si>
    <t>6732</t>
  </si>
  <si>
    <t>6733</t>
  </si>
  <si>
    <t>6741</t>
  </si>
  <si>
    <t>6751</t>
  </si>
  <si>
    <t>6761 to 6769</t>
  </si>
  <si>
    <t>6771</t>
  </si>
  <si>
    <t>6772</t>
  </si>
  <si>
    <t>6773</t>
  </si>
  <si>
    <t>6774</t>
  </si>
  <si>
    <t>6775</t>
  </si>
  <si>
    <t>6799</t>
  </si>
  <si>
    <t>Direct Labour/Actual Production Volume</t>
  </si>
  <si>
    <t>Indirect Labour/Actual Production Volume</t>
  </si>
  <si>
    <t>Variable Overhead/Actual Production Volume</t>
  </si>
  <si>
    <t>Total Variable/Actual Production Volume</t>
  </si>
  <si>
    <t>Fixed Overhead/Actual Production Volume</t>
  </si>
  <si>
    <t>Manufacturing Costs/Actual Production Volume</t>
  </si>
  <si>
    <t>Direct Expenses/Actual Production Volume</t>
  </si>
  <si>
    <t>Factory Rental/Upkeep</t>
  </si>
  <si>
    <t>6504, 6751 to 6759</t>
  </si>
  <si>
    <t>6701 to 6749</t>
  </si>
  <si>
    <t>7302 to 7399</t>
  </si>
  <si>
    <t>8102 to 8149</t>
  </si>
  <si>
    <t>1301Z</t>
  </si>
  <si>
    <t>1201Z, 1221Z, 1241Z, 1242Z, 1241L</t>
  </si>
  <si>
    <t>2101Z</t>
  </si>
  <si>
    <t>1201Z</t>
  </si>
  <si>
    <t>1221Z</t>
  </si>
  <si>
    <t>1241Z</t>
  </si>
  <si>
    <t>1242Z</t>
  </si>
  <si>
    <t>=SUM(C9:C10)</t>
  </si>
  <si>
    <t>=C8+C11</t>
  </si>
  <si>
    <t>Creditors Turnover (Days)</t>
  </si>
  <si>
    <t>Account Payable/Cost of Goods Sold x No. of days to date</t>
  </si>
  <si>
    <t xml:space="preserve">Other A&amp;G Expenses </t>
  </si>
  <si>
    <t xml:space="preserve">Freehold Land </t>
  </si>
  <si>
    <t>S&amp;D Personnel Related Cost</t>
  </si>
  <si>
    <t>S&amp;D Carriage/Transportation</t>
  </si>
  <si>
    <t>S&amp;D Advertising/Promotion</t>
  </si>
  <si>
    <t>S&amp;D Travelling/Entertainment</t>
  </si>
  <si>
    <t>S&amp;D Equipment Expenses</t>
  </si>
  <si>
    <t>S&amp;D Rental/Property Related</t>
  </si>
  <si>
    <t>S&amp;D Depn of Fixed Assets</t>
  </si>
  <si>
    <t>S&amp;D Stationery/Printing/Telephone</t>
  </si>
  <si>
    <t>A&amp;G Personnel Related Cost</t>
  </si>
  <si>
    <t>A&amp;G Equipment Expenses</t>
  </si>
  <si>
    <t>A&amp;G Rental/Property Related</t>
  </si>
  <si>
    <t>A&amp;G Depn of Fixed Assets</t>
  </si>
  <si>
    <t>A&amp;G Legal/Professional Fee</t>
  </si>
  <si>
    <t>A&amp;G Stationery/Printing/Telephone</t>
  </si>
  <si>
    <t>=SUM(C4:C12)</t>
  </si>
  <si>
    <t>=SUM(C14:C22)</t>
  </si>
  <si>
    <t>=SUM(C24:C32)</t>
  </si>
  <si>
    <t>=C13+C23+C33</t>
  </si>
  <si>
    <t>Other Operating Income</t>
  </si>
  <si>
    <t>Other Operating Expenses</t>
  </si>
  <si>
    <t>Taxation</t>
  </si>
  <si>
    <t>A&amp;P Marcom Exps</t>
  </si>
  <si>
    <t>Warehouse &amp; Logistic Exps</t>
  </si>
  <si>
    <t>Product Support Welding</t>
  </si>
  <si>
    <t>Product Support Safety</t>
  </si>
  <si>
    <t>IT System Exps</t>
  </si>
  <si>
    <t>Purchasing Exps</t>
  </si>
  <si>
    <t>Legal/Prof Fees/Ins/Safety</t>
  </si>
  <si>
    <t>=SUM(C6:C7)</t>
  </si>
  <si>
    <t>7701 to 7705</t>
  </si>
  <si>
    <t>1501Z</t>
  </si>
  <si>
    <t>1700</t>
  </si>
  <si>
    <t>1801</t>
  </si>
  <si>
    <t>Entertainment &amp; Donations</t>
  </si>
  <si>
    <t xml:space="preserve">Entertainment </t>
  </si>
  <si>
    <t>6000 to 6999</t>
  </si>
  <si>
    <t>Manufacturing Cost</t>
  </si>
  <si>
    <t>Logistic Service Income</t>
  </si>
  <si>
    <t>5513</t>
  </si>
  <si>
    <t>Safety Supervision</t>
  </si>
  <si>
    <t>DEPT:</t>
  </si>
  <si>
    <t xml:space="preserve">DIVISION: </t>
  </si>
  <si>
    <t>External COS–Prov for Bill Loss</t>
  </si>
  <si>
    <t>5108</t>
  </si>
  <si>
    <t>Interco COS–Prov for Bill Loss</t>
  </si>
  <si>
    <t>=SUM(C35:C43)</t>
  </si>
  <si>
    <t>=C44+C53+C61+C62:C69</t>
  </si>
  <si>
    <t>=C34+C70</t>
  </si>
  <si>
    <t xml:space="preserve">HO/Interco Alloc </t>
  </si>
  <si>
    <t>Interest (Expense)</t>
  </si>
  <si>
    <t>Admin/Management Income</t>
  </si>
  <si>
    <t>Commission/Mgt Income</t>
  </si>
  <si>
    <t>Total Oth Op Income/ (Exp)</t>
  </si>
  <si>
    <t>HO/Interco and Other S&amp;D</t>
  </si>
  <si>
    <t>Less:Accumulated Depreciation/Impairment</t>
  </si>
  <si>
    <t>Prov for Impairment–Racks &amp; Cylinders</t>
  </si>
  <si>
    <t>2114Z</t>
  </si>
  <si>
    <t>DIV 9</t>
  </si>
  <si>
    <t>DEPT 9</t>
  </si>
  <si>
    <t>SECT 9</t>
  </si>
  <si>
    <t>Stocks Written Down/Written Off</t>
  </si>
  <si>
    <t>=C57+C58</t>
  </si>
  <si>
    <t>8705</t>
  </si>
  <si>
    <t>Share Capital/Premium/Treasury Shares</t>
  </si>
  <si>
    <t>4501 to 4599, 4801</t>
  </si>
  <si>
    <t>1502, 2801 to 2809</t>
  </si>
  <si>
    <t>3970, 4450</t>
  </si>
  <si>
    <t>=SUM(C48:C54)</t>
  </si>
  <si>
    <t>=C47+C55</t>
  </si>
  <si>
    <t>=SUM(C14:C23)</t>
  </si>
  <si>
    <t>=C13+C35</t>
  </si>
  <si>
    <t>=SUM(C37:C46)</t>
  </si>
  <si>
    <t>=SUM(C57:C62)</t>
  </si>
  <si>
    <t>=C56+C63</t>
  </si>
  <si>
    <t>1502, 2801</t>
  </si>
  <si>
    <t>Foreign GST/VAT Expense Off-Interco</t>
  </si>
  <si>
    <t>=SUM(C45:C52)</t>
  </si>
  <si>
    <t>=SUM(C54:C60)</t>
  </si>
  <si>
    <t xml:space="preserve">                                                                                                                                                                                                                 </t>
  </si>
  <si>
    <t>Poducts:</t>
  </si>
  <si>
    <t>Company Accounts</t>
  </si>
  <si>
    <t>Brief</t>
  </si>
  <si>
    <t>Normal</t>
  </si>
  <si>
    <t>Normal (9)</t>
  </si>
  <si>
    <t>New</t>
  </si>
  <si>
    <t>F21</t>
  </si>
  <si>
    <t>F22</t>
  </si>
  <si>
    <t>F23</t>
  </si>
  <si>
    <t>P&amp;L Account against Budget</t>
  </si>
  <si>
    <t>F24</t>
  </si>
  <si>
    <t>SAF Report</t>
  </si>
  <si>
    <t>Variance %</t>
  </si>
  <si>
    <t>Property Rental Income</t>
  </si>
  <si>
    <t>Upkeep-Machinery</t>
  </si>
  <si>
    <t>Upkeep-Equipment</t>
  </si>
  <si>
    <t>Upkeep-Furniture &amp; Fitting</t>
  </si>
  <si>
    <t>Upkeep-Office Equip</t>
  </si>
  <si>
    <t>Upkeep-Computers</t>
  </si>
  <si>
    <t>A&amp;G Travelling/Transportation</t>
  </si>
  <si>
    <t>A&amp;G Entertainment/Donations</t>
  </si>
  <si>
    <t>8712</t>
  </si>
  <si>
    <t>1501 to 1699 Except 1502</t>
  </si>
  <si>
    <t>2001 to 2499 A-Z</t>
  </si>
  <si>
    <t>=SUM(C24:C34)</t>
  </si>
  <si>
    <t>1297</t>
  </si>
  <si>
    <t>Stocks Return</t>
  </si>
  <si>
    <t>1908</t>
  </si>
  <si>
    <t>1909</t>
  </si>
  <si>
    <t>Suspense–HR</t>
  </si>
  <si>
    <t>2001Z</t>
  </si>
  <si>
    <t>2002Z</t>
  </si>
  <si>
    <t>2003Z</t>
  </si>
  <si>
    <t>2011Z</t>
  </si>
  <si>
    <t>2022Z</t>
  </si>
  <si>
    <t>2031Z</t>
  </si>
  <si>
    <t>Prov for Impairment-Freehold Land</t>
  </si>
  <si>
    <t>Prov for Impairment-Leasehold Land</t>
  </si>
  <si>
    <t>Prov for Impairment-Land Rights</t>
  </si>
  <si>
    <t>Prov for Impairment-Building</t>
  </si>
  <si>
    <t>Prov for Impairment-Renovations</t>
  </si>
  <si>
    <t>Prov for Impairment-Investment Property</t>
  </si>
  <si>
    <t>2102Z</t>
  </si>
  <si>
    <t>Prov for Impairment-Machinery</t>
  </si>
  <si>
    <t>2103Z</t>
  </si>
  <si>
    <t>Prov for Impairment-Equipment</t>
  </si>
  <si>
    <t>2104Z</t>
  </si>
  <si>
    <t>Prov for Impairment-Rental Equipment</t>
  </si>
  <si>
    <t>Prov for Impairment-Pipelines</t>
  </si>
  <si>
    <t>2111Z</t>
  </si>
  <si>
    <t>2112Z</t>
  </si>
  <si>
    <t>Prov for Impairment-Storage Tanks</t>
  </si>
  <si>
    <t>2113Z</t>
  </si>
  <si>
    <t>Prov for Impairment-ISO Tanks</t>
  </si>
  <si>
    <t>2121Z</t>
  </si>
  <si>
    <t>Prov for Impairment-Tools</t>
  </si>
  <si>
    <t>2122Z</t>
  </si>
  <si>
    <t>Prov for Impairment-Dies &amp; Moulds</t>
  </si>
  <si>
    <t>2123Z</t>
  </si>
  <si>
    <t>Prov for Impairment-Spare Parts</t>
  </si>
  <si>
    <t>2201Z</t>
  </si>
  <si>
    <t>Prov for Impairment-F&amp;F</t>
  </si>
  <si>
    <t>2301Z</t>
  </si>
  <si>
    <t>Prov for Impairment-Office Equip</t>
  </si>
  <si>
    <t>2302Z</t>
  </si>
  <si>
    <t>Prov for Impairment-Computer</t>
  </si>
  <si>
    <t>2401Z</t>
  </si>
  <si>
    <t>Prov for Impairment-Motor Vehicle</t>
  </si>
  <si>
    <t xml:space="preserve">Prov for Impairment–Subsidiary </t>
  </si>
  <si>
    <t>Prov for Impairment–JV Co</t>
  </si>
  <si>
    <t>Prov for Impairment–Assoc Co</t>
  </si>
  <si>
    <t>Prov for Impairment–Rel Co</t>
  </si>
  <si>
    <t>Prov for Impairment–Quoted Shares</t>
  </si>
  <si>
    <t>Amort–Trade Name</t>
  </si>
  <si>
    <t>2701A</t>
  </si>
  <si>
    <t>Amort–Customer Relationship</t>
  </si>
  <si>
    <t>2702A</t>
  </si>
  <si>
    <t>2703A</t>
  </si>
  <si>
    <t>2704A</t>
  </si>
  <si>
    <t>Amort–Club Membership</t>
  </si>
  <si>
    <t>2711A</t>
  </si>
  <si>
    <t xml:space="preserve">Trade Creditors </t>
  </si>
  <si>
    <t>3933</t>
  </si>
  <si>
    <t>Deferred Revenue – Cash Vouchers</t>
  </si>
  <si>
    <t>4902</t>
  </si>
  <si>
    <t>Dividend Declared</t>
  </si>
  <si>
    <t>6613</t>
  </si>
  <si>
    <t>Upkeep-Plant</t>
  </si>
  <si>
    <t>Upkeep-Racks &amp; Cylinders</t>
  </si>
  <si>
    <t>6620</t>
  </si>
  <si>
    <t>TNSC Reporting Package</t>
  </si>
  <si>
    <t>DIVISION: COMPANY</t>
  </si>
  <si>
    <t>AS OF: 11-Oct-2017</t>
  </si>
  <si>
    <t>FOR THE MONTH OF:   Sep -17</t>
  </si>
  <si>
    <t>Aug-17</t>
  </si>
  <si>
    <t>Sep-17</t>
  </si>
  <si>
    <t>FOR THE YEAR OF:   2018</t>
  </si>
  <si>
    <t>Direct Material (m3 / Kg)</t>
  </si>
  <si>
    <t>Direct Labour (m3 / Kg)</t>
  </si>
  <si>
    <t>Direct Exps (m3 / Kg)</t>
  </si>
  <si>
    <t>Indirect Material (m3 / Kg)</t>
  </si>
  <si>
    <t>Indirect Labour (m3 / Kg)</t>
  </si>
  <si>
    <t>Variable Overhead (m3 / Kg)</t>
  </si>
  <si>
    <t>Total Variable (m3 / Kg)</t>
  </si>
  <si>
    <t>Fixed Overhead (m3 / Kg)</t>
  </si>
  <si>
    <t>Manufacturing Costs (m3/ Kg)</t>
  </si>
  <si>
    <t>Financial Reports   F01 - F39</t>
  </si>
  <si>
    <t>F21S</t>
  </si>
  <si>
    <t>F22S</t>
  </si>
  <si>
    <t>F25</t>
  </si>
  <si>
    <t>F38</t>
  </si>
  <si>
    <t>F39</t>
  </si>
  <si>
    <t>Manufacturing Account</t>
  </si>
  <si>
    <t>Profit &amp; Loss Account</t>
  </si>
  <si>
    <t>Gross Profits / Total Sales</t>
  </si>
  <si>
    <t>(External Sales - Cost of External Sales) / External Sales</t>
  </si>
  <si>
    <t>(Interco Sales - Cost of Interco Sales) / Interco Sales</t>
  </si>
  <si>
    <t>Total S&amp;D Expenses / Total Sales</t>
  </si>
  <si>
    <t>Total Direct A&amp;G Expenses / Total Sales</t>
  </si>
  <si>
    <t>Total A&amp;G Expenses / Total Sales</t>
  </si>
  <si>
    <t>Profits from Operations / Total Sales</t>
  </si>
  <si>
    <t>External Sales GP %</t>
  </si>
  <si>
    <t>Interco Sales GP %</t>
  </si>
  <si>
    <t>S&amp;D Margin %</t>
  </si>
  <si>
    <t>Profits after Taxation / Total Sales</t>
  </si>
  <si>
    <t>Direct Material / Actual Production Volume</t>
  </si>
  <si>
    <t>Direct Labour / Actual Production Volume</t>
  </si>
  <si>
    <t>Direct Expenses / Actual Production Volume</t>
  </si>
  <si>
    <t>Indirect Material / Actual Production Volume</t>
  </si>
  <si>
    <t>Indirect Labour / Actual Production Volume</t>
  </si>
  <si>
    <t>Variable Overhead / Actual Production Volume</t>
  </si>
  <si>
    <t>Total Variable / Actual Production Volume</t>
  </si>
  <si>
    <t>Fixed Overhead / Actual Production Volume</t>
  </si>
  <si>
    <t>Manufacturing Costs / Actual Production Volume</t>
  </si>
  <si>
    <t>DIVISION: WELDING &amp; SAFETY</t>
  </si>
  <si>
    <t>DEPT: WELDING SALES/PRODUCTS</t>
  </si>
  <si>
    <t>F21 PROFIT &amp; LOSS ACCOUNT</t>
  </si>
  <si>
    <t>F22 P&amp;L ACCOUNT BY MONTH</t>
  </si>
  <si>
    <t>F30</t>
  </si>
  <si>
    <t>F31</t>
  </si>
  <si>
    <t>F32</t>
  </si>
  <si>
    <t>F33</t>
  </si>
  <si>
    <t>Manufacturing Account against Budget</t>
  </si>
  <si>
    <t>Monthly Sales</t>
  </si>
  <si>
    <t>Sep'17</t>
  </si>
  <si>
    <t>Oct'17</t>
  </si>
  <si>
    <t>Nov'17</t>
  </si>
  <si>
    <t>Dec'17</t>
  </si>
  <si>
    <t>Jan'18</t>
  </si>
  <si>
    <t>Feb'18</t>
  </si>
  <si>
    <t>Current Month</t>
  </si>
  <si>
    <t>Year-To-Date Sales</t>
  </si>
  <si>
    <t>Monthly Operating Income</t>
  </si>
  <si>
    <t>Year-To-Date Operating Income</t>
  </si>
  <si>
    <t>F121</t>
  </si>
  <si>
    <t>F122</t>
  </si>
  <si>
    <t>F30 BALANCE SHEET</t>
  </si>
  <si>
    <t xml:space="preserve">F31 DETAILED P&amp;L ACCOUNT </t>
  </si>
  <si>
    <t>F32 DETAILED MANUFACTURING A/C</t>
  </si>
  <si>
    <t>F33 DETAILED BALANCE SHEET</t>
  </si>
  <si>
    <t>F23 P&amp;L ACCOUNT BY DIV/DEPT/SEC/UNITS</t>
  </si>
  <si>
    <t>F21S PROFIT &amp; LOSS ACCOUNT</t>
  </si>
  <si>
    <t xml:space="preserve">F22S P&amp;L ACCOUNT BY MONTH </t>
  </si>
  <si>
    <t>UNIT 1</t>
  </si>
  <si>
    <t>UNIT 2</t>
  </si>
  <si>
    <t>UNIT 3</t>
  </si>
  <si>
    <t>UNIT 4</t>
  </si>
  <si>
    <t>UNIT 5</t>
  </si>
  <si>
    <t>UNIT 6</t>
  </si>
  <si>
    <t>UNIT 7</t>
  </si>
  <si>
    <t>UNIT 8</t>
  </si>
  <si>
    <t>UNIT 9</t>
  </si>
  <si>
    <t>DIVISION: GAS</t>
  </si>
  <si>
    <t>DEPT: PACKAGED GAS PRODUCTION</t>
  </si>
  <si>
    <t>REFILLING</t>
  </si>
  <si>
    <t xml:space="preserve">F24 MANUFACTURING ACCOUNT </t>
  </si>
  <si>
    <t>F25 MANUFACTURING ACCOUNT</t>
  </si>
  <si>
    <t>PACKAGED GAS PRODUCTION</t>
  </si>
  <si>
    <t>SECTION: REFILLING</t>
  </si>
  <si>
    <t>FY 2017</t>
  </si>
  <si>
    <t xml:space="preserve">P&amp;L Account by Month </t>
  </si>
  <si>
    <t>F21R</t>
  </si>
  <si>
    <t>P&amp;L Account against Budget (Raw)</t>
  </si>
  <si>
    <t>F30R</t>
  </si>
  <si>
    <t>Balance Sheet (Raw)</t>
  </si>
  <si>
    <t>CURRENCY:</t>
  </si>
  <si>
    <t>F21R PROFIT &amp; LOSS ACCOUNT (RAW)</t>
  </si>
  <si>
    <t>F30R BALANCE SHEET (RAW)</t>
  </si>
  <si>
    <t>P&amp;L Account by Div/Dept/Sec/Units</t>
  </si>
  <si>
    <t>P&amp;L against budget for Coy, Div, Dept, Sec &amp; Units</t>
  </si>
  <si>
    <t>P&amp;L Statement Actual by Month for Coy, Div, Dept, Sec &amp; Units</t>
  </si>
  <si>
    <t>P&amp;L Statement Actual for all Div/Dept/Sec/Units</t>
  </si>
  <si>
    <t>Manufacturing Account against budget for Coy, Div, Dept, Sec &amp; Units</t>
  </si>
  <si>
    <t>Manufacturing Account by Div/Dept/Sec/Units</t>
  </si>
  <si>
    <t>Manufacturing Account for all Div/Dept/Sec/Units</t>
  </si>
  <si>
    <t>BY DIV/DEPT/SEC/UNITS</t>
  </si>
  <si>
    <t>Carriage/Transport/Storage</t>
  </si>
  <si>
    <t>Disposal of Sludge/Others</t>
  </si>
  <si>
    <t>6501 to 6502, 6506</t>
  </si>
  <si>
    <t>6601 to 6620</t>
  </si>
  <si>
    <t>Repair &amp; Maintainance/Upkeep</t>
  </si>
  <si>
    <t>Forex Gain/(Loss)</t>
  </si>
  <si>
    <t>Derivatives Gain/(Loss)</t>
  </si>
  <si>
    <t>8831 to 8832</t>
  </si>
  <si>
    <t>8821 to 8822</t>
  </si>
  <si>
    <t>5001 to 5029, 5051 to 5099</t>
  </si>
  <si>
    <t>5031 to 5049</t>
  </si>
  <si>
    <t>5101 to 5119, 5141 to 5499, 6000 to 6999</t>
  </si>
  <si>
    <t>5121 to 5139</t>
  </si>
  <si>
    <t>5501 to 5509</t>
  </si>
  <si>
    <t>=SUM(C13:C16)</t>
  </si>
  <si>
    <t>7706 to 7999</t>
  </si>
  <si>
    <t>5511 to 5599, 9001 to 9019, 9041Credit, 9102 to 9109Credit</t>
  </si>
  <si>
    <t>=SUM(C18:C27)</t>
  </si>
  <si>
    <t>=SUM(C29:C39)</t>
  </si>
  <si>
    <t>8300 to 8399</t>
  </si>
  <si>
    <t>8600 to 8649</t>
  </si>
  <si>
    <t>8651</t>
  </si>
  <si>
    <t>8653</t>
  </si>
  <si>
    <t>=SUM(C41:C46)</t>
  </si>
  <si>
    <t>8711 to 8712</t>
  </si>
  <si>
    <t>8798 to 8799</t>
  </si>
  <si>
    <t>=C40+C47</t>
  </si>
  <si>
    <t>=C12+C17+C28+C48</t>
  </si>
  <si>
    <t>9023</t>
  </si>
  <si>
    <t>8801 to 8809</t>
  </si>
  <si>
    <t>9021</t>
  </si>
  <si>
    <t>=SUM(C50:C55)</t>
  </si>
  <si>
    <t>=C49+C56</t>
  </si>
  <si>
    <t>Leasing of Mac&amp;Equip/Vehicles/Cyl</t>
  </si>
  <si>
    <t>9041Credit</t>
  </si>
  <si>
    <t>9102Credit</t>
  </si>
  <si>
    <t>9103Credit</t>
  </si>
  <si>
    <t>9041Debit</t>
  </si>
  <si>
    <t>9102Debit</t>
  </si>
  <si>
    <t>9103Debit</t>
  </si>
  <si>
    <t>Direct Exps–Others</t>
  </si>
  <si>
    <t>6253</t>
  </si>
  <si>
    <t>6254</t>
  </si>
  <si>
    <t>6505</t>
  </si>
  <si>
    <t>6506</t>
  </si>
  <si>
    <t>R&amp;M–Factory</t>
  </si>
  <si>
    <t>1298</t>
  </si>
  <si>
    <t>COGS Clearing Account</t>
  </si>
  <si>
    <t>2499</t>
  </si>
  <si>
    <t>Fixed Assets Clearing Account</t>
  </si>
  <si>
    <t>1404</t>
  </si>
  <si>
    <t>Due from Interco-Non-Trade Clearing</t>
  </si>
  <si>
    <t>1424</t>
  </si>
  <si>
    <t>Due from Assoc–Non-Trade Clearing</t>
  </si>
  <si>
    <t>1433</t>
  </si>
  <si>
    <t>Due from Rel–Non-Trade Clearing</t>
  </si>
  <si>
    <t>Due from Interco-Non Current</t>
  </si>
  <si>
    <t>Prov for DD–Interco-Non Current</t>
  </si>
  <si>
    <t>2721Z</t>
  </si>
  <si>
    <t>Due from JV/Assoc-Non Current</t>
  </si>
  <si>
    <t>Prov for DD–JV/Assoc-Non Current</t>
  </si>
  <si>
    <t>2722Z</t>
  </si>
  <si>
    <t>Due from Rel-Non Current</t>
  </si>
  <si>
    <t>Prov for DD–Rel-Non Current</t>
  </si>
  <si>
    <t>2723Z</t>
  </si>
  <si>
    <t>Derivatives Asset</t>
  </si>
  <si>
    <t>3501</t>
  </si>
  <si>
    <t>3599</t>
  </si>
  <si>
    <t>HP Int in Suspense</t>
  </si>
  <si>
    <t>Derivatives Liability</t>
  </si>
  <si>
    <t>4901 to 4909, 5000 to 9999</t>
  </si>
  <si>
    <t>6205, 6211 to 6212</t>
  </si>
  <si>
    <t>6207, 6216 to 6229</t>
  </si>
  <si>
    <t>6313, 6318 to 6319</t>
  </si>
  <si>
    <t>6315, 6323 to 6349</t>
  </si>
  <si>
    <t>6621 to 6623</t>
  </si>
  <si>
    <t>6505, 6771 to 6799</t>
  </si>
  <si>
    <t>7000 to 7999</t>
  </si>
  <si>
    <t>8000 to 8699</t>
  </si>
  <si>
    <t>8700 to 8799</t>
  </si>
  <si>
    <t>=C11+C16+SUM(C17:C19)</t>
  </si>
  <si>
    <t>=SUM(C12:C15)</t>
  </si>
  <si>
    <t>=SUM(C17:C26)</t>
  </si>
  <si>
    <t>=SUM(C28:C38)</t>
  </si>
  <si>
    <t>=SUM(C40:C45)</t>
  </si>
  <si>
    <t>=C39+C46</t>
  </si>
  <si>
    <t>=C11+C16+C27+C47</t>
  </si>
  <si>
    <t>=SUM(C49:C54)</t>
  </si>
  <si>
    <t>=C48+C55</t>
  </si>
  <si>
    <t>=C56+C57</t>
  </si>
  <si>
    <t>1000 to 1099Debit, 3000 to 3099Debit</t>
  </si>
  <si>
    <t>1100 to 1199</t>
  </si>
  <si>
    <t>1411 to 1433</t>
  </si>
  <si>
    <t>1300 to 1399, 1499</t>
  </si>
  <si>
    <t>1401 to 1404</t>
  </si>
  <si>
    <t>1700, 1800 to 1999</t>
  </si>
  <si>
    <t>2701 to 2719</t>
  </si>
  <si>
    <t>2721</t>
  </si>
  <si>
    <t>2722 to 2723</t>
  </si>
  <si>
    <t>2501 to 2601Z</t>
  </si>
  <si>
    <t>2501 (Exclude Z)</t>
  </si>
  <si>
    <t>2502 to 2699 (Exclude Z)</t>
  </si>
  <si>
    <t>2001 (Exclude A-Z)</t>
  </si>
  <si>
    <t>2002 to 2019 (Exclude A-Z)</t>
  </si>
  <si>
    <t>2021 (Exclude A-Z)</t>
  </si>
  <si>
    <t>2022 (Exclude A-Z)</t>
  </si>
  <si>
    <t>2031 to 2099 (Exclude A-Z)</t>
  </si>
  <si>
    <t>2101 to 2200 (Exclude A-Z)</t>
  </si>
  <si>
    <t>2201 to 2299 (Exclude A-Z)</t>
  </si>
  <si>
    <t>2301 to 2399 (Exclude A-Z)</t>
  </si>
  <si>
    <t>2401 to 2499 (Exclude A-Z)</t>
  </si>
  <si>
    <t>1000 to 1099Credit, 3000 to 3099Credit, 3100 to 3199</t>
  </si>
  <si>
    <t>3200 to 3299</t>
  </si>
  <si>
    <t>3300 to 3399</t>
  </si>
  <si>
    <t>3400 to 3499</t>
  </si>
  <si>
    <t>3500 to 3599</t>
  </si>
  <si>
    <t>3613 to 3615, 3704 to 3719, 3731</t>
  </si>
  <si>
    <t>3612, 3701 to 3703</t>
  </si>
  <si>
    <t>3601 to 3611, 3799</t>
  </si>
  <si>
    <t>3900 to 3999 Except 3970</t>
  </si>
  <si>
    <t>4100 to 4199</t>
  </si>
  <si>
    <t>4200 to 4299</t>
  </si>
  <si>
    <t>4302 to 4305</t>
  </si>
  <si>
    <t>4301</t>
  </si>
  <si>
    <t>4601 to 4700</t>
  </si>
  <si>
    <t>4701 to 4899 Except 4801</t>
  </si>
  <si>
    <t>3721, 4306</t>
  </si>
  <si>
    <t>5031</t>
  </si>
  <si>
    <t>5032</t>
  </si>
  <si>
    <t>5033</t>
  </si>
  <si>
    <t>5034</t>
  </si>
  <si>
    <t>5035</t>
  </si>
  <si>
    <t>5036</t>
  </si>
  <si>
    <t>5037</t>
  </si>
  <si>
    <t>5041</t>
  </si>
  <si>
    <t xml:space="preserve">5042 </t>
  </si>
  <si>
    <t>5051</t>
  </si>
  <si>
    <t>5052</t>
  </si>
  <si>
    <t>5053</t>
  </si>
  <si>
    <t>5054</t>
  </si>
  <si>
    <t>5055</t>
  </si>
  <si>
    <t>5056</t>
  </si>
  <si>
    <t>5057</t>
  </si>
  <si>
    <t>5061</t>
  </si>
  <si>
    <t>5062</t>
  </si>
  <si>
    <t>5105</t>
  </si>
  <si>
    <t>5121</t>
  </si>
  <si>
    <t>5122</t>
  </si>
  <si>
    <t>5123</t>
  </si>
  <si>
    <t>5124</t>
  </si>
  <si>
    <t>5125</t>
  </si>
  <si>
    <t>5126</t>
  </si>
  <si>
    <t>5127</t>
  </si>
  <si>
    <t>5128</t>
  </si>
  <si>
    <t>5141</t>
  </si>
  <si>
    <t>5142</t>
  </si>
  <si>
    <t>5143</t>
  </si>
  <si>
    <t>5144</t>
  </si>
  <si>
    <t>5145</t>
  </si>
  <si>
    <t>5146</t>
  </si>
  <si>
    <t>5147</t>
  </si>
  <si>
    <t xml:space="preserve">5501 </t>
  </si>
  <si>
    <t>5502</t>
  </si>
  <si>
    <t>5503</t>
  </si>
  <si>
    <t>7501</t>
  </si>
  <si>
    <t xml:space="preserve">7502 </t>
  </si>
  <si>
    <t>7901</t>
  </si>
  <si>
    <t>7903</t>
  </si>
  <si>
    <t>7910</t>
  </si>
  <si>
    <t>7920</t>
  </si>
  <si>
    <t>7998</t>
  </si>
  <si>
    <t>7999</t>
  </si>
  <si>
    <t>8301</t>
  </si>
  <si>
    <t>8302</t>
  </si>
  <si>
    <t>8610</t>
  </si>
  <si>
    <t>8798</t>
  </si>
  <si>
    <t>8799</t>
  </si>
  <si>
    <t>8806</t>
  </si>
  <si>
    <t xml:space="preserve">1100 to 1199 </t>
  </si>
  <si>
    <t xml:space="preserve">1401 </t>
  </si>
  <si>
    <t xml:space="preserve">1401Z </t>
  </si>
  <si>
    <t xml:space="preserve">1402 </t>
  </si>
  <si>
    <t xml:space="preserve">1402Z </t>
  </si>
  <si>
    <t xml:space="preserve">1403 </t>
  </si>
  <si>
    <t xml:space="preserve">1403Z </t>
  </si>
  <si>
    <t xml:space="preserve">1411 </t>
  </si>
  <si>
    <t xml:space="preserve">1411Z </t>
  </si>
  <si>
    <t xml:space="preserve">1412Z </t>
  </si>
  <si>
    <t>1413</t>
  </si>
  <si>
    <t xml:space="preserve">1413Z </t>
  </si>
  <si>
    <t xml:space="preserve">1421 </t>
  </si>
  <si>
    <t xml:space="preserve">1421Z </t>
  </si>
  <si>
    <t xml:space="preserve">1422 </t>
  </si>
  <si>
    <t xml:space="preserve">1422Z </t>
  </si>
  <si>
    <t xml:space="preserve">1423 </t>
  </si>
  <si>
    <t xml:space="preserve">1423Z </t>
  </si>
  <si>
    <t xml:space="preserve">1431 </t>
  </si>
  <si>
    <t xml:space="preserve">1431Z </t>
  </si>
  <si>
    <t xml:space="preserve">1432 </t>
  </si>
  <si>
    <t xml:space="preserve">1432Z </t>
  </si>
  <si>
    <t>2502Z</t>
  </si>
  <si>
    <t>2502</t>
  </si>
  <si>
    <t>2501Z</t>
  </si>
  <si>
    <t>2501</t>
  </si>
  <si>
    <t>2503</t>
  </si>
  <si>
    <t>2503Z</t>
  </si>
  <si>
    <t>2504</t>
  </si>
  <si>
    <t>2504Z</t>
  </si>
  <si>
    <t>2601Z</t>
  </si>
  <si>
    <t>2722</t>
  </si>
  <si>
    <t>2723</t>
  </si>
  <si>
    <t>2724</t>
  </si>
  <si>
    <t>1000 to 1099Credit, 3000 to 3099Credit</t>
  </si>
  <si>
    <t>3100 to 3199</t>
  </si>
  <si>
    <t>3612</t>
  </si>
  <si>
    <t>3701</t>
  </si>
  <si>
    <t>3702</t>
  </si>
  <si>
    <t>3703</t>
  </si>
  <si>
    <t>3613</t>
  </si>
  <si>
    <t>3614</t>
  </si>
  <si>
    <t>3615</t>
  </si>
  <si>
    <t>3704</t>
  </si>
  <si>
    <t>3705</t>
  </si>
  <si>
    <t>3706</t>
  </si>
  <si>
    <t>3707</t>
  </si>
  <si>
    <t>3708</t>
  </si>
  <si>
    <t>3709</t>
  </si>
  <si>
    <t>3710</t>
  </si>
  <si>
    <t>3711</t>
  </si>
  <si>
    <t>4302</t>
  </si>
  <si>
    <t>4303</t>
  </si>
  <si>
    <t>4304</t>
  </si>
  <si>
    <t>4305</t>
  </si>
  <si>
    <t>4602</t>
  </si>
  <si>
    <t>=SUM(C4:C65)</t>
  </si>
  <si>
    <t>=SUM(C67:C130)</t>
  </si>
  <si>
    <t>=SUM(C131:C162)</t>
  </si>
  <si>
    <t>=C66+C163</t>
  </si>
  <si>
    <t>=SUM(C165:C220)</t>
  </si>
  <si>
    <t>=SUM(C222:C231)</t>
  </si>
  <si>
    <t>=C221+C232</t>
  </si>
  <si>
    <t>=SUM(C234:C251)</t>
  </si>
  <si>
    <t>=C233+C252</t>
  </si>
  <si>
    <t>Gain on Disposal of Investment</t>
  </si>
  <si>
    <t>Gain on Asset Held for Sales</t>
  </si>
  <si>
    <t>Loss on Disposal of Investment</t>
  </si>
  <si>
    <t>Loss on Asset Held for Sales</t>
  </si>
  <si>
    <t>6424</t>
  </si>
  <si>
    <t>6436</t>
  </si>
  <si>
    <t>6623</t>
  </si>
  <si>
    <t>6712</t>
  </si>
  <si>
    <t>6734</t>
  </si>
  <si>
    <t>6742</t>
  </si>
  <si>
    <t>6752</t>
  </si>
  <si>
    <t>6761</t>
  </si>
  <si>
    <t>6776</t>
  </si>
  <si>
    <t>6223</t>
  </si>
  <si>
    <t>6330</t>
  </si>
  <si>
    <t>6356</t>
  </si>
  <si>
    <t>6403</t>
  </si>
  <si>
    <t>6415</t>
  </si>
  <si>
    <t>F26M</t>
  </si>
  <si>
    <t>F26Y</t>
  </si>
  <si>
    <t>ASU Manufacturing Account by Products by Month</t>
  </si>
  <si>
    <t>ASU Manufacturing Account by Products Year To Date</t>
  </si>
  <si>
    <t xml:space="preserve">Total Variable Overhead </t>
  </si>
  <si>
    <t>=SUM(C7:C10)</t>
  </si>
  <si>
    <t>=SUM(C12:C20)</t>
  </si>
  <si>
    <t>=C11+C21+C22</t>
  </si>
  <si>
    <t>=SUM(C25:C36)</t>
  </si>
  <si>
    <t>=SUM(C38:C45)</t>
  </si>
  <si>
    <t>=C24+C37+C46</t>
  </si>
  <si>
    <t>=SUM(C48:C57)</t>
  </si>
  <si>
    <t>=C23+C47+C58</t>
  </si>
  <si>
    <t>QA Allocated Cost</t>
  </si>
  <si>
    <t>PM Allocated Cost</t>
  </si>
  <si>
    <t>=SUM(C6:C9)</t>
  </si>
  <si>
    <t>=SUM(C11:C19)</t>
  </si>
  <si>
    <t>=C10+C20+C21</t>
  </si>
  <si>
    <t>=SUM(C24:C35)</t>
  </si>
  <si>
    <t>=SUM(C37:C44)</t>
  </si>
  <si>
    <t>=C23+C36+c45</t>
  </si>
  <si>
    <t>=SUM(C47:C56)</t>
  </si>
  <si>
    <t>=C22+C46+C57</t>
  </si>
  <si>
    <t>DEPT: IGP</t>
  </si>
  <si>
    <t>SECTION: ASPs</t>
  </si>
  <si>
    <t>UNIT: ASP2</t>
  </si>
  <si>
    <t>GO</t>
  </si>
  <si>
    <t>LO</t>
  </si>
  <si>
    <t>GN</t>
  </si>
  <si>
    <t>LN</t>
  </si>
  <si>
    <t>LAR</t>
  </si>
  <si>
    <t xml:space="preserve">Budget Production (M3 / KG) </t>
  </si>
  <si>
    <t>Actual Production (M3 / KG)</t>
  </si>
  <si>
    <t>Variance  (M3 / KG)</t>
  </si>
  <si>
    <t>Allocation Factors</t>
  </si>
  <si>
    <t>ACTUAL</t>
  </si>
  <si>
    <t>Direct Expenses -Electricity</t>
  </si>
  <si>
    <t>Cost Indicators :</t>
  </si>
  <si>
    <t>BUDGET</t>
  </si>
  <si>
    <t>VARIANCES</t>
  </si>
  <si>
    <t>Variances</t>
  </si>
  <si>
    <t>F26M ASU MANUFACTURING ACCOUNT</t>
  </si>
  <si>
    <t>BY PRODUCTS BY MONTH</t>
  </si>
  <si>
    <t xml:space="preserve">Other Variable Overhead </t>
  </si>
  <si>
    <t>F26Y ASU MANUFACTURING ACCOUNT</t>
  </si>
  <si>
    <t>BY PRODUCTS YEAR TO DATE</t>
  </si>
  <si>
    <t>=SUM(C6:C12)</t>
  </si>
  <si>
    <t>=SUM(C15:C38)</t>
  </si>
  <si>
    <t>=C13+C39+C40:C43</t>
  </si>
  <si>
    <t>=SUM(C47:C74)</t>
  </si>
  <si>
    <t>=SUM(C76:C95)</t>
  </si>
  <si>
    <t>=C45+C75+C96</t>
  </si>
  <si>
    <t>=SUM(C98:C156)</t>
  </si>
  <si>
    <t>=C97+C157</t>
  </si>
  <si>
    <t>=C44+C158</t>
  </si>
  <si>
    <t>9031, 9116, 9200 to 9211</t>
  </si>
  <si>
    <t>5601 to 5999, 9041Debit, 9102 to 9109Debit, 9111 to 9115, 9117 to 9199</t>
  </si>
  <si>
    <t>5512, 9011</t>
  </si>
  <si>
    <t>1412, 1414</t>
  </si>
  <si>
    <t>Overpayment For Bill Lost</t>
  </si>
  <si>
    <t>3934</t>
  </si>
  <si>
    <t>=SUM(C73:C84)</t>
  </si>
  <si>
    <t>=SUM(C87:C102)</t>
  </si>
  <si>
    <t>=C85+C103</t>
  </si>
  <si>
    <t>=SUM(C105:C131)</t>
  </si>
  <si>
    <t>=SUM(C133:C140)</t>
  </si>
  <si>
    <t>=SUM(C142:C145)</t>
  </si>
  <si>
    <t>=SUM(C147:C148)</t>
  </si>
  <si>
    <t>=SUM(C150:C164)</t>
  </si>
  <si>
    <t>=SUM(C166:C174)</t>
  </si>
  <si>
    <t>=SUM(C176:C188)</t>
  </si>
  <si>
    <t>=SUM(C190:C194)</t>
  </si>
  <si>
    <t>=C132+C141+C146+C149+C165+C175+C189+C195+C196:C204</t>
  </si>
  <si>
    <t>=SUM(C206:C235)</t>
  </si>
  <si>
    <t>=SUM(C237:C242)</t>
  </si>
  <si>
    <t>=SUM(C244:C245)</t>
  </si>
  <si>
    <t>=SUM(C247:C255)</t>
  </si>
  <si>
    <t>=SUM(C257:C266)</t>
  </si>
  <si>
    <t>=SUM(C268:C276)</t>
  </si>
  <si>
    <t>=SUM(C278:C282)</t>
  </si>
  <si>
    <t>=SUM(C284:C296)</t>
  </si>
  <si>
    <t>=SUM(C300:C308)</t>
  </si>
  <si>
    <t>=C236+C243+C246+C256+C267+C277+C283+C297+C298+C299+C309</t>
  </si>
  <si>
    <t>=C71+C104+C205+C310</t>
  </si>
  <si>
    <t>=SUM(C312:C320)</t>
  </si>
  <si>
    <t>=SUM(C322:C331)</t>
  </si>
  <si>
    <t>=C321+C332</t>
  </si>
  <si>
    <t>=C311+C333</t>
  </si>
  <si>
    <t>=SUM(C336:C339)</t>
  </si>
  <si>
    <t>=C334+C340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</si>
</sst>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quot;-&quot;??_);_(@_)"/>
    <numFmt numFmtId="165" formatCode="[&gt;-500]#,##0,;\(#,##0,\)"/>
    <numFmt numFmtId="166" formatCode="0.0%;\(0.0\)%"/>
    <numFmt numFmtId="167" formatCode="[$-409]mmm\-yy;@"/>
    <numFmt numFmtId="168" formatCode="_(* #,##0_);_(* \(#,##0\);_(* &quot;-&quot;??_);_(@_)"/>
  </numFmts>
  <fonts count="31" x14ac:knownFonts="1">
    <font>
      <sz val="10"/>
      <name val="Arial"/>
      <family val="2"/>
    </font>
    <font>
      <sz val="11"/>
      <color theme="1"/>
      <name val="Calibri"/>
      <family val="2"/>
      <scheme val="minor"/>
    </font>
    <font>
      <sz val="11"/>
      <color indexed="8"/>
      <name val="Calibri"/>
      <family val="2"/>
    </font>
    <font>
      <sz val="10"/>
      <name val="Arial"/>
      <family val="2"/>
    </font>
    <font>
      <sz val="8"/>
      <name val="Arial"/>
      <family val="2"/>
    </font>
    <font>
      <sz val="11"/>
      <color indexed="8"/>
      <name val="Calibri"/>
      <family val="2"/>
    </font>
    <font>
      <i/>
      <sz val="8"/>
      <name val="Arial"/>
      <family val="2"/>
    </font>
    <font>
      <sz val="8"/>
      <color indexed="8"/>
      <name val="Arial"/>
      <family val="2"/>
    </font>
    <font>
      <b/>
      <sz val="8"/>
      <name val="Arial"/>
      <family val="2"/>
    </font>
    <font>
      <b/>
      <sz val="8"/>
      <color indexed="8"/>
      <name val="Arial"/>
      <family val="2"/>
    </font>
    <font>
      <b/>
      <sz val="8"/>
      <color indexed="10"/>
      <name val="Arial"/>
      <family val="2"/>
    </font>
    <font>
      <b/>
      <u/>
      <sz val="8"/>
      <name val="Arial"/>
      <family val="2"/>
    </font>
    <font>
      <sz val="10"/>
      <color indexed="8"/>
      <name val="Arial"/>
      <family val="2"/>
    </font>
    <font>
      <b/>
      <i/>
      <u/>
      <sz val="8"/>
      <name val="Arial"/>
      <family val="2"/>
    </font>
    <font>
      <b/>
      <i/>
      <sz val="8"/>
      <name val="Arial"/>
      <family val="2"/>
    </font>
    <font>
      <b/>
      <i/>
      <sz val="8"/>
      <color indexed="8"/>
      <name val="Arial"/>
      <family val="2"/>
    </font>
    <font>
      <sz val="8"/>
      <color rgb="FFFF0000"/>
      <name val="Arial"/>
      <family val="2"/>
    </font>
    <font>
      <sz val="10"/>
      <color rgb="FFFF0000"/>
      <name val="Arial"/>
      <family val="2"/>
    </font>
    <font>
      <b/>
      <u/>
      <sz val="8"/>
      <color rgb="FFFF0000"/>
      <name val="Arial"/>
      <family val="2"/>
    </font>
    <font>
      <b/>
      <sz val="8"/>
      <color rgb="FFFF0000"/>
      <name val="Arial"/>
      <family val="2"/>
    </font>
    <font>
      <i/>
      <sz val="8"/>
      <color rgb="FFFF0000"/>
      <name val="Arial"/>
      <family val="2"/>
    </font>
    <font>
      <b/>
      <i/>
      <u/>
      <sz val="8"/>
      <color rgb="FFFF0000"/>
      <name val="Arial"/>
      <family val="2"/>
    </font>
    <font>
      <b/>
      <sz val="8.8000000000000007"/>
      <color rgb="FFFF0000"/>
      <name val="Arial"/>
      <family val="2"/>
    </font>
    <font>
      <b/>
      <sz val="8.8000000000000007"/>
      <name val="Arial"/>
      <family val="2"/>
    </font>
    <font>
      <b/>
      <sz val="10"/>
      <name val="Arial"/>
      <family val="2"/>
    </font>
    <font>
      <i/>
      <sz val="9"/>
      <color rgb="FFFF0000"/>
      <name val="Arial"/>
      <family val="2"/>
    </font>
    <font>
      <b/>
      <i/>
      <sz val="9"/>
      <color rgb="FFFF0000"/>
      <name val="Symbol"/>
      <family val="1"/>
      <charset val="2"/>
    </font>
    <font>
      <b/>
      <u/>
      <sz val="10"/>
      <name val="Arial"/>
      <family val="2"/>
    </font>
    <font>
      <b/>
      <u/>
      <sz val="11"/>
      <name val="Arial"/>
      <family val="2"/>
    </font>
    <font>
      <sz val="9"/>
      <color indexed="81"/>
      <name val="Tahoma"/>
      <family val="2"/>
    </font>
    <font>
      <b/>
      <sz val="9"/>
      <color indexed="81"/>
      <name val="Tahoma"/>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0066"/>
        <bgColor indexed="64"/>
      </patternFill>
    </fill>
    <fill>
      <patternFill patternType="solid">
        <fgColor theme="9" tint="0.39997558519241921"/>
        <bgColor indexed="64"/>
      </patternFill>
    </fill>
  </fills>
  <borders count="85">
    <border>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style="double">
        <color indexed="64"/>
      </top>
      <bottom/>
      <diagonal/>
    </border>
    <border>
      <left/>
      <right style="thin">
        <color indexed="64"/>
      </right>
      <top/>
      <bottom style="double">
        <color indexed="64"/>
      </bottom>
      <diagonal/>
    </border>
    <border>
      <left/>
      <right/>
      <top/>
      <bottom style="double">
        <color indexed="64"/>
      </bottom>
      <diagonal/>
    </border>
    <border>
      <left style="thin">
        <color indexed="64"/>
      </left>
      <right/>
      <top/>
      <bottom style="double">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double">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top/>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top style="thin">
        <color indexed="64"/>
      </top>
      <bottom style="double">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thin">
        <color indexed="64"/>
      </right>
      <top style="double">
        <color indexed="64"/>
      </top>
      <bottom style="thin">
        <color indexed="64"/>
      </bottom>
      <diagonal/>
    </border>
    <border>
      <left/>
      <right style="hair">
        <color indexed="64"/>
      </right>
      <top/>
      <bottom style="hair">
        <color indexed="64"/>
      </bottom>
      <diagonal/>
    </border>
    <border>
      <left/>
      <right style="hair">
        <color indexed="64"/>
      </right>
      <top style="thin">
        <color indexed="64"/>
      </top>
      <bottom style="thin">
        <color indexed="64"/>
      </bottom>
      <diagonal/>
    </border>
    <border>
      <left style="thin">
        <color indexed="64"/>
      </left>
      <right/>
      <top style="hair">
        <color indexed="64"/>
      </top>
      <bottom style="hair">
        <color indexed="64"/>
      </bottom>
      <diagonal/>
    </border>
    <border>
      <left style="thin">
        <color indexed="64"/>
      </left>
      <right style="thin">
        <color indexed="64"/>
      </right>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thin">
        <color indexed="64"/>
      </left>
      <right/>
      <top style="double">
        <color indexed="64"/>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style="thin">
        <color indexed="64"/>
      </left>
      <right style="thin">
        <color indexed="64"/>
      </right>
      <top/>
      <bottom style="double">
        <color indexed="64"/>
      </bottom>
      <diagonal/>
    </border>
    <border>
      <left style="thin">
        <color indexed="64"/>
      </left>
      <right style="thin">
        <color indexed="64"/>
      </right>
      <top style="hair">
        <color indexed="64"/>
      </top>
      <bottom style="thin">
        <color indexed="64"/>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style="thin">
        <color indexed="64"/>
      </left>
      <right style="hair">
        <color indexed="64"/>
      </right>
      <top/>
      <bottom style="double">
        <color indexed="64"/>
      </bottom>
      <diagonal/>
    </border>
    <border>
      <left/>
      <right/>
      <top style="double">
        <color indexed="64"/>
      </top>
      <bottom style="thin">
        <color indexed="64"/>
      </bottom>
      <diagonal/>
    </border>
    <border>
      <left/>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hair">
        <color indexed="64"/>
      </left>
      <right/>
      <top/>
      <bottom style="thin">
        <color indexed="64"/>
      </bottom>
      <diagonal/>
    </border>
    <border>
      <left style="thin">
        <color indexed="64"/>
      </left>
      <right style="hair">
        <color indexed="64"/>
      </right>
      <top style="double">
        <color indexed="64"/>
      </top>
      <bottom style="thin">
        <color indexed="64"/>
      </bottom>
      <diagonal/>
    </border>
    <border>
      <left/>
      <right style="hair">
        <color indexed="64"/>
      </right>
      <top/>
      <bottom/>
      <diagonal/>
    </border>
    <border>
      <left/>
      <right/>
      <top style="hair">
        <color indexed="64"/>
      </top>
      <bottom style="thin">
        <color indexed="64"/>
      </bottom>
      <diagonal/>
    </border>
    <border>
      <left style="hair">
        <color indexed="64"/>
      </left>
      <right style="hair">
        <color indexed="64"/>
      </right>
      <top/>
      <bottom style="thin">
        <color indexed="64"/>
      </bottom>
      <diagonal/>
    </border>
    <border>
      <left style="thin">
        <color indexed="64"/>
      </left>
      <right/>
      <top style="hair">
        <color indexed="64"/>
      </top>
      <bottom style="thin">
        <color indexed="64"/>
      </bottom>
      <diagonal/>
    </border>
    <border>
      <left style="hair">
        <color indexed="64"/>
      </left>
      <right style="hair">
        <color indexed="64"/>
      </right>
      <top style="double">
        <color indexed="64"/>
      </top>
      <bottom style="thin">
        <color indexed="64"/>
      </bottom>
      <diagonal/>
    </border>
  </borders>
  <cellStyleXfs count="16">
    <xf numFmtId="0" fontId="0" fillId="0" borderId="0"/>
    <xf numFmtId="0" fontId="3" fillId="0" borderId="0"/>
    <xf numFmtId="0" fontId="3" fillId="0" borderId="0"/>
    <xf numFmtId="164" fontId="5" fillId="0" borderId="0" applyFont="0" applyFill="0" applyBorder="0" applyAlignment="0" applyProtection="0"/>
    <xf numFmtId="164" fontId="3" fillId="0" borderId="0" applyFont="0" applyFill="0" applyBorder="0" applyAlignment="0" applyProtection="0"/>
    <xf numFmtId="164" fontId="2" fillId="0" borderId="0" applyFont="0" applyFill="0" applyBorder="0" applyAlignment="0" applyProtection="0"/>
    <xf numFmtId="0" fontId="5" fillId="0" borderId="0"/>
    <xf numFmtId="0" fontId="2" fillId="0" borderId="0"/>
    <xf numFmtId="0" fontId="3" fillId="0" borderId="0"/>
    <xf numFmtId="0" fontId="3" fillId="0" borderId="0"/>
    <xf numFmtId="9" fontId="5"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1" fillId="0" borderId="0"/>
    <xf numFmtId="164" fontId="3" fillId="0" borderId="0" applyFont="0" applyFill="0" applyBorder="0" applyAlignment="0" applyProtection="0"/>
    <xf numFmtId="0" fontId="2" fillId="0" borderId="0"/>
  </cellStyleXfs>
  <cellXfs count="948">
    <xf numFmtId="0" fontId="0" fillId="0" borderId="0" xfId="0"/>
    <xf numFmtId="0" fontId="4" fillId="0" borderId="0" xfId="0" applyFont="1" applyFill="1"/>
    <xf numFmtId="164" fontId="4" fillId="0" borderId="0" xfId="3" applyFont="1" applyFill="1"/>
    <xf numFmtId="165" fontId="4" fillId="0" borderId="0" xfId="3" applyNumberFormat="1" applyFont="1" applyFill="1" applyBorder="1"/>
    <xf numFmtId="0" fontId="4" fillId="0" borderId="0" xfId="0" applyFont="1" applyFill="1" applyBorder="1"/>
    <xf numFmtId="0" fontId="4" fillId="0" borderId="1" xfId="0" applyFont="1" applyFill="1" applyBorder="1"/>
    <xf numFmtId="0" fontId="4" fillId="0" borderId="0" xfId="0" applyFont="1" applyFill="1" applyAlignment="1">
      <alignment horizontal="center"/>
    </xf>
    <xf numFmtId="166" fontId="4" fillId="0" borderId="0" xfId="3" applyNumberFormat="1" applyFont="1" applyFill="1"/>
    <xf numFmtId="166" fontId="4" fillId="0" borderId="0" xfId="0" applyNumberFormat="1" applyFont="1" applyFill="1"/>
    <xf numFmtId="166" fontId="4" fillId="0" borderId="0" xfId="3" applyNumberFormat="1" applyFont="1" applyFill="1" applyBorder="1"/>
    <xf numFmtId="166" fontId="4" fillId="0" borderId="2" xfId="0" applyNumberFormat="1" applyFont="1" applyFill="1" applyBorder="1"/>
    <xf numFmtId="166" fontId="4" fillId="0" borderId="3" xfId="0" applyNumberFormat="1" applyFont="1" applyFill="1" applyBorder="1"/>
    <xf numFmtId="166" fontId="4" fillId="0" borderId="0" xfId="0" applyNumberFormat="1" applyFont="1" applyFill="1" applyBorder="1"/>
    <xf numFmtId="49" fontId="4" fillId="0" borderId="3" xfId="0" applyNumberFormat="1" applyFont="1" applyFill="1" applyBorder="1" applyAlignment="1" applyProtection="1">
      <alignment horizontal="center"/>
    </xf>
    <xf numFmtId="0" fontId="4" fillId="0" borderId="5" xfId="1" applyFont="1" applyFill="1" applyBorder="1" applyAlignment="1">
      <alignment horizontal="center"/>
    </xf>
    <xf numFmtId="166" fontId="4" fillId="0" borderId="1" xfId="10" applyNumberFormat="1" applyFont="1" applyFill="1" applyBorder="1"/>
    <xf numFmtId="166" fontId="4" fillId="0" borderId="0" xfId="10" applyNumberFormat="1" applyFont="1" applyFill="1" applyBorder="1"/>
    <xf numFmtId="49" fontId="4" fillId="0" borderId="0" xfId="0" applyNumberFormat="1" applyFont="1" applyFill="1" applyBorder="1" applyAlignment="1" applyProtection="1">
      <alignment horizontal="center"/>
    </xf>
    <xf numFmtId="37" fontId="6" fillId="0" borderId="1" xfId="1" applyNumberFormat="1" applyFont="1" applyFill="1" applyBorder="1" applyAlignment="1"/>
    <xf numFmtId="0" fontId="4" fillId="0" borderId="6" xfId="1" applyFont="1" applyFill="1" applyBorder="1" applyAlignment="1">
      <alignment horizontal="center"/>
    </xf>
    <xf numFmtId="166" fontId="4" fillId="0" borderId="1" xfId="0" applyNumberFormat="1" applyFont="1" applyFill="1" applyBorder="1"/>
    <xf numFmtId="0" fontId="6" fillId="0" borderId="1" xfId="1" applyFont="1" applyFill="1" applyBorder="1"/>
    <xf numFmtId="37" fontId="6" fillId="0" borderId="1" xfId="1" applyNumberFormat="1" applyFont="1" applyFill="1" applyBorder="1" applyAlignment="1">
      <alignment vertical="center"/>
    </xf>
    <xf numFmtId="166" fontId="7" fillId="0" borderId="0" xfId="10" applyNumberFormat="1" applyFont="1" applyFill="1" applyBorder="1" applyAlignment="1" applyProtection="1">
      <protection locked="0"/>
    </xf>
    <xf numFmtId="37" fontId="6" fillId="0" borderId="1" xfId="1" quotePrefix="1" applyNumberFormat="1" applyFont="1" applyFill="1" applyBorder="1" applyAlignment="1">
      <alignment vertical="center"/>
    </xf>
    <xf numFmtId="166" fontId="4" fillId="0" borderId="7" xfId="10" applyNumberFormat="1" applyFont="1" applyFill="1" applyBorder="1"/>
    <xf numFmtId="166" fontId="4" fillId="0" borderId="8" xfId="0" applyNumberFormat="1" applyFont="1" applyFill="1" applyBorder="1"/>
    <xf numFmtId="166" fontId="7" fillId="0" borderId="8" xfId="10" applyNumberFormat="1" applyFont="1" applyFill="1" applyBorder="1" applyAlignment="1" applyProtection="1">
      <protection locked="0"/>
    </xf>
    <xf numFmtId="49" fontId="4" fillId="0" borderId="8" xfId="0" applyNumberFormat="1" applyFont="1" applyFill="1" applyBorder="1" applyAlignment="1" applyProtection="1">
      <alignment horizontal="center"/>
    </xf>
    <xf numFmtId="37" fontId="6" fillId="0" borderId="7" xfId="1" applyNumberFormat="1" applyFont="1" applyFill="1" applyBorder="1" applyAlignment="1">
      <alignment vertical="center"/>
    </xf>
    <xf numFmtId="17" fontId="8" fillId="0" borderId="9" xfId="1" applyNumberFormat="1" applyFont="1" applyFill="1" applyBorder="1" applyAlignment="1">
      <alignment horizontal="center"/>
    </xf>
    <xf numFmtId="0" fontId="8" fillId="0" borderId="0" xfId="0" applyFont="1" applyFill="1"/>
    <xf numFmtId="164" fontId="8" fillId="0" borderId="0" xfId="3" applyFont="1" applyFill="1"/>
    <xf numFmtId="165" fontId="9" fillId="0" borderId="12" xfId="3" applyNumberFormat="1" applyFont="1" applyFill="1" applyBorder="1" applyAlignment="1" applyProtection="1">
      <protection locked="0"/>
    </xf>
    <xf numFmtId="165" fontId="9" fillId="0" borderId="13" xfId="1" applyNumberFormat="1" applyFont="1" applyFill="1" applyBorder="1" applyAlignment="1" applyProtection="1">
      <protection locked="0"/>
    </xf>
    <xf numFmtId="49" fontId="8" fillId="0" borderId="13" xfId="0" applyNumberFormat="1" applyFont="1" applyFill="1" applyBorder="1" applyAlignment="1" applyProtection="1">
      <alignment horizontal="center"/>
    </xf>
    <xf numFmtId="0" fontId="8" fillId="0" borderId="12" xfId="0" applyFont="1" applyFill="1" applyBorder="1"/>
    <xf numFmtId="0" fontId="4" fillId="0" borderId="0" xfId="0" applyNumberFormat="1" applyFont="1" applyFill="1" applyBorder="1" applyAlignment="1">
      <alignment horizontal="center"/>
    </xf>
    <xf numFmtId="165" fontId="7" fillId="0" borderId="15" xfId="3" applyNumberFormat="1" applyFont="1" applyFill="1" applyBorder="1" applyAlignment="1" applyProtection="1">
      <protection locked="0"/>
    </xf>
    <xf numFmtId="165" fontId="7" fillId="0" borderId="9" xfId="1" applyNumberFormat="1" applyFont="1" applyFill="1" applyBorder="1" applyAlignment="1" applyProtection="1">
      <protection locked="0"/>
    </xf>
    <xf numFmtId="165" fontId="4" fillId="0" borderId="9" xfId="1" applyNumberFormat="1" applyFont="1" applyFill="1" applyBorder="1" applyAlignment="1" applyProtection="1">
      <protection locked="0"/>
    </xf>
    <xf numFmtId="37" fontId="8" fillId="0" borderId="15" xfId="0" applyNumberFormat="1" applyFont="1" applyFill="1" applyBorder="1" applyAlignment="1"/>
    <xf numFmtId="165" fontId="9" fillId="0" borderId="1" xfId="3" applyNumberFormat="1" applyFont="1" applyFill="1" applyBorder="1" applyAlignment="1" applyProtection="1">
      <protection locked="0"/>
    </xf>
    <xf numFmtId="165" fontId="9" fillId="0" borderId="0" xfId="1" applyNumberFormat="1" applyFont="1" applyFill="1" applyBorder="1" applyAlignment="1" applyProtection="1">
      <protection locked="0"/>
    </xf>
    <xf numFmtId="165" fontId="8" fillId="0" borderId="8" xfId="1" applyNumberFormat="1" applyFont="1" applyFill="1" applyBorder="1" applyAlignment="1" applyProtection="1">
      <protection locked="0"/>
    </xf>
    <xf numFmtId="165" fontId="9" fillId="0" borderId="8" xfId="1" applyNumberFormat="1" applyFont="1" applyFill="1" applyBorder="1" applyAlignment="1" applyProtection="1">
      <protection locked="0"/>
    </xf>
    <xf numFmtId="49" fontId="8" fillId="0" borderId="17" xfId="0" applyNumberFormat="1" applyFont="1" applyFill="1" applyBorder="1" applyAlignment="1" applyProtection="1">
      <alignment horizontal="center"/>
    </xf>
    <xf numFmtId="37" fontId="8" fillId="0" borderId="1" xfId="0" applyNumberFormat="1" applyFont="1" applyFill="1" applyBorder="1" applyAlignment="1"/>
    <xf numFmtId="165" fontId="9" fillId="0" borderId="15" xfId="3" applyNumberFormat="1" applyFont="1" applyFill="1" applyBorder="1" applyAlignment="1" applyProtection="1">
      <protection locked="0"/>
    </xf>
    <xf numFmtId="165" fontId="9" fillId="0" borderId="9" xfId="1" applyNumberFormat="1" applyFont="1" applyFill="1" applyBorder="1" applyAlignment="1" applyProtection="1">
      <protection locked="0"/>
    </xf>
    <xf numFmtId="165" fontId="8" fillId="0" borderId="9" xfId="1" applyNumberFormat="1" applyFont="1" applyFill="1" applyBorder="1" applyAlignment="1" applyProtection="1">
      <protection locked="0"/>
    </xf>
    <xf numFmtId="49" fontId="8" fillId="0" borderId="9" xfId="0" applyNumberFormat="1" applyFont="1" applyFill="1" applyBorder="1" applyAlignment="1" applyProtection="1">
      <alignment horizontal="center"/>
    </xf>
    <xf numFmtId="0" fontId="8" fillId="0" borderId="15" xfId="0" applyFont="1" applyFill="1" applyBorder="1"/>
    <xf numFmtId="165" fontId="7" fillId="0" borderId="1" xfId="3" applyNumberFormat="1" applyFont="1" applyFill="1" applyBorder="1" applyAlignment="1" applyProtection="1">
      <protection locked="0"/>
    </xf>
    <xf numFmtId="165" fontId="7" fillId="0" borderId="0" xfId="1" applyNumberFormat="1" applyFont="1" applyFill="1" applyBorder="1" applyAlignment="1" applyProtection="1">
      <protection locked="0"/>
    </xf>
    <xf numFmtId="165" fontId="7" fillId="0" borderId="0" xfId="3" applyNumberFormat="1" applyFont="1" applyFill="1" applyBorder="1" applyAlignment="1" applyProtection="1">
      <protection locked="0"/>
    </xf>
    <xf numFmtId="165" fontId="4" fillId="0" borderId="0" xfId="1" applyNumberFormat="1" applyFont="1" applyFill="1" applyBorder="1" applyAlignment="1" applyProtection="1">
      <protection locked="0"/>
    </xf>
    <xf numFmtId="37" fontId="4" fillId="0" borderId="1" xfId="0" applyNumberFormat="1" applyFont="1" applyFill="1" applyBorder="1" applyAlignment="1"/>
    <xf numFmtId="0" fontId="4" fillId="0" borderId="6" xfId="0" applyFont="1" applyFill="1" applyBorder="1"/>
    <xf numFmtId="0" fontId="8" fillId="0" borderId="6" xfId="0" applyFont="1" applyFill="1" applyBorder="1"/>
    <xf numFmtId="165" fontId="9" fillId="0" borderId="0" xfId="3" applyNumberFormat="1" applyFont="1" applyFill="1" applyBorder="1" applyAlignment="1" applyProtection="1">
      <protection locked="0"/>
    </xf>
    <xf numFmtId="165" fontId="8" fillId="0" borderId="0" xfId="1" applyNumberFormat="1" applyFont="1" applyFill="1" applyBorder="1" applyAlignment="1"/>
    <xf numFmtId="165" fontId="9" fillId="0" borderId="0" xfId="1" applyNumberFormat="1" applyFont="1" applyFill="1" applyBorder="1" applyAlignment="1"/>
    <xf numFmtId="49" fontId="16" fillId="0" borderId="0" xfId="0" applyNumberFormat="1" applyFont="1" applyFill="1" applyBorder="1" applyAlignment="1" applyProtection="1">
      <alignment horizontal="center"/>
    </xf>
    <xf numFmtId="37" fontId="4" fillId="0" borderId="19" xfId="0" applyNumberFormat="1" applyFont="1" applyFill="1" applyBorder="1" applyAlignment="1"/>
    <xf numFmtId="0" fontId="8" fillId="0" borderId="0" xfId="0" applyFont="1" applyFill="1" applyBorder="1"/>
    <xf numFmtId="165" fontId="9" fillId="0" borderId="20" xfId="3" applyNumberFormat="1" applyFont="1" applyFill="1" applyBorder="1" applyAlignment="1" applyProtection="1">
      <protection locked="0"/>
    </xf>
    <xf numFmtId="165" fontId="9" fillId="0" borderId="21" xfId="1" applyNumberFormat="1" applyFont="1" applyFill="1" applyBorder="1" applyAlignment="1" applyProtection="1">
      <protection locked="0"/>
    </xf>
    <xf numFmtId="165" fontId="8" fillId="0" borderId="21" xfId="1" applyNumberFormat="1" applyFont="1" applyFill="1" applyBorder="1" applyAlignment="1"/>
    <xf numFmtId="165" fontId="9" fillId="0" borderId="21" xfId="1" applyNumberFormat="1" applyFont="1" applyFill="1" applyBorder="1" applyAlignment="1"/>
    <xf numFmtId="49" fontId="8" fillId="0" borderId="22" xfId="0" applyNumberFormat="1" applyFont="1" applyFill="1" applyBorder="1" applyAlignment="1" applyProtection="1">
      <alignment horizontal="center"/>
    </xf>
    <xf numFmtId="37" fontId="8" fillId="0" borderId="20" xfId="0" applyNumberFormat="1" applyFont="1" applyFill="1" applyBorder="1" applyAlignment="1"/>
    <xf numFmtId="165" fontId="8" fillId="0" borderId="0" xfId="1" applyNumberFormat="1" applyFont="1" applyFill="1" applyBorder="1" applyAlignment="1" applyProtection="1">
      <protection locked="0"/>
    </xf>
    <xf numFmtId="49" fontId="8" fillId="0" borderId="6" xfId="0" applyNumberFormat="1" applyFont="1" applyFill="1" applyBorder="1" applyAlignment="1" applyProtection="1">
      <alignment horizontal="center"/>
    </xf>
    <xf numFmtId="49" fontId="8" fillId="0" borderId="8" xfId="0" applyNumberFormat="1" applyFont="1" applyFill="1" applyBorder="1" applyAlignment="1" applyProtection="1">
      <alignment horizontal="center"/>
    </xf>
    <xf numFmtId="49" fontId="8" fillId="0" borderId="0" xfId="0" applyNumberFormat="1" applyFont="1" applyFill="1" applyBorder="1" applyAlignment="1" applyProtection="1">
      <alignment horizontal="center"/>
    </xf>
    <xf numFmtId="165" fontId="9" fillId="0" borderId="9" xfId="3" applyNumberFormat="1" applyFont="1" applyFill="1" applyBorder="1" applyAlignment="1" applyProtection="1">
      <protection locked="0"/>
    </xf>
    <xf numFmtId="0" fontId="10" fillId="0" borderId="0" xfId="0" applyFont="1" applyFill="1"/>
    <xf numFmtId="37" fontId="8" fillId="0" borderId="15" xfId="0" applyNumberFormat="1" applyFont="1" applyFill="1" applyBorder="1" applyAlignment="1">
      <alignment vertical="center"/>
    </xf>
    <xf numFmtId="37" fontId="8" fillId="0" borderId="12" xfId="0" applyNumberFormat="1" applyFont="1" applyFill="1" applyBorder="1" applyAlignment="1"/>
    <xf numFmtId="164" fontId="8" fillId="0" borderId="2" xfId="3" applyFont="1" applyFill="1" applyBorder="1" applyAlignment="1">
      <alignment horizontal="center"/>
    </xf>
    <xf numFmtId="17" fontId="8" fillId="0" borderId="3" xfId="1" applyNumberFormat="1" applyFont="1" applyFill="1" applyBorder="1" applyAlignment="1">
      <alignment horizontal="center"/>
    </xf>
    <xf numFmtId="0" fontId="4" fillId="0" borderId="15" xfId="0" applyFont="1" applyFill="1" applyBorder="1"/>
    <xf numFmtId="37" fontId="8" fillId="0" borderId="1" xfId="1" applyNumberFormat="1" applyFont="1" applyFill="1" applyBorder="1" applyAlignment="1" applyProtection="1">
      <alignment horizontal="right"/>
      <protection locked="0"/>
    </xf>
    <xf numFmtId="37" fontId="8" fillId="0" borderId="0" xfId="0" applyNumberFormat="1" applyFont="1" applyFill="1" applyBorder="1" applyAlignment="1" applyProtection="1">
      <protection locked="0"/>
    </xf>
    <xf numFmtId="0" fontId="0" fillId="0" borderId="0" xfId="0" applyFont="1"/>
    <xf numFmtId="0" fontId="4" fillId="0" borderId="6" xfId="0" applyNumberFormat="1" applyFont="1" applyBorder="1" applyAlignment="1">
      <alignment horizontal="center" vertical="center"/>
    </xf>
    <xf numFmtId="0" fontId="4" fillId="0" borderId="0" xfId="0" applyFont="1" applyFill="1" applyBorder="1" applyAlignment="1">
      <alignment horizontal="center" vertical="center"/>
    </xf>
    <xf numFmtId="0" fontId="4" fillId="0" borderId="0" xfId="0" applyNumberFormat="1" applyFont="1" applyAlignment="1">
      <alignment horizontal="center" vertical="center"/>
    </xf>
    <xf numFmtId="0" fontId="0" fillId="0" borderId="0" xfId="0" applyAlignment="1">
      <alignment horizontal="center"/>
    </xf>
    <xf numFmtId="0" fontId="4" fillId="0" borderId="0" xfId="0" applyFont="1" applyAlignment="1">
      <alignment horizontal="center" vertical="center"/>
    </xf>
    <xf numFmtId="0" fontId="4" fillId="0" borderId="6" xfId="0" applyNumberFormat="1" applyFont="1" applyBorder="1" applyAlignment="1">
      <alignment horizontal="center" vertical="center" wrapText="1"/>
    </xf>
    <xf numFmtId="0" fontId="6" fillId="0" borderId="7" xfId="0" applyFont="1" applyBorder="1" applyAlignment="1">
      <alignment horizontal="left"/>
    </xf>
    <xf numFmtId="0" fontId="4" fillId="0" borderId="0" xfId="0" applyFont="1" applyFill="1" applyBorder="1" applyAlignment="1">
      <alignment vertical="center"/>
    </xf>
    <xf numFmtId="0" fontId="0" fillId="0" borderId="0" xfId="0" applyAlignment="1">
      <alignment vertical="center"/>
    </xf>
    <xf numFmtId="0" fontId="4" fillId="0" borderId="26" xfId="0" applyNumberFormat="1" applyFont="1" applyBorder="1" applyAlignment="1">
      <alignment horizontal="center" vertical="center"/>
    </xf>
    <xf numFmtId="0" fontId="4" fillId="0" borderId="8" xfId="0" applyFont="1" applyBorder="1" applyAlignment="1">
      <alignment horizontal="center"/>
    </xf>
    <xf numFmtId="0" fontId="4" fillId="0" borderId="8" xfId="0" applyFont="1" applyBorder="1"/>
    <xf numFmtId="0" fontId="4" fillId="0" borderId="8" xfId="0" applyFont="1" applyFill="1" applyBorder="1" applyAlignment="1">
      <alignment horizontal="center" vertical="center"/>
    </xf>
    <xf numFmtId="0" fontId="6" fillId="0" borderId="0" xfId="0" applyFont="1" applyAlignment="1">
      <alignment horizontal="center"/>
    </xf>
    <xf numFmtId="17" fontId="8" fillId="0" borderId="17" xfId="1" applyNumberFormat="1" applyFont="1" applyFill="1" applyBorder="1" applyAlignment="1">
      <alignment horizontal="center"/>
    </xf>
    <xf numFmtId="165" fontId="7" fillId="0" borderId="6" xfId="1" applyNumberFormat="1" applyFont="1" applyFill="1" applyBorder="1" applyAlignment="1" applyProtection="1">
      <protection locked="0"/>
    </xf>
    <xf numFmtId="165" fontId="9" fillId="0" borderId="17" xfId="1" applyNumberFormat="1" applyFont="1" applyFill="1" applyBorder="1" applyAlignment="1" applyProtection="1">
      <protection locked="0"/>
    </xf>
    <xf numFmtId="165" fontId="7" fillId="0" borderId="9" xfId="3" applyNumberFormat="1" applyFont="1" applyFill="1" applyBorder="1" applyAlignment="1" applyProtection="1">
      <protection locked="0"/>
    </xf>
    <xf numFmtId="165" fontId="7" fillId="0" borderId="17" xfId="1" applyNumberFormat="1" applyFont="1" applyFill="1" applyBorder="1" applyAlignment="1" applyProtection="1">
      <protection locked="0"/>
    </xf>
    <xf numFmtId="37" fontId="6" fillId="0" borderId="2" xfId="1" applyNumberFormat="1" applyFont="1" applyFill="1" applyBorder="1" applyAlignment="1"/>
    <xf numFmtId="37" fontId="8" fillId="0" borderId="1" xfId="0" applyNumberFormat="1" applyFont="1" applyFill="1" applyBorder="1" applyAlignment="1" applyProtection="1">
      <protection locked="0"/>
    </xf>
    <xf numFmtId="37" fontId="8" fillId="0" borderId="0" xfId="1" applyNumberFormat="1" applyFont="1" applyFill="1" applyBorder="1" applyAlignment="1" applyProtection="1">
      <protection locked="0"/>
    </xf>
    <xf numFmtId="37" fontId="9" fillId="0" borderId="0" xfId="1" applyNumberFormat="1" applyFont="1" applyFill="1" applyBorder="1" applyAlignment="1"/>
    <xf numFmtId="37" fontId="9" fillId="0" borderId="1" xfId="1" applyNumberFormat="1" applyFont="1" applyFill="1" applyBorder="1" applyAlignment="1"/>
    <xf numFmtId="0" fontId="4" fillId="0" borderId="17" xfId="0" applyNumberFormat="1" applyFont="1" applyFill="1" applyBorder="1" applyAlignment="1">
      <alignment horizontal="center"/>
    </xf>
    <xf numFmtId="0" fontId="4" fillId="0" borderId="6" xfId="0" applyNumberFormat="1" applyFont="1" applyFill="1" applyBorder="1" applyAlignment="1">
      <alignment horizontal="center"/>
    </xf>
    <xf numFmtId="165" fontId="9" fillId="0" borderId="27" xfId="1" applyNumberFormat="1" applyFont="1" applyFill="1" applyBorder="1" applyAlignment="1" applyProtection="1">
      <protection locked="0"/>
    </xf>
    <xf numFmtId="165" fontId="9" fillId="0" borderId="13" xfId="3" applyNumberFormat="1" applyFont="1" applyFill="1" applyBorder="1" applyAlignment="1" applyProtection="1">
      <protection locked="0"/>
    </xf>
    <xf numFmtId="165" fontId="4" fillId="0" borderId="0" xfId="3" applyNumberFormat="1" applyFont="1" applyFill="1" applyBorder="1" applyAlignment="1" applyProtection="1">
      <protection locked="0"/>
    </xf>
    <xf numFmtId="0" fontId="4" fillId="0" borderId="7" xfId="0" applyFont="1" applyFill="1" applyBorder="1"/>
    <xf numFmtId="165" fontId="7" fillId="0" borderId="26" xfId="1" applyNumberFormat="1" applyFont="1" applyFill="1" applyBorder="1" applyAlignment="1" applyProtection="1">
      <protection locked="0"/>
    </xf>
    <xf numFmtId="165" fontId="7" fillId="0" borderId="8" xfId="1" applyNumberFormat="1" applyFont="1" applyFill="1" applyBorder="1" applyAlignment="1" applyProtection="1">
      <protection locked="0"/>
    </xf>
    <xf numFmtId="165" fontId="4" fillId="0" borderId="8" xfId="1" applyNumberFormat="1" applyFont="1" applyFill="1" applyBorder="1" applyAlignment="1" applyProtection="1">
      <protection locked="0"/>
    </xf>
    <xf numFmtId="165" fontId="7" fillId="0" borderId="8" xfId="3" applyNumberFormat="1" applyFont="1" applyFill="1" applyBorder="1" applyAlignment="1" applyProtection="1">
      <protection locked="0"/>
    </xf>
    <xf numFmtId="165" fontId="7" fillId="0" borderId="7" xfId="3" applyNumberFormat="1" applyFont="1" applyFill="1" applyBorder="1" applyAlignment="1" applyProtection="1">
      <protection locked="0"/>
    </xf>
    <xf numFmtId="165" fontId="8" fillId="0" borderId="13" xfId="1" applyNumberFormat="1" applyFont="1" applyFill="1" applyBorder="1" applyAlignment="1" applyProtection="1">
      <protection locked="0"/>
    </xf>
    <xf numFmtId="165" fontId="9" fillId="0" borderId="26" xfId="1" applyNumberFormat="1" applyFont="1" applyFill="1" applyBorder="1" applyAlignment="1" applyProtection="1">
      <protection locked="0"/>
    </xf>
    <xf numFmtId="166" fontId="4" fillId="0" borderId="3" xfId="10" applyNumberFormat="1" applyFont="1" applyFill="1" applyBorder="1"/>
    <xf numFmtId="166" fontId="4" fillId="0" borderId="2" xfId="10" applyNumberFormat="1" applyFont="1" applyFill="1" applyBorder="1"/>
    <xf numFmtId="0" fontId="4" fillId="0" borderId="0" xfId="0" applyFont="1" applyFill="1" applyAlignment="1">
      <alignment horizontal="left"/>
    </xf>
    <xf numFmtId="0" fontId="4" fillId="0" borderId="21" xfId="0" applyFont="1" applyFill="1" applyBorder="1" applyAlignment="1">
      <alignment horizontal="left"/>
    </xf>
    <xf numFmtId="0" fontId="4" fillId="0" borderId="21" xfId="0" applyFont="1" applyFill="1" applyBorder="1"/>
    <xf numFmtId="164" fontId="4" fillId="0" borderId="0" xfId="3" applyFont="1" applyFill="1" applyBorder="1"/>
    <xf numFmtId="0" fontId="4" fillId="0" borderId="2" xfId="0" applyFont="1" applyFill="1" applyBorder="1"/>
    <xf numFmtId="17" fontId="8" fillId="0" borderId="4" xfId="1" applyNumberFormat="1" applyFont="1" applyFill="1" applyBorder="1" applyAlignment="1">
      <alignment horizontal="center"/>
    </xf>
    <xf numFmtId="165" fontId="9" fillId="0" borderId="8" xfId="3" applyNumberFormat="1" applyFont="1" applyFill="1" applyBorder="1" applyAlignment="1" applyProtection="1">
      <protection locked="0"/>
    </xf>
    <xf numFmtId="165" fontId="9" fillId="0" borderId="7" xfId="3" applyNumberFormat="1" applyFont="1" applyFill="1" applyBorder="1" applyAlignment="1" applyProtection="1">
      <protection locked="0"/>
    </xf>
    <xf numFmtId="0" fontId="4" fillId="0" borderId="0" xfId="8" applyFont="1"/>
    <xf numFmtId="49" fontId="8" fillId="0" borderId="4" xfId="6" applyNumberFormat="1" applyFont="1" applyFill="1" applyBorder="1" applyAlignment="1" applyProtection="1">
      <alignment horizontal="center"/>
    </xf>
    <xf numFmtId="0" fontId="7" fillId="0" borderId="28" xfId="8" applyFont="1" applyBorder="1" applyAlignment="1">
      <alignment horizontal="center" vertical="center"/>
    </xf>
    <xf numFmtId="0" fontId="4" fillId="0" borderId="29" xfId="8" applyFont="1" applyFill="1" applyBorder="1" applyAlignment="1">
      <alignment vertical="center"/>
    </xf>
    <xf numFmtId="49" fontId="4" fillId="0" borderId="28" xfId="6" applyNumberFormat="1" applyFont="1" applyFill="1" applyBorder="1" applyAlignment="1" applyProtection="1">
      <alignment horizontal="center"/>
    </xf>
    <xf numFmtId="165" fontId="7" fillId="0" borderId="30" xfId="2" applyNumberFormat="1" applyFont="1" applyFill="1" applyBorder="1" applyAlignment="1" applyProtection="1">
      <protection locked="0"/>
    </xf>
    <xf numFmtId="165" fontId="4" fillId="0" borderId="30" xfId="2" applyNumberFormat="1" applyFont="1" applyFill="1" applyBorder="1" applyAlignment="1" applyProtection="1">
      <protection locked="0"/>
    </xf>
    <xf numFmtId="165" fontId="7" fillId="0" borderId="31" xfId="2" applyNumberFormat="1" applyFont="1" applyFill="1" applyBorder="1" applyAlignment="1" applyProtection="1">
      <protection locked="0"/>
    </xf>
    <xf numFmtId="165" fontId="7" fillId="0" borderId="29" xfId="4" applyNumberFormat="1" applyFont="1" applyFill="1" applyBorder="1" applyAlignment="1" applyProtection="1">
      <protection locked="0"/>
    </xf>
    <xf numFmtId="0" fontId="7" fillId="0" borderId="32" xfId="8" applyFont="1" applyBorder="1" applyAlignment="1">
      <alignment horizontal="center" vertical="center"/>
    </xf>
    <xf numFmtId="0" fontId="4" fillId="0" borderId="33" xfId="8" applyFont="1" applyFill="1" applyBorder="1" applyAlignment="1">
      <alignment vertical="center"/>
    </xf>
    <xf numFmtId="49" fontId="4" fillId="0" borderId="32" xfId="6" applyNumberFormat="1" applyFont="1" applyFill="1" applyBorder="1" applyAlignment="1" applyProtection="1">
      <alignment horizontal="center"/>
    </xf>
    <xf numFmtId="165" fontId="7" fillId="0" borderId="34" xfId="2" applyNumberFormat="1" applyFont="1" applyFill="1" applyBorder="1" applyAlignment="1" applyProtection="1">
      <protection locked="0"/>
    </xf>
    <xf numFmtId="165" fontId="4" fillId="0" borderId="34" xfId="2" applyNumberFormat="1" applyFont="1" applyFill="1" applyBorder="1" applyAlignment="1" applyProtection="1">
      <protection locked="0"/>
    </xf>
    <xf numFmtId="165" fontId="7" fillId="0" borderId="35" xfId="2" applyNumberFormat="1" applyFont="1" applyFill="1" applyBorder="1" applyAlignment="1" applyProtection="1">
      <protection locked="0"/>
    </xf>
    <xf numFmtId="165" fontId="7" fillId="0" borderId="36" xfId="4" applyNumberFormat="1" applyFont="1" applyFill="1" applyBorder="1" applyAlignment="1" applyProtection="1">
      <protection locked="0"/>
    </xf>
    <xf numFmtId="49" fontId="4" fillId="0" borderId="37" xfId="6" applyNumberFormat="1" applyFont="1" applyFill="1" applyBorder="1" applyAlignment="1" applyProtection="1">
      <alignment horizontal="center"/>
    </xf>
    <xf numFmtId="165" fontId="7" fillId="0" borderId="38" xfId="2" applyNumberFormat="1" applyFont="1" applyFill="1" applyBorder="1" applyAlignment="1" applyProtection="1">
      <protection locked="0"/>
    </xf>
    <xf numFmtId="165" fontId="4" fillId="0" borderId="38" xfId="2" applyNumberFormat="1" applyFont="1" applyFill="1" applyBorder="1" applyAlignment="1" applyProtection="1">
      <protection locked="0"/>
    </xf>
    <xf numFmtId="165" fontId="7" fillId="0" borderId="39" xfId="2" applyNumberFormat="1" applyFont="1" applyFill="1" applyBorder="1" applyAlignment="1" applyProtection="1">
      <protection locked="0"/>
    </xf>
    <xf numFmtId="165" fontId="7" fillId="0" borderId="33" xfId="4" applyNumberFormat="1" applyFont="1" applyFill="1" applyBorder="1" applyAlignment="1" applyProtection="1">
      <protection locked="0"/>
    </xf>
    <xf numFmtId="0" fontId="11" fillId="0" borderId="40" xfId="8" applyFont="1" applyFill="1" applyBorder="1" applyAlignment="1">
      <alignment vertical="center"/>
    </xf>
    <xf numFmtId="49" fontId="4" fillId="0" borderId="41" xfId="6" applyNumberFormat="1" applyFont="1" applyFill="1" applyBorder="1" applyAlignment="1" applyProtection="1">
      <alignment horizontal="center"/>
    </xf>
    <xf numFmtId="165" fontId="7" fillId="0" borderId="42" xfId="2" applyNumberFormat="1" applyFont="1" applyFill="1" applyBorder="1" applyAlignment="1" applyProtection="1">
      <protection locked="0"/>
    </xf>
    <xf numFmtId="165" fontId="4" fillId="0" borderId="42" xfId="2" applyNumberFormat="1" applyFont="1" applyFill="1" applyBorder="1" applyAlignment="1" applyProtection="1">
      <protection locked="0"/>
    </xf>
    <xf numFmtId="165" fontId="7" fillId="0" borderId="43" xfId="2" applyNumberFormat="1" applyFont="1" applyFill="1" applyBorder="1" applyAlignment="1" applyProtection="1">
      <protection locked="0"/>
    </xf>
    <xf numFmtId="165" fontId="7" fillId="0" borderId="40" xfId="4" applyNumberFormat="1" applyFont="1" applyFill="1" applyBorder="1" applyAlignment="1" applyProtection="1">
      <protection locked="0"/>
    </xf>
    <xf numFmtId="0" fontId="4" fillId="0" borderId="36" xfId="8" applyFont="1" applyFill="1" applyBorder="1" applyAlignment="1">
      <alignment vertical="center"/>
    </xf>
    <xf numFmtId="0" fontId="8" fillId="0" borderId="40" xfId="8" applyFont="1" applyFill="1" applyBorder="1" applyAlignment="1">
      <alignment vertical="center"/>
    </xf>
    <xf numFmtId="37" fontId="4" fillId="0" borderId="29" xfId="6" applyNumberFormat="1" applyFont="1" applyFill="1" applyBorder="1" applyAlignment="1">
      <alignment vertical="center"/>
    </xf>
    <xf numFmtId="37" fontId="4" fillId="0" borderId="36" xfId="6" applyNumberFormat="1" applyFont="1" applyFill="1" applyBorder="1" applyAlignment="1">
      <alignment vertical="center"/>
    </xf>
    <xf numFmtId="0" fontId="7" fillId="0" borderId="33" xfId="8" applyFont="1" applyFill="1" applyBorder="1" applyAlignment="1">
      <alignment horizontal="left" vertical="center"/>
    </xf>
    <xf numFmtId="0" fontId="8" fillId="0" borderId="44" xfId="8" applyFont="1" applyFill="1" applyBorder="1" applyAlignment="1">
      <alignment vertical="center"/>
    </xf>
    <xf numFmtId="49" fontId="4" fillId="0" borderId="45" xfId="6" applyNumberFormat="1" applyFont="1" applyFill="1" applyBorder="1" applyAlignment="1" applyProtection="1">
      <alignment horizontal="center"/>
    </xf>
    <xf numFmtId="165" fontId="7" fillId="0" borderId="46" xfId="2" applyNumberFormat="1" applyFont="1" applyFill="1" applyBorder="1" applyAlignment="1" applyProtection="1">
      <protection locked="0"/>
    </xf>
    <xf numFmtId="165" fontId="4" fillId="0" borderId="46" xfId="2" applyNumberFormat="1" applyFont="1" applyFill="1" applyBorder="1" applyAlignment="1" applyProtection="1">
      <protection locked="0"/>
    </xf>
    <xf numFmtId="165" fontId="7" fillId="0" borderId="47" xfId="2" applyNumberFormat="1" applyFont="1" applyFill="1" applyBorder="1" applyAlignment="1" applyProtection="1">
      <protection locked="0"/>
    </xf>
    <xf numFmtId="165" fontId="7" fillId="0" borderId="44" xfId="4" applyNumberFormat="1" applyFont="1" applyFill="1" applyBorder="1" applyAlignment="1" applyProtection="1">
      <protection locked="0"/>
    </xf>
    <xf numFmtId="0" fontId="4" fillId="0" borderId="0" xfId="8" applyFont="1" applyBorder="1"/>
    <xf numFmtId="0" fontId="8" fillId="0" borderId="48" xfId="8" applyFont="1" applyFill="1" applyBorder="1" applyAlignment="1">
      <alignment vertical="center"/>
    </xf>
    <xf numFmtId="49" fontId="4" fillId="0" borderId="49" xfId="6" applyNumberFormat="1" applyFont="1" applyFill="1" applyBorder="1" applyAlignment="1" applyProtection="1">
      <alignment horizontal="center"/>
    </xf>
    <xf numFmtId="165" fontId="7" fillId="0" borderId="50" xfId="2" applyNumberFormat="1" applyFont="1" applyFill="1" applyBorder="1" applyAlignment="1" applyProtection="1">
      <protection locked="0"/>
    </xf>
    <xf numFmtId="165" fontId="4" fillId="0" borderId="50" xfId="2" applyNumberFormat="1" applyFont="1" applyFill="1" applyBorder="1" applyAlignment="1" applyProtection="1">
      <protection locked="0"/>
    </xf>
    <xf numFmtId="165" fontId="7" fillId="0" borderId="51" xfId="2" applyNumberFormat="1" applyFont="1" applyFill="1" applyBorder="1" applyAlignment="1" applyProtection="1">
      <protection locked="0"/>
    </xf>
    <xf numFmtId="165" fontId="7" fillId="0" borderId="48" xfId="4" applyNumberFormat="1" applyFont="1" applyFill="1" applyBorder="1" applyAlignment="1" applyProtection="1">
      <protection locked="0"/>
    </xf>
    <xf numFmtId="0" fontId="9" fillId="0" borderId="40" xfId="8" applyFont="1" applyFill="1" applyBorder="1" applyAlignment="1">
      <alignment horizontal="left" vertical="center"/>
    </xf>
    <xf numFmtId="49" fontId="16" fillId="0" borderId="32" xfId="6" applyNumberFormat="1" applyFont="1" applyFill="1" applyBorder="1" applyAlignment="1" applyProtection="1">
      <alignment horizontal="center"/>
    </xf>
    <xf numFmtId="0" fontId="7" fillId="0" borderId="29" xfId="8" applyFont="1" applyFill="1" applyBorder="1" applyAlignment="1">
      <alignment horizontal="left" vertical="center"/>
    </xf>
    <xf numFmtId="0" fontId="4" fillId="0" borderId="28" xfId="6" applyFont="1" applyFill="1" applyBorder="1"/>
    <xf numFmtId="0" fontId="4" fillId="0" borderId="30" xfId="6" applyFont="1" applyFill="1" applyBorder="1"/>
    <xf numFmtId="0" fontId="4" fillId="0" borderId="31" xfId="6" applyFont="1" applyFill="1" applyBorder="1"/>
    <xf numFmtId="164" fontId="4" fillId="0" borderId="29" xfId="4" applyFont="1" applyFill="1" applyBorder="1"/>
    <xf numFmtId="0" fontId="7" fillId="0" borderId="36" xfId="8" applyFont="1" applyFill="1" applyBorder="1" applyAlignment="1">
      <alignment horizontal="left" vertical="center"/>
    </xf>
    <xf numFmtId="0" fontId="4" fillId="0" borderId="32" xfId="6" applyFont="1" applyFill="1" applyBorder="1"/>
    <xf numFmtId="0" fontId="4" fillId="0" borderId="34" xfId="6" applyFont="1" applyFill="1" applyBorder="1"/>
    <xf numFmtId="0" fontId="4" fillId="0" borderId="35" xfId="6" applyFont="1" applyFill="1" applyBorder="1"/>
    <xf numFmtId="164" fontId="4" fillId="0" borderId="36" xfId="4" applyFont="1" applyFill="1" applyBorder="1"/>
    <xf numFmtId="0" fontId="4" fillId="0" borderId="41" xfId="6" applyFont="1" applyFill="1" applyBorder="1"/>
    <xf numFmtId="166" fontId="4" fillId="0" borderId="42" xfId="6" applyNumberFormat="1" applyFont="1" applyFill="1" applyBorder="1"/>
    <xf numFmtId="166" fontId="4" fillId="0" borderId="43" xfId="6" applyNumberFormat="1" applyFont="1" applyFill="1" applyBorder="1"/>
    <xf numFmtId="166" fontId="4" fillId="0" borderId="40" xfId="4" applyNumberFormat="1" applyFont="1" applyFill="1" applyBorder="1"/>
    <xf numFmtId="0" fontId="4" fillId="0" borderId="49" xfId="6" applyFont="1" applyFill="1" applyBorder="1"/>
    <xf numFmtId="0" fontId="4" fillId="0" borderId="50" xfId="6" applyFont="1" applyFill="1" applyBorder="1"/>
    <xf numFmtId="0" fontId="4" fillId="0" borderId="51" xfId="6" applyFont="1" applyFill="1" applyBorder="1"/>
    <xf numFmtId="164" fontId="4" fillId="0" borderId="48" xfId="4" applyFont="1" applyFill="1" applyBorder="1"/>
    <xf numFmtId="0" fontId="6" fillId="0" borderId="36" xfId="8" applyFont="1" applyFill="1" applyBorder="1" applyAlignment="1">
      <alignment vertical="center"/>
    </xf>
    <xf numFmtId="0" fontId="6" fillId="0" borderId="53" xfId="8" applyFont="1" applyFill="1" applyBorder="1" applyAlignment="1">
      <alignment vertical="center"/>
    </xf>
    <xf numFmtId="0" fontId="4" fillId="0" borderId="0" xfId="6" applyFont="1" applyFill="1" applyBorder="1"/>
    <xf numFmtId="0" fontId="4" fillId="0" borderId="0" xfId="6" applyFont="1" applyFill="1"/>
    <xf numFmtId="164" fontId="4" fillId="0" borderId="0" xfId="4" applyFont="1" applyFill="1"/>
    <xf numFmtId="49" fontId="8" fillId="0" borderId="15" xfId="6" applyNumberFormat="1" applyFont="1" applyFill="1" applyBorder="1" applyAlignment="1" applyProtection="1">
      <alignment horizontal="center"/>
    </xf>
    <xf numFmtId="0" fontId="13" fillId="0" borderId="56" xfId="8" applyFont="1" applyFill="1" applyBorder="1" applyAlignment="1">
      <alignment vertical="center"/>
    </xf>
    <xf numFmtId="37" fontId="8" fillId="0" borderId="26" xfId="0" applyNumberFormat="1" applyFont="1" applyFill="1" applyBorder="1" applyAlignment="1" applyProtection="1">
      <protection locked="0"/>
    </xf>
    <xf numFmtId="0" fontId="4" fillId="0" borderId="8" xfId="0" applyFont="1" applyFill="1" applyBorder="1"/>
    <xf numFmtId="165" fontId="8" fillId="0" borderId="8" xfId="1" applyNumberFormat="1" applyFont="1" applyFill="1" applyBorder="1" applyAlignment="1">
      <alignment horizontal="right"/>
    </xf>
    <xf numFmtId="17" fontId="8" fillId="0" borderId="7" xfId="1" applyNumberFormat="1" applyFont="1" applyFill="1" applyBorder="1" applyAlignment="1">
      <alignment horizontal="right"/>
    </xf>
    <xf numFmtId="0" fontId="8" fillId="0" borderId="6" xfId="9" applyFont="1" applyFill="1" applyBorder="1" applyAlignment="1"/>
    <xf numFmtId="165" fontId="8" fillId="0" borderId="0" xfId="9" applyNumberFormat="1" applyFont="1" applyFill="1" applyBorder="1" applyAlignment="1">
      <alignment horizontal="right"/>
    </xf>
    <xf numFmtId="39" fontId="8" fillId="0" borderId="1" xfId="9" applyNumberFormat="1" applyFont="1" applyFill="1" applyBorder="1" applyAlignment="1">
      <alignment horizontal="right"/>
    </xf>
    <xf numFmtId="167" fontId="8" fillId="0" borderId="5" xfId="3" applyNumberFormat="1" applyFont="1" applyFill="1" applyBorder="1" applyAlignment="1">
      <alignment horizontal="center"/>
    </xf>
    <xf numFmtId="167" fontId="8" fillId="0" borderId="3" xfId="3" applyNumberFormat="1" applyFont="1" applyFill="1" applyBorder="1" applyAlignment="1">
      <alignment horizontal="center"/>
    </xf>
    <xf numFmtId="0" fontId="4" fillId="0" borderId="26" xfId="0" applyFont="1" applyFill="1" applyBorder="1" applyAlignment="1" applyProtection="1">
      <alignment horizontal="center" vertical="center"/>
    </xf>
    <xf numFmtId="0" fontId="4" fillId="0" borderId="8" xfId="9" applyFont="1" applyFill="1" applyBorder="1" applyAlignment="1" applyProtection="1">
      <alignment vertical="center"/>
    </xf>
    <xf numFmtId="165" fontId="4" fillId="0" borderId="26" xfId="3" applyNumberFormat="1" applyFont="1" applyFill="1" applyBorder="1" applyAlignment="1">
      <alignment horizontal="right" vertical="center"/>
    </xf>
    <xf numFmtId="165" fontId="4" fillId="0" borderId="0" xfId="3" applyNumberFormat="1" applyFont="1" applyFill="1" applyBorder="1" applyAlignment="1">
      <alignment horizontal="right" vertical="center"/>
    </xf>
    <xf numFmtId="165" fontId="6" fillId="0" borderId="1" xfId="3" applyNumberFormat="1" applyFont="1" applyFill="1" applyBorder="1" applyAlignment="1">
      <alignment horizontal="right" vertical="center"/>
    </xf>
    <xf numFmtId="0" fontId="4" fillId="0" borderId="6" xfId="0" applyFont="1" applyFill="1" applyBorder="1" applyAlignment="1" applyProtection="1">
      <alignment horizontal="center" vertical="center"/>
    </xf>
    <xf numFmtId="0" fontId="4" fillId="0" borderId="0" xfId="9" applyFont="1" applyFill="1" applyBorder="1" applyAlignment="1" applyProtection="1">
      <alignment vertical="center"/>
    </xf>
    <xf numFmtId="165" fontId="4" fillId="0" borderId="6" xfId="3" applyNumberFormat="1" applyFont="1" applyFill="1" applyBorder="1" applyAlignment="1">
      <alignment horizontal="right" vertical="center"/>
    </xf>
    <xf numFmtId="0" fontId="8" fillId="0" borderId="9" xfId="9" applyFont="1" applyFill="1" applyBorder="1" applyAlignment="1" applyProtection="1">
      <alignment vertical="center"/>
    </xf>
    <xf numFmtId="165" fontId="8" fillId="0" borderId="17" xfId="3" applyNumberFormat="1" applyFont="1" applyFill="1" applyBorder="1" applyAlignment="1">
      <alignment horizontal="right" vertical="center"/>
    </xf>
    <xf numFmtId="165" fontId="8" fillId="0" borderId="9" xfId="3" applyNumberFormat="1" applyFont="1" applyFill="1" applyBorder="1" applyAlignment="1">
      <alignment horizontal="right" vertical="center"/>
    </xf>
    <xf numFmtId="165" fontId="8" fillId="0" borderId="9" xfId="9" applyNumberFormat="1" applyFont="1" applyFill="1" applyBorder="1" applyAlignment="1">
      <alignment horizontal="right" vertical="center"/>
    </xf>
    <xf numFmtId="165" fontId="14" fillId="0" borderId="15" xfId="9" applyNumberFormat="1" applyFont="1" applyFill="1" applyBorder="1" applyAlignment="1">
      <alignment horizontal="right" vertical="center"/>
    </xf>
    <xf numFmtId="37" fontId="4" fillId="0" borderId="0" xfId="9" applyNumberFormat="1" applyFont="1" applyFill="1" applyBorder="1" applyAlignment="1" applyProtection="1">
      <alignment vertical="center"/>
    </xf>
    <xf numFmtId="167" fontId="8" fillId="0" borderId="17" xfId="3" applyNumberFormat="1" applyFont="1" applyFill="1" applyBorder="1" applyAlignment="1">
      <alignment horizontal="center"/>
    </xf>
    <xf numFmtId="167" fontId="8" fillId="0" borderId="9" xfId="3" applyNumberFormat="1" applyFont="1" applyFill="1" applyBorder="1" applyAlignment="1">
      <alignment horizontal="center"/>
    </xf>
    <xf numFmtId="167" fontId="14" fillId="0" borderId="15" xfId="3" applyNumberFormat="1" applyFont="1" applyFill="1" applyBorder="1" applyAlignment="1">
      <alignment horizontal="center"/>
    </xf>
    <xf numFmtId="37" fontId="6" fillId="0" borderId="0" xfId="1" applyNumberFormat="1" applyFont="1" applyFill="1" applyBorder="1" applyAlignment="1"/>
    <xf numFmtId="165" fontId="4" fillId="0" borderId="8" xfId="3" applyNumberFormat="1" applyFont="1" applyFill="1" applyBorder="1" applyAlignment="1">
      <alignment horizontal="right" vertical="center"/>
    </xf>
    <xf numFmtId="165" fontId="6" fillId="0" borderId="7" xfId="3" applyNumberFormat="1" applyFont="1" applyFill="1" applyBorder="1" applyAlignment="1">
      <alignment horizontal="right" vertical="center"/>
    </xf>
    <xf numFmtId="0" fontId="6" fillId="0" borderId="0" xfId="9" applyFont="1" applyFill="1" applyBorder="1"/>
    <xf numFmtId="0" fontId="6" fillId="0" borderId="3" xfId="9" applyFont="1" applyFill="1" applyBorder="1"/>
    <xf numFmtId="165" fontId="4" fillId="0" borderId="3" xfId="3" applyNumberFormat="1" applyFont="1" applyFill="1" applyBorder="1" applyAlignment="1">
      <alignment horizontal="right" vertical="center"/>
    </xf>
    <xf numFmtId="165" fontId="6" fillId="0" borderId="2" xfId="3" applyNumberFormat="1" applyFont="1" applyFill="1" applyBorder="1" applyAlignment="1">
      <alignment horizontal="right" vertical="center"/>
    </xf>
    <xf numFmtId="165" fontId="7" fillId="0" borderId="0" xfId="5" applyNumberFormat="1" applyFont="1" applyFill="1" applyBorder="1" applyAlignment="1" applyProtection="1">
      <protection locked="0"/>
    </xf>
    <xf numFmtId="165" fontId="7" fillId="0" borderId="1" xfId="5" applyNumberFormat="1" applyFont="1" applyFill="1" applyBorder="1" applyAlignment="1" applyProtection="1">
      <protection locked="0"/>
    </xf>
    <xf numFmtId="165" fontId="9" fillId="0" borderId="1" xfId="5" applyNumberFormat="1" applyFont="1" applyFill="1" applyBorder="1" applyAlignment="1" applyProtection="1">
      <protection locked="0"/>
    </xf>
    <xf numFmtId="37" fontId="4" fillId="0" borderId="0" xfId="0" applyNumberFormat="1" applyFont="1" applyFill="1" applyBorder="1" applyAlignment="1"/>
    <xf numFmtId="37" fontId="12" fillId="0" borderId="0" xfId="0" applyNumberFormat="1" applyFont="1" applyFill="1" applyBorder="1" applyAlignment="1">
      <alignment vertical="top"/>
    </xf>
    <xf numFmtId="0" fontId="4" fillId="0" borderId="8" xfId="8" applyFont="1" applyBorder="1"/>
    <xf numFmtId="0" fontId="8" fillId="0" borderId="4" xfId="8" applyFont="1" applyFill="1" applyBorder="1" applyAlignment="1">
      <alignment horizontal="center" vertical="center"/>
    </xf>
    <xf numFmtId="0" fontId="11" fillId="0" borderId="29" xfId="8" applyFont="1" applyFill="1" applyBorder="1" applyAlignment="1">
      <alignment vertical="center"/>
    </xf>
    <xf numFmtId="168" fontId="6" fillId="0" borderId="57" xfId="5" applyNumberFormat="1" applyFont="1" applyFill="1" applyBorder="1"/>
    <xf numFmtId="168" fontId="6" fillId="0" borderId="30" xfId="5" applyNumberFormat="1" applyFont="1" applyFill="1" applyBorder="1"/>
    <xf numFmtId="0" fontId="4" fillId="0" borderId="44" xfId="8" applyFont="1" applyFill="1" applyBorder="1" applyAlignment="1">
      <alignment vertical="center"/>
    </xf>
    <xf numFmtId="0" fontId="7" fillId="0" borderId="37" xfId="8" applyFont="1" applyBorder="1" applyAlignment="1">
      <alignment horizontal="center" vertical="center"/>
    </xf>
    <xf numFmtId="0" fontId="7" fillId="0" borderId="41" xfId="8" applyFont="1" applyBorder="1" applyAlignment="1">
      <alignment horizontal="center" vertical="center"/>
    </xf>
    <xf numFmtId="0" fontId="14" fillId="0" borderId="40" xfId="8" applyFont="1" applyFill="1" applyBorder="1" applyAlignment="1">
      <alignment vertical="center"/>
    </xf>
    <xf numFmtId="168" fontId="8" fillId="0" borderId="58" xfId="5" applyNumberFormat="1" applyFont="1" applyFill="1" applyBorder="1"/>
    <xf numFmtId="168" fontId="8" fillId="0" borderId="42" xfId="5" applyNumberFormat="1" applyFont="1" applyFill="1" applyBorder="1"/>
    <xf numFmtId="168" fontId="8" fillId="0" borderId="9" xfId="5" applyNumberFormat="1" applyFont="1" applyFill="1" applyBorder="1"/>
    <xf numFmtId="168" fontId="8" fillId="0" borderId="43" xfId="5" applyNumberFormat="1" applyFont="1" applyFill="1" applyBorder="1"/>
    <xf numFmtId="0" fontId="4" fillId="0" borderId="0" xfId="8" applyFont="1" applyFill="1" applyBorder="1"/>
    <xf numFmtId="37" fontId="4" fillId="0" borderId="0" xfId="7" applyNumberFormat="1" applyFont="1" applyFill="1" applyBorder="1" applyAlignment="1"/>
    <xf numFmtId="37" fontId="4" fillId="0" borderId="0" xfId="2" applyNumberFormat="1" applyFont="1" applyFill="1" applyBorder="1" applyAlignment="1">
      <alignment vertical="center"/>
    </xf>
    <xf numFmtId="37" fontId="14" fillId="0" borderId="40" xfId="7" applyNumberFormat="1" applyFont="1" applyFill="1" applyBorder="1" applyAlignment="1">
      <alignment vertical="center"/>
    </xf>
    <xf numFmtId="37" fontId="8" fillId="0" borderId="40" xfId="7" applyNumberFormat="1" applyFont="1" applyFill="1" applyBorder="1" applyAlignment="1">
      <alignment vertical="center"/>
    </xf>
    <xf numFmtId="168" fontId="4" fillId="0" borderId="58" xfId="5" applyNumberFormat="1" applyFont="1" applyFill="1" applyBorder="1"/>
    <xf numFmtId="168" fontId="4" fillId="0" borderId="43" xfId="5" applyNumberFormat="1" applyFont="1" applyFill="1" applyBorder="1"/>
    <xf numFmtId="168" fontId="4" fillId="0" borderId="42" xfId="5" applyNumberFormat="1" applyFont="1" applyFill="1" applyBorder="1"/>
    <xf numFmtId="0" fontId="7" fillId="0" borderId="45" xfId="8" applyFont="1" applyBorder="1" applyAlignment="1">
      <alignment horizontal="center" vertical="center"/>
    </xf>
    <xf numFmtId="168" fontId="4" fillId="0" borderId="9" xfId="5" applyNumberFormat="1" applyFont="1" applyFill="1" applyBorder="1"/>
    <xf numFmtId="37" fontId="11" fillId="0" borderId="44" xfId="7" applyNumberFormat="1" applyFont="1" applyFill="1" applyBorder="1" applyAlignment="1">
      <alignment vertical="center"/>
    </xf>
    <xf numFmtId="0" fontId="7" fillId="0" borderId="59" xfId="8" applyFont="1" applyBorder="1" applyAlignment="1">
      <alignment horizontal="center" vertical="center"/>
    </xf>
    <xf numFmtId="0" fontId="7" fillId="0" borderId="0" xfId="8" applyFont="1" applyBorder="1" applyAlignment="1">
      <alignment horizontal="center" vertical="center"/>
    </xf>
    <xf numFmtId="0" fontId="4" fillId="0" borderId="5" xfId="0" applyNumberFormat="1" applyFont="1" applyFill="1" applyBorder="1" applyAlignment="1">
      <alignment horizontal="center"/>
    </xf>
    <xf numFmtId="17" fontId="8" fillId="0" borderId="5" xfId="1" applyNumberFormat="1" applyFont="1" applyFill="1" applyBorder="1" applyAlignment="1">
      <alignment horizontal="center"/>
    </xf>
    <xf numFmtId="17" fontId="8" fillId="0" borderId="60" xfId="1" applyNumberFormat="1" applyFont="1" applyFill="1" applyBorder="1" applyAlignment="1">
      <alignment horizontal="center"/>
    </xf>
    <xf numFmtId="17" fontId="8" fillId="0" borderId="4" xfId="8" applyNumberFormat="1" applyFont="1" applyFill="1" applyBorder="1" applyAlignment="1">
      <alignment horizontal="center" vertical="center"/>
    </xf>
    <xf numFmtId="37" fontId="8" fillId="0" borderId="6" xfId="8" applyNumberFormat="1" applyFont="1" applyFill="1" applyBorder="1" applyAlignment="1" applyProtection="1">
      <alignment horizontal="left" vertical="center"/>
    </xf>
    <xf numFmtId="37" fontId="8" fillId="0" borderId="1" xfId="8" applyNumberFormat="1" applyFont="1" applyFill="1" applyBorder="1" applyAlignment="1" applyProtection="1">
      <alignment horizontal="left" vertical="center"/>
    </xf>
    <xf numFmtId="168" fontId="6" fillId="0" borderId="31" xfId="5" applyNumberFormat="1" applyFont="1" applyFill="1" applyBorder="1"/>
    <xf numFmtId="17" fontId="8" fillId="0" borderId="15" xfId="8" applyNumberFormat="1" applyFont="1" applyFill="1" applyBorder="1" applyAlignment="1">
      <alignment horizontal="center" vertical="center"/>
    </xf>
    <xf numFmtId="168" fontId="4" fillId="3" borderId="58" xfId="5" applyNumberFormat="1" applyFont="1" applyFill="1" applyBorder="1"/>
    <xf numFmtId="37" fontId="8" fillId="0" borderId="0" xfId="7" applyNumberFormat="1" applyFont="1" applyFill="1" applyBorder="1" applyAlignment="1">
      <alignment vertical="center"/>
    </xf>
    <xf numFmtId="0" fontId="4" fillId="0" borderId="53" xfId="8" applyFont="1" applyFill="1" applyBorder="1" applyAlignment="1">
      <alignment vertical="center"/>
    </xf>
    <xf numFmtId="0" fontId="4" fillId="0" borderId="26" xfId="9" applyFont="1" applyFill="1" applyBorder="1" applyAlignment="1" applyProtection="1">
      <alignment horizontal="center" vertical="center"/>
    </xf>
    <xf numFmtId="165" fontId="4" fillId="0" borderId="0" xfId="5" applyNumberFormat="1" applyFont="1" applyFill="1" applyBorder="1" applyAlignment="1">
      <alignment horizontal="right" vertical="center"/>
    </xf>
    <xf numFmtId="0" fontId="4" fillId="0" borderId="6" xfId="9" applyFont="1" applyFill="1" applyBorder="1" applyAlignment="1" applyProtection="1">
      <alignment horizontal="center" vertical="center"/>
    </xf>
    <xf numFmtId="165" fontId="8" fillId="0" borderId="9" xfId="5" applyNumberFormat="1" applyFont="1" applyFill="1" applyBorder="1" applyAlignment="1">
      <alignment horizontal="right" vertical="center"/>
    </xf>
    <xf numFmtId="0" fontId="8" fillId="0" borderId="5" xfId="0" applyFont="1" applyFill="1" applyBorder="1" applyAlignment="1">
      <alignment horizontal="left"/>
    </xf>
    <xf numFmtId="0" fontId="8" fillId="0" borderId="0" xfId="1" applyFont="1" applyFill="1" applyBorder="1" applyAlignment="1">
      <alignment horizontal="left"/>
    </xf>
    <xf numFmtId="168" fontId="4" fillId="0" borderId="57" xfId="5" applyNumberFormat="1" applyFont="1" applyFill="1" applyBorder="1"/>
    <xf numFmtId="168" fontId="4" fillId="0" borderId="30" xfId="5" applyNumberFormat="1" applyFont="1" applyFill="1" applyBorder="1"/>
    <xf numFmtId="168" fontId="4" fillId="0" borderId="31" xfId="5" applyNumberFormat="1" applyFont="1" applyFill="1" applyBorder="1"/>
    <xf numFmtId="168" fontId="4" fillId="0" borderId="61" xfId="5" applyNumberFormat="1" applyFont="1" applyFill="1" applyBorder="1"/>
    <xf numFmtId="168" fontId="4" fillId="0" borderId="34" xfId="5" applyNumberFormat="1" applyFont="1" applyFill="1" applyBorder="1"/>
    <xf numFmtId="168" fontId="4" fillId="0" borderId="35" xfId="5" applyNumberFormat="1" applyFont="1" applyFill="1" applyBorder="1"/>
    <xf numFmtId="168" fontId="4" fillId="0" borderId="62" xfId="5" applyNumberFormat="1" applyFont="1" applyFill="1" applyBorder="1"/>
    <xf numFmtId="168" fontId="4" fillId="0" borderId="38" xfId="5" applyNumberFormat="1" applyFont="1" applyFill="1" applyBorder="1"/>
    <xf numFmtId="168" fontId="4" fillId="0" borderId="39" xfId="5" applyNumberFormat="1" applyFont="1" applyFill="1" applyBorder="1"/>
    <xf numFmtId="49" fontId="4" fillId="0" borderId="0" xfId="9" applyNumberFormat="1" applyFont="1" applyFill="1" applyBorder="1" applyAlignment="1" applyProtection="1">
      <alignment horizontal="center"/>
    </xf>
    <xf numFmtId="49" fontId="8" fillId="0" borderId="0" xfId="9" applyNumberFormat="1" applyFont="1" applyFill="1" applyBorder="1" applyAlignment="1" applyProtection="1">
      <alignment horizontal="center"/>
    </xf>
    <xf numFmtId="49" fontId="8" fillId="0" borderId="9" xfId="9" applyNumberFormat="1" applyFont="1" applyFill="1" applyBorder="1" applyAlignment="1" applyProtection="1">
      <alignment horizontal="center"/>
    </xf>
    <xf numFmtId="0" fontId="4" fillId="0" borderId="1" xfId="9" applyFont="1" applyFill="1" applyBorder="1" applyAlignment="1" applyProtection="1">
      <alignment vertical="center"/>
    </xf>
    <xf numFmtId="0" fontId="8" fillId="0" borderId="15" xfId="9" applyFont="1" applyFill="1" applyBorder="1" applyAlignment="1" applyProtection="1">
      <alignment vertical="center"/>
    </xf>
    <xf numFmtId="0" fontId="8" fillId="0" borderId="15" xfId="1" applyNumberFormat="1" applyFont="1" applyFill="1" applyBorder="1" applyAlignment="1">
      <alignment horizontal="center"/>
    </xf>
    <xf numFmtId="165" fontId="9" fillId="0" borderId="15" xfId="1" applyNumberFormat="1" applyFont="1" applyFill="1" applyBorder="1" applyAlignment="1" applyProtection="1">
      <protection locked="0"/>
    </xf>
    <xf numFmtId="165" fontId="9" fillId="0" borderId="12" xfId="1" applyNumberFormat="1" applyFont="1" applyFill="1" applyBorder="1" applyAlignment="1" applyProtection="1">
      <protection locked="0"/>
    </xf>
    <xf numFmtId="165" fontId="7" fillId="0" borderId="1" xfId="1" applyNumberFormat="1" applyFont="1" applyFill="1" applyBorder="1" applyAlignment="1" applyProtection="1">
      <protection locked="0"/>
    </xf>
    <xf numFmtId="165" fontId="9" fillId="0" borderId="1" xfId="1" applyNumberFormat="1" applyFont="1" applyFill="1" applyBorder="1" applyAlignment="1" applyProtection="1">
      <protection locked="0"/>
    </xf>
    <xf numFmtId="165" fontId="9" fillId="0" borderId="20" xfId="1" applyNumberFormat="1" applyFont="1" applyFill="1" applyBorder="1" applyAlignment="1" applyProtection="1">
      <protection locked="0"/>
    </xf>
    <xf numFmtId="165" fontId="7" fillId="0" borderId="15" xfId="1" applyNumberFormat="1" applyFont="1" applyFill="1" applyBorder="1" applyAlignment="1" applyProtection="1">
      <protection locked="0"/>
    </xf>
    <xf numFmtId="0" fontId="8" fillId="0" borderId="2" xfId="1" applyNumberFormat="1" applyFont="1" applyFill="1" applyBorder="1" applyAlignment="1">
      <alignment horizontal="center"/>
    </xf>
    <xf numFmtId="0" fontId="8" fillId="0" borderId="8" xfId="0" applyFont="1" applyFill="1" applyBorder="1" applyAlignment="1"/>
    <xf numFmtId="0" fontId="8" fillId="0" borderId="7" xfId="0" applyFont="1" applyFill="1" applyBorder="1" applyAlignment="1"/>
    <xf numFmtId="0" fontId="8" fillId="0" borderId="0" xfId="2" applyFont="1" applyFill="1" applyBorder="1" applyAlignment="1">
      <alignment horizontal="left"/>
    </xf>
    <xf numFmtId="0" fontId="8" fillId="0" borderId="0" xfId="2" applyFont="1" applyFill="1" applyBorder="1" applyAlignment="1">
      <alignment horizontal="center"/>
    </xf>
    <xf numFmtId="37" fontId="8" fillId="0" borderId="0" xfId="2" applyNumberFormat="1" applyFont="1" applyFill="1" applyBorder="1" applyAlignment="1" applyProtection="1">
      <alignment horizontal="right"/>
      <protection locked="0"/>
    </xf>
    <xf numFmtId="37" fontId="8" fillId="0" borderId="1" xfId="2" applyNumberFormat="1" applyFont="1" applyFill="1" applyBorder="1" applyAlignment="1" applyProtection="1">
      <alignment horizontal="right"/>
      <protection locked="0"/>
    </xf>
    <xf numFmtId="0" fontId="4" fillId="0" borderId="15" xfId="0" applyFont="1" applyFill="1" applyBorder="1" applyAlignment="1">
      <alignment horizontal="center"/>
    </xf>
    <xf numFmtId="0" fontId="16" fillId="0" borderId="0" xfId="0" applyFont="1" applyFill="1" applyBorder="1"/>
    <xf numFmtId="49" fontId="19" fillId="0" borderId="4" xfId="0" applyNumberFormat="1" applyFont="1" applyFill="1" applyBorder="1" applyAlignment="1" applyProtection="1">
      <alignment horizontal="center"/>
    </xf>
    <xf numFmtId="49" fontId="8" fillId="0" borderId="27" xfId="0" applyNumberFormat="1" applyFont="1" applyFill="1" applyBorder="1" applyAlignment="1" applyProtection="1">
      <alignment horizontal="center"/>
    </xf>
    <xf numFmtId="49" fontId="8" fillId="0" borderId="21" xfId="0" applyNumberFormat="1" applyFont="1" applyFill="1" applyBorder="1" applyAlignment="1" applyProtection="1">
      <alignment horizontal="center"/>
    </xf>
    <xf numFmtId="37" fontId="19" fillId="0" borderId="23" xfId="0" applyNumberFormat="1" applyFont="1" applyFill="1" applyBorder="1" applyAlignment="1" applyProtection="1">
      <alignment horizontal="center"/>
      <protection locked="0"/>
    </xf>
    <xf numFmtId="49" fontId="16" fillId="0" borderId="23" xfId="0" applyNumberFormat="1" applyFont="1" applyFill="1" applyBorder="1" applyAlignment="1" applyProtection="1">
      <alignment horizontal="center"/>
    </xf>
    <xf numFmtId="49" fontId="19" fillId="0" borderId="14" xfId="0" applyNumberFormat="1" applyFont="1" applyFill="1" applyBorder="1" applyAlignment="1" applyProtection="1">
      <alignment horizontal="center"/>
    </xf>
    <xf numFmtId="49" fontId="19" fillId="0" borderId="23" xfId="0" applyNumberFormat="1" applyFont="1" applyFill="1" applyBorder="1" applyAlignment="1" applyProtection="1">
      <alignment horizontal="center"/>
    </xf>
    <xf numFmtId="49" fontId="19" fillId="0" borderId="66" xfId="0" applyNumberFormat="1" applyFont="1" applyFill="1" applyBorder="1" applyAlignment="1" applyProtection="1">
      <alignment horizontal="center"/>
    </xf>
    <xf numFmtId="49" fontId="16" fillId="0" borderId="25" xfId="0" applyNumberFormat="1" applyFont="1" applyFill="1" applyBorder="1" applyAlignment="1" applyProtection="1">
      <alignment horizontal="center"/>
    </xf>
    <xf numFmtId="49" fontId="16" fillId="0" borderId="60" xfId="0" applyNumberFormat="1" applyFont="1" applyFill="1" applyBorder="1" applyAlignment="1" applyProtection="1">
      <alignment horizontal="center"/>
    </xf>
    <xf numFmtId="0" fontId="16" fillId="0" borderId="25" xfId="0" applyFont="1" applyFill="1" applyBorder="1" applyAlignment="1">
      <alignment horizontal="left"/>
    </xf>
    <xf numFmtId="0" fontId="16" fillId="0" borderId="60" xfId="0" applyFont="1" applyFill="1" applyBorder="1" applyAlignment="1">
      <alignment horizontal="center"/>
    </xf>
    <xf numFmtId="49" fontId="16" fillId="0" borderId="23" xfId="9" applyNumberFormat="1" applyFont="1" applyFill="1" applyBorder="1" applyAlignment="1" applyProtection="1">
      <alignment horizontal="center"/>
    </xf>
    <xf numFmtId="49" fontId="16" fillId="0" borderId="1" xfId="9" applyNumberFormat="1" applyFont="1" applyFill="1" applyBorder="1" applyAlignment="1" applyProtection="1">
      <alignment horizontal="center"/>
    </xf>
    <xf numFmtId="49" fontId="19" fillId="0" borderId="15" xfId="9" applyNumberFormat="1" applyFont="1" applyFill="1" applyBorder="1" applyAlignment="1" applyProtection="1">
      <alignment horizontal="center"/>
    </xf>
    <xf numFmtId="37" fontId="19" fillId="0" borderId="60" xfId="0" applyNumberFormat="1" applyFont="1" applyFill="1" applyBorder="1" applyAlignment="1" applyProtection="1">
      <alignment horizontal="left"/>
      <protection locked="0"/>
    </xf>
    <xf numFmtId="49" fontId="16" fillId="0" borderId="6" xfId="9" applyNumberFormat="1" applyFont="1" applyFill="1" applyBorder="1" applyAlignment="1" applyProtection="1">
      <alignment horizontal="center"/>
    </xf>
    <xf numFmtId="49" fontId="16" fillId="0" borderId="6" xfId="9" applyNumberFormat="1" applyFont="1" applyFill="1" applyBorder="1" applyAlignment="1" applyProtection="1">
      <alignment horizontal="center" wrapText="1"/>
    </xf>
    <xf numFmtId="165" fontId="16" fillId="0" borderId="6" xfId="9" quotePrefix="1" applyNumberFormat="1" applyFont="1" applyFill="1" applyBorder="1" applyAlignment="1" applyProtection="1">
      <alignment horizontal="center"/>
    </xf>
    <xf numFmtId="49" fontId="19" fillId="0" borderId="4" xfId="9" applyNumberFormat="1" applyFont="1" applyFill="1" applyBorder="1" applyAlignment="1" applyProtection="1">
      <alignment horizontal="center"/>
    </xf>
    <xf numFmtId="49" fontId="16" fillId="0" borderId="0" xfId="9" applyNumberFormat="1" applyFont="1" applyFill="1" applyBorder="1" applyAlignment="1" applyProtection="1">
      <alignment horizontal="center"/>
    </xf>
    <xf numFmtId="165" fontId="16" fillId="0" borderId="0" xfId="9" quotePrefix="1" applyNumberFormat="1" applyFont="1" applyFill="1" applyBorder="1" applyAlignment="1" applyProtection="1">
      <alignment horizontal="center"/>
    </xf>
    <xf numFmtId="0" fontId="11" fillId="0" borderId="15" xfId="9" applyFont="1" applyFill="1" applyBorder="1" applyAlignment="1" applyProtection="1">
      <alignment vertical="center"/>
    </xf>
    <xf numFmtId="0" fontId="18" fillId="0" borderId="8" xfId="9" applyFont="1" applyFill="1" applyBorder="1" applyAlignment="1" applyProtection="1">
      <alignment horizontal="center" vertical="center"/>
    </xf>
    <xf numFmtId="1" fontId="20" fillId="0" borderId="25" xfId="9" applyNumberFormat="1" applyFont="1" applyFill="1" applyBorder="1" applyAlignment="1">
      <alignment horizontal="center"/>
    </xf>
    <xf numFmtId="165" fontId="16" fillId="0" borderId="23" xfId="9" applyNumberFormat="1" applyFont="1" applyFill="1" applyBorder="1" applyAlignment="1">
      <alignment horizontal="center"/>
    </xf>
    <xf numFmtId="0" fontId="16" fillId="0" borderId="25" xfId="0" applyFont="1" applyFill="1" applyBorder="1" applyAlignment="1">
      <alignment horizontal="center"/>
    </xf>
    <xf numFmtId="0" fontId="16" fillId="0" borderId="23" xfId="9" applyFont="1" applyFill="1" applyBorder="1" applyAlignment="1">
      <alignment horizontal="center"/>
    </xf>
    <xf numFmtId="0" fontId="19" fillId="0" borderId="23" xfId="9" applyFont="1" applyFill="1" applyBorder="1" applyAlignment="1">
      <alignment horizontal="center"/>
    </xf>
    <xf numFmtId="0" fontId="4" fillId="0" borderId="1" xfId="9" applyFont="1" applyFill="1" applyBorder="1"/>
    <xf numFmtId="0" fontId="8" fillId="0" borderId="6" xfId="1" applyFont="1" applyFill="1" applyBorder="1" applyAlignment="1">
      <alignment horizontal="left"/>
    </xf>
    <xf numFmtId="49" fontId="16" fillId="0" borderId="0" xfId="0" applyNumberFormat="1"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0" borderId="25" xfId="0" applyNumberFormat="1" applyFont="1" applyFill="1" applyBorder="1" applyAlignment="1">
      <alignment horizontal="center" vertical="center"/>
    </xf>
    <xf numFmtId="0" fontId="19" fillId="0" borderId="0" xfId="0" applyNumberFormat="1" applyFont="1" applyFill="1" applyBorder="1" applyAlignment="1" applyProtection="1">
      <alignment horizontal="center" vertical="center"/>
      <protection locked="0"/>
    </xf>
    <xf numFmtId="0" fontId="19" fillId="0" borderId="9" xfId="0" applyNumberFormat="1" applyFont="1" applyFill="1" applyBorder="1" applyAlignment="1">
      <alignment horizontal="center" vertical="center"/>
    </xf>
    <xf numFmtId="0" fontId="19" fillId="0" borderId="13" xfId="0" applyNumberFormat="1" applyFont="1" applyFill="1" applyBorder="1" applyAlignment="1">
      <alignment horizontal="center" vertical="center"/>
    </xf>
    <xf numFmtId="0" fontId="16" fillId="0" borderId="8" xfId="0" applyNumberFormat="1" applyFont="1" applyFill="1" applyBorder="1" applyAlignment="1">
      <alignment horizontal="center" vertical="center"/>
    </xf>
    <xf numFmtId="0" fontId="19" fillId="0" borderId="0" xfId="0" applyNumberFormat="1" applyFont="1" applyFill="1" applyBorder="1" applyAlignment="1">
      <alignment horizontal="center" vertical="center"/>
    </xf>
    <xf numFmtId="0" fontId="16" fillId="0" borderId="21" xfId="0" applyNumberFormat="1" applyFont="1" applyFill="1" applyBorder="1" applyAlignment="1">
      <alignment horizontal="center" vertical="center"/>
    </xf>
    <xf numFmtId="49" fontId="20" fillId="0" borderId="25" xfId="1" applyNumberFormat="1" applyFont="1" applyFill="1" applyBorder="1" applyAlignment="1">
      <alignment horizontal="center" vertical="center"/>
    </xf>
    <xf numFmtId="49" fontId="20" fillId="0" borderId="23" xfId="1" applyNumberFormat="1" applyFont="1" applyFill="1" applyBorder="1" applyAlignment="1">
      <alignment horizontal="center" vertical="center"/>
    </xf>
    <xf numFmtId="49" fontId="20" fillId="0" borderId="23" xfId="1" quotePrefix="1" applyNumberFormat="1" applyFont="1" applyFill="1" applyBorder="1" applyAlignment="1">
      <alignment horizontal="center" vertical="center"/>
    </xf>
    <xf numFmtId="49" fontId="20" fillId="0" borderId="60" xfId="1" applyNumberFormat="1" applyFont="1" applyFill="1" applyBorder="1" applyAlignment="1">
      <alignment horizontal="center" vertical="center"/>
    </xf>
    <xf numFmtId="0" fontId="19" fillId="0" borderId="23" xfId="0" applyNumberFormat="1" applyFont="1" applyFill="1" applyBorder="1" applyAlignment="1" applyProtection="1">
      <alignment horizontal="center" vertical="center"/>
      <protection locked="0"/>
    </xf>
    <xf numFmtId="0" fontId="16" fillId="0" borderId="60" xfId="0" applyNumberFormat="1" applyFont="1" applyFill="1" applyBorder="1" applyAlignment="1">
      <alignment horizontal="center" vertical="center"/>
    </xf>
    <xf numFmtId="49" fontId="19" fillId="0" borderId="8" xfId="8" applyNumberFormat="1" applyFont="1" applyFill="1" applyBorder="1" applyAlignment="1" applyProtection="1">
      <alignment horizontal="center" vertical="center"/>
    </xf>
    <xf numFmtId="49" fontId="19" fillId="0" borderId="0" xfId="8" applyNumberFormat="1" applyFont="1" applyFill="1" applyBorder="1" applyAlignment="1" applyProtection="1">
      <alignment horizontal="center" vertical="center"/>
    </xf>
    <xf numFmtId="49" fontId="19" fillId="0" borderId="3" xfId="8" applyNumberFormat="1" applyFont="1" applyFill="1" applyBorder="1" applyAlignment="1" applyProtection="1">
      <alignment horizontal="center" vertical="center"/>
    </xf>
    <xf numFmtId="49" fontId="16" fillId="0" borderId="68" xfId="8" applyNumberFormat="1" applyFont="1" applyFill="1" applyBorder="1" applyAlignment="1">
      <alignment horizontal="center" vertical="center"/>
    </xf>
    <xf numFmtId="49" fontId="16" fillId="0" borderId="69" xfId="8" applyNumberFormat="1" applyFont="1" applyFill="1" applyBorder="1" applyAlignment="1">
      <alignment horizontal="center" vertical="center"/>
    </xf>
    <xf numFmtId="49" fontId="16" fillId="0" borderId="70" xfId="8" applyNumberFormat="1" applyFont="1" applyFill="1" applyBorder="1" applyAlignment="1">
      <alignment horizontal="center" vertical="center"/>
    </xf>
    <xf numFmtId="49" fontId="19" fillId="0" borderId="9" xfId="8" applyNumberFormat="1" applyFont="1" applyFill="1" applyBorder="1" applyAlignment="1">
      <alignment horizontal="center" vertical="center"/>
    </xf>
    <xf numFmtId="49" fontId="16" fillId="0" borderId="68" xfId="6" applyNumberFormat="1" applyFont="1" applyFill="1" applyBorder="1" applyAlignment="1">
      <alignment horizontal="center" vertical="center"/>
    </xf>
    <xf numFmtId="49" fontId="16" fillId="0" borderId="70" xfId="6" applyNumberFormat="1" applyFont="1" applyFill="1" applyBorder="1" applyAlignment="1">
      <alignment horizontal="center" vertical="center"/>
    </xf>
    <xf numFmtId="49" fontId="19" fillId="0" borderId="0" xfId="8" applyNumberFormat="1" applyFont="1" applyFill="1" applyBorder="1" applyAlignment="1">
      <alignment horizontal="center" vertical="center"/>
    </xf>
    <xf numFmtId="49" fontId="19" fillId="0" borderId="13" xfId="8" applyNumberFormat="1" applyFont="1" applyFill="1" applyBorder="1" applyAlignment="1">
      <alignment horizontal="center" vertical="center"/>
    </xf>
    <xf numFmtId="49" fontId="16" fillId="0" borderId="0" xfId="8" applyNumberFormat="1" applyFont="1" applyFill="1" applyBorder="1" applyAlignment="1">
      <alignment horizontal="center" vertical="center"/>
    </xf>
    <xf numFmtId="49" fontId="20" fillId="0" borderId="68" xfId="8" applyNumberFormat="1" applyFont="1" applyFill="1" applyBorder="1" applyAlignment="1">
      <alignment horizontal="center" vertical="center"/>
    </xf>
    <xf numFmtId="49" fontId="16" fillId="0" borderId="0" xfId="8" applyNumberFormat="1" applyFont="1" applyAlignment="1">
      <alignment horizontal="center"/>
    </xf>
    <xf numFmtId="0" fontId="15" fillId="0" borderId="40" xfId="8" applyFont="1" applyFill="1" applyBorder="1" applyAlignment="1">
      <alignment horizontal="left" vertical="center"/>
    </xf>
    <xf numFmtId="49" fontId="16" fillId="0" borderId="16" xfId="8" applyNumberFormat="1" applyFont="1" applyFill="1" applyBorder="1" applyAlignment="1">
      <alignment horizontal="center" vertical="center"/>
    </xf>
    <xf numFmtId="0" fontId="4" fillId="0" borderId="31" xfId="8" applyFont="1" applyFill="1" applyBorder="1" applyAlignment="1">
      <alignment vertical="center"/>
    </xf>
    <xf numFmtId="49" fontId="18" fillId="0" borderId="68" xfId="8" applyNumberFormat="1" applyFont="1" applyFill="1" applyBorder="1" applyAlignment="1">
      <alignment horizontal="center" vertical="center"/>
    </xf>
    <xf numFmtId="49" fontId="19" fillId="0" borderId="9" xfId="7" applyNumberFormat="1" applyFont="1" applyFill="1" applyBorder="1" applyAlignment="1">
      <alignment horizontal="center" vertical="center"/>
    </xf>
    <xf numFmtId="49" fontId="16" fillId="0" borderId="9" xfId="7" applyNumberFormat="1" applyFont="1" applyFill="1" applyBorder="1" applyAlignment="1">
      <alignment horizontal="center" vertical="center"/>
    </xf>
    <xf numFmtId="49" fontId="18" fillId="0" borderId="0" xfId="7" applyNumberFormat="1" applyFont="1" applyFill="1" applyBorder="1" applyAlignment="1">
      <alignment horizontal="center" vertical="center"/>
    </xf>
    <xf numFmtId="49" fontId="16" fillId="0" borderId="59" xfId="8" applyNumberFormat="1" applyFont="1" applyFill="1" applyBorder="1" applyAlignment="1">
      <alignment horizontal="center" vertical="center"/>
    </xf>
    <xf numFmtId="168" fontId="6" fillId="0" borderId="28" xfId="5" applyNumberFormat="1" applyFont="1" applyFill="1" applyBorder="1"/>
    <xf numFmtId="168" fontId="4" fillId="0" borderId="28" xfId="5" applyNumberFormat="1" applyFont="1" applyFill="1" applyBorder="1"/>
    <xf numFmtId="168" fontId="8" fillId="0" borderId="41" xfId="5" applyNumberFormat="1" applyFont="1" applyFill="1" applyBorder="1"/>
    <xf numFmtId="168" fontId="4" fillId="0" borderId="32" xfId="5" applyNumberFormat="1" applyFont="1" applyFill="1" applyBorder="1"/>
    <xf numFmtId="168" fontId="4" fillId="0" borderId="41" xfId="5" applyNumberFormat="1" applyFont="1" applyFill="1" applyBorder="1"/>
    <xf numFmtId="168" fontId="4" fillId="0" borderId="37" xfId="5" applyNumberFormat="1" applyFont="1" applyFill="1" applyBorder="1"/>
    <xf numFmtId="0" fontId="7" fillId="0" borderId="49" xfId="8" applyFont="1" applyBorder="1" applyAlignment="1">
      <alignment horizontal="center" vertical="center"/>
    </xf>
    <xf numFmtId="0" fontId="7" fillId="0" borderId="72" xfId="8" applyFont="1" applyBorder="1" applyAlignment="1">
      <alignment horizontal="center" vertical="center"/>
    </xf>
    <xf numFmtId="0" fontId="7" fillId="0" borderId="73" xfId="8" applyFont="1" applyBorder="1" applyAlignment="1">
      <alignment horizontal="center" vertical="center"/>
    </xf>
    <xf numFmtId="0" fontId="4" fillId="0" borderId="27" xfId="0" applyNumberFormat="1" applyFont="1" applyFill="1" applyBorder="1" applyAlignment="1">
      <alignment horizontal="center"/>
    </xf>
    <xf numFmtId="0" fontId="4" fillId="0" borderId="13" xfId="0" applyNumberFormat="1" applyFont="1" applyFill="1" applyBorder="1" applyAlignment="1">
      <alignment horizontal="center"/>
    </xf>
    <xf numFmtId="0" fontId="4" fillId="0" borderId="3" xfId="0" applyNumberFormat="1" applyFont="1" applyFill="1" applyBorder="1" applyAlignment="1">
      <alignment horizontal="center"/>
    </xf>
    <xf numFmtId="165" fontId="7" fillId="0" borderId="23" xfId="3" applyNumberFormat="1" applyFont="1" applyFill="1" applyBorder="1" applyAlignment="1" applyProtection="1">
      <protection locked="0"/>
    </xf>
    <xf numFmtId="165" fontId="9" fillId="0" borderId="4" xfId="3" applyNumberFormat="1" applyFont="1" applyFill="1" applyBorder="1" applyAlignment="1" applyProtection="1">
      <protection locked="0"/>
    </xf>
    <xf numFmtId="165" fontId="9" fillId="0" borderId="14" xfId="3" applyNumberFormat="1" applyFont="1" applyFill="1" applyBorder="1" applyAlignment="1" applyProtection="1">
      <protection locked="0"/>
    </xf>
    <xf numFmtId="165" fontId="7" fillId="0" borderId="25" xfId="3" applyNumberFormat="1" applyFont="1" applyFill="1" applyBorder="1" applyAlignment="1" applyProtection="1">
      <protection locked="0"/>
    </xf>
    <xf numFmtId="165" fontId="9" fillId="0" borderId="23" xfId="3" applyNumberFormat="1" applyFont="1" applyFill="1" applyBorder="1" applyAlignment="1" applyProtection="1">
      <protection locked="0"/>
    </xf>
    <xf numFmtId="165" fontId="7" fillId="0" borderId="4" xfId="3" applyNumberFormat="1" applyFont="1" applyFill="1" applyBorder="1" applyAlignment="1" applyProtection="1">
      <protection locked="0"/>
    </xf>
    <xf numFmtId="166" fontId="4" fillId="0" borderId="23" xfId="0" applyNumberFormat="1" applyFont="1" applyFill="1" applyBorder="1"/>
    <xf numFmtId="166" fontId="4" fillId="0" borderId="60" xfId="0" applyNumberFormat="1" applyFont="1" applyFill="1" applyBorder="1"/>
    <xf numFmtId="165" fontId="9" fillId="0" borderId="25" xfId="3" applyNumberFormat="1" applyFont="1" applyFill="1" applyBorder="1" applyAlignment="1" applyProtection="1">
      <protection locked="0"/>
    </xf>
    <xf numFmtId="0" fontId="4" fillId="0" borderId="23" xfId="0" applyFont="1" applyFill="1" applyBorder="1"/>
    <xf numFmtId="164" fontId="8" fillId="0" borderId="4" xfId="3" applyFont="1" applyFill="1" applyBorder="1" applyAlignment="1">
      <alignment horizontal="center"/>
    </xf>
    <xf numFmtId="165" fontId="9" fillId="0" borderId="66" xfId="3" applyNumberFormat="1" applyFont="1" applyFill="1" applyBorder="1" applyAlignment="1" applyProtection="1">
      <protection locked="0"/>
    </xf>
    <xf numFmtId="164" fontId="8" fillId="0" borderId="60" xfId="3" applyFont="1" applyFill="1" applyBorder="1" applyAlignment="1">
      <alignment horizontal="center"/>
    </xf>
    <xf numFmtId="166" fontId="4" fillId="0" borderId="25" xfId="10" applyNumberFormat="1" applyFont="1" applyFill="1" applyBorder="1"/>
    <xf numFmtId="166" fontId="4" fillId="0" borderId="23" xfId="10" applyNumberFormat="1" applyFont="1" applyFill="1" applyBorder="1"/>
    <xf numFmtId="165" fontId="7" fillId="0" borderId="23" xfId="5" applyNumberFormat="1" applyFont="1" applyFill="1" applyBorder="1" applyAlignment="1" applyProtection="1">
      <protection locked="0"/>
    </xf>
    <xf numFmtId="165" fontId="9" fillId="0" borderId="23" xfId="5" applyNumberFormat="1" applyFont="1" applyFill="1" applyBorder="1" applyAlignment="1" applyProtection="1">
      <protection locked="0"/>
    </xf>
    <xf numFmtId="0" fontId="4" fillId="0" borderId="22" xfId="0" applyNumberFormat="1" applyFont="1" applyFill="1" applyBorder="1" applyAlignment="1">
      <alignment horizontal="center"/>
    </xf>
    <xf numFmtId="0" fontId="4" fillId="0" borderId="74" xfId="0" applyNumberFormat="1" applyFont="1" applyFill="1" applyBorder="1" applyAlignment="1">
      <alignment horizontal="center"/>
    </xf>
    <xf numFmtId="0" fontId="7" fillId="0" borderId="64" xfId="8" applyFont="1" applyBorder="1" applyAlignment="1">
      <alignment horizontal="center" vertical="center"/>
    </xf>
    <xf numFmtId="37" fontId="8" fillId="0" borderId="6" xfId="2" applyNumberFormat="1" applyFont="1" applyFill="1" applyBorder="1" applyAlignment="1" applyProtection="1">
      <alignment horizontal="left"/>
      <protection locked="0"/>
    </xf>
    <xf numFmtId="165" fontId="7" fillId="0" borderId="65" xfId="2" applyNumberFormat="1" applyFont="1" applyFill="1" applyBorder="1" applyAlignment="1" applyProtection="1">
      <protection locked="0"/>
    </xf>
    <xf numFmtId="165" fontId="7" fillId="0" borderId="59" xfId="2" applyNumberFormat="1" applyFont="1" applyFill="1" applyBorder="1" applyAlignment="1" applyProtection="1">
      <protection locked="0"/>
    </xf>
    <xf numFmtId="165" fontId="7" fillId="0" borderId="64" xfId="2" applyNumberFormat="1" applyFont="1" applyFill="1" applyBorder="1" applyAlignment="1" applyProtection="1">
      <protection locked="0"/>
    </xf>
    <xf numFmtId="165" fontId="7" fillId="0" borderId="17" xfId="2" applyNumberFormat="1" applyFont="1" applyFill="1" applyBorder="1" applyAlignment="1" applyProtection="1">
      <protection locked="0"/>
    </xf>
    <xf numFmtId="165" fontId="7" fillId="0" borderId="6" xfId="2" applyNumberFormat="1" applyFont="1" applyFill="1" applyBorder="1" applyAlignment="1" applyProtection="1">
      <protection locked="0"/>
    </xf>
    <xf numFmtId="165" fontId="7" fillId="0" borderId="27" xfId="2" applyNumberFormat="1" applyFont="1" applyFill="1" applyBorder="1" applyAlignment="1" applyProtection="1">
      <protection locked="0"/>
    </xf>
    <xf numFmtId="0" fontId="4" fillId="0" borderId="65" xfId="6" applyFont="1" applyFill="1" applyBorder="1"/>
    <xf numFmtId="0" fontId="4" fillId="0" borderId="59" xfId="6" applyFont="1" applyFill="1" applyBorder="1"/>
    <xf numFmtId="166" fontId="4" fillId="0" borderId="17" xfId="6" applyNumberFormat="1" applyFont="1" applyFill="1" applyBorder="1"/>
    <xf numFmtId="0" fontId="4" fillId="0" borderId="27" xfId="6" applyFont="1" applyFill="1" applyBorder="1"/>
    <xf numFmtId="0" fontId="4" fillId="0" borderId="17" xfId="0" applyFont="1" applyFill="1" applyBorder="1" applyAlignment="1" applyProtection="1">
      <alignment horizontal="center" vertical="center"/>
    </xf>
    <xf numFmtId="164" fontId="8" fillId="0" borderId="17" xfId="3" applyFont="1" applyFill="1" applyBorder="1" applyAlignment="1">
      <alignment horizontal="center"/>
    </xf>
    <xf numFmtId="164" fontId="8" fillId="0" borderId="9" xfId="3" applyFont="1" applyFill="1" applyBorder="1" applyAlignment="1">
      <alignment horizontal="center"/>
    </xf>
    <xf numFmtId="165" fontId="4" fillId="0" borderId="5" xfId="3" applyNumberFormat="1" applyFont="1" applyFill="1" applyBorder="1" applyAlignment="1">
      <alignment horizontal="right" vertical="center"/>
    </xf>
    <xf numFmtId="17" fontId="8" fillId="0" borderId="17" xfId="8" applyNumberFormat="1" applyFont="1" applyFill="1" applyBorder="1" applyAlignment="1">
      <alignment horizontal="center" vertical="center"/>
    </xf>
    <xf numFmtId="165" fontId="4" fillId="0" borderId="23" xfId="5" applyNumberFormat="1" applyFont="1" applyFill="1" applyBorder="1" applyAlignment="1">
      <alignment horizontal="right" vertical="center"/>
    </xf>
    <xf numFmtId="165" fontId="8" fillId="0" borderId="4" xfId="5" applyNumberFormat="1" applyFont="1" applyFill="1" applyBorder="1" applyAlignment="1">
      <alignment horizontal="right" vertical="center"/>
    </xf>
    <xf numFmtId="0" fontId="8" fillId="0" borderId="17" xfId="9" applyFont="1" applyFill="1" applyBorder="1" applyAlignment="1">
      <alignment horizontal="center"/>
    </xf>
    <xf numFmtId="0" fontId="16" fillId="0" borderId="4" xfId="0" applyFont="1" applyFill="1" applyBorder="1" applyAlignment="1">
      <alignment horizontal="center"/>
    </xf>
    <xf numFmtId="37" fontId="8" fillId="0" borderId="5" xfId="0" applyNumberFormat="1" applyFont="1" applyFill="1" applyBorder="1" applyAlignment="1" applyProtection="1">
      <protection locked="0"/>
    </xf>
    <xf numFmtId="0" fontId="8" fillId="0" borderId="26" xfId="0" applyFont="1" applyFill="1" applyBorder="1" applyAlignment="1">
      <alignment horizontal="left"/>
    </xf>
    <xf numFmtId="0" fontId="4" fillId="0" borderId="7" xfId="9" applyFont="1" applyFill="1" applyBorder="1" applyAlignment="1" applyProtection="1">
      <alignment vertical="center"/>
    </xf>
    <xf numFmtId="0" fontId="4" fillId="0" borderId="5" xfId="0" applyFont="1" applyFill="1" applyBorder="1" applyAlignment="1" applyProtection="1">
      <alignment horizontal="center" vertical="center"/>
    </xf>
    <xf numFmtId="37" fontId="4" fillId="0" borderId="7" xfId="0" applyNumberFormat="1" applyFont="1" applyFill="1" applyBorder="1" applyAlignment="1"/>
    <xf numFmtId="37" fontId="4" fillId="0" borderId="2" xfId="0" applyNumberFormat="1" applyFont="1" applyFill="1" applyBorder="1" applyAlignment="1"/>
    <xf numFmtId="0" fontId="8" fillId="0" borderId="2" xfId="0" applyFont="1" applyFill="1" applyBorder="1"/>
    <xf numFmtId="37" fontId="8" fillId="0" borderId="9" xfId="0" applyNumberFormat="1" applyFont="1" applyFill="1" applyBorder="1" applyAlignment="1" applyProtection="1">
      <protection locked="0"/>
    </xf>
    <xf numFmtId="0" fontId="16" fillId="0" borderId="4" xfId="0" applyFont="1" applyFill="1" applyBorder="1"/>
    <xf numFmtId="37" fontId="8" fillId="0" borderId="2" xfId="0" applyNumberFormat="1" applyFont="1" applyFill="1" applyBorder="1" applyAlignment="1"/>
    <xf numFmtId="165" fontId="9" fillId="0" borderId="12" xfId="5" applyNumberFormat="1" applyFont="1" applyFill="1" applyBorder="1" applyAlignment="1" applyProtection="1">
      <protection locked="0"/>
    </xf>
    <xf numFmtId="165" fontId="7" fillId="0" borderId="15" xfId="5" applyNumberFormat="1" applyFont="1" applyFill="1" applyBorder="1" applyAlignment="1" applyProtection="1">
      <protection locked="0"/>
    </xf>
    <xf numFmtId="165" fontId="9" fillId="0" borderId="15" xfId="5" applyNumberFormat="1" applyFont="1" applyFill="1" applyBorder="1" applyAlignment="1" applyProtection="1">
      <protection locked="0"/>
    </xf>
    <xf numFmtId="165" fontId="9" fillId="0" borderId="9" xfId="5" applyNumberFormat="1" applyFont="1" applyFill="1" applyBorder="1" applyAlignment="1" applyProtection="1">
      <protection locked="0"/>
    </xf>
    <xf numFmtId="165" fontId="7" fillId="0" borderId="9" xfId="5" applyNumberFormat="1" applyFont="1" applyFill="1" applyBorder="1" applyAlignment="1" applyProtection="1">
      <protection locked="0"/>
    </xf>
    <xf numFmtId="165" fontId="7" fillId="0" borderId="4" xfId="5" applyNumberFormat="1" applyFont="1" applyFill="1" applyBorder="1" applyAlignment="1" applyProtection="1">
      <protection locked="0"/>
    </xf>
    <xf numFmtId="165" fontId="9" fillId="0" borderId="14" xfId="5" applyNumberFormat="1" applyFont="1" applyFill="1" applyBorder="1" applyAlignment="1" applyProtection="1">
      <protection locked="0"/>
    </xf>
    <xf numFmtId="165" fontId="9" fillId="0" borderId="4" xfId="5" applyNumberFormat="1" applyFont="1" applyFill="1" applyBorder="1" applyAlignment="1" applyProtection="1">
      <protection locked="0"/>
    </xf>
    <xf numFmtId="49" fontId="18" fillId="0" borderId="25" xfId="0" applyNumberFormat="1" applyFont="1" applyFill="1" applyBorder="1" applyAlignment="1" applyProtection="1">
      <alignment horizontal="center"/>
    </xf>
    <xf numFmtId="49" fontId="4" fillId="0" borderId="5" xfId="0" applyNumberFormat="1" applyFont="1" applyFill="1" applyBorder="1" applyAlignment="1" applyProtection="1">
      <alignment horizontal="center"/>
    </xf>
    <xf numFmtId="17" fontId="8" fillId="0" borderId="15" xfId="1" applyNumberFormat="1" applyFont="1" applyFill="1" applyBorder="1" applyAlignment="1">
      <alignment horizontal="center"/>
    </xf>
    <xf numFmtId="49" fontId="4" fillId="0" borderId="6" xfId="0" applyNumberFormat="1" applyFont="1" applyFill="1" applyBorder="1" applyAlignment="1" applyProtection="1">
      <alignment horizontal="center"/>
    </xf>
    <xf numFmtId="0" fontId="0" fillId="0" borderId="0" xfId="0" applyFill="1"/>
    <xf numFmtId="1" fontId="20" fillId="0" borderId="23" xfId="9" applyNumberFormat="1" applyFont="1" applyFill="1" applyBorder="1" applyAlignment="1">
      <alignment horizontal="center"/>
    </xf>
    <xf numFmtId="0" fontId="16" fillId="0" borderId="0" xfId="0" applyFont="1" applyFill="1" applyAlignment="1">
      <alignment horizontal="center"/>
    </xf>
    <xf numFmtId="0" fontId="8" fillId="0" borderId="0" xfId="1" applyFont="1" applyFill="1" applyBorder="1" applyAlignment="1">
      <alignment horizontal="center"/>
    </xf>
    <xf numFmtId="37" fontId="8" fillId="0" borderId="0" xfId="1" applyNumberFormat="1" applyFont="1" applyFill="1" applyBorder="1" applyAlignment="1" applyProtection="1">
      <alignment horizontal="right"/>
      <protection locked="0"/>
    </xf>
    <xf numFmtId="0" fontId="18" fillId="0" borderId="25" xfId="0" applyNumberFormat="1" applyFont="1" applyFill="1" applyBorder="1" applyAlignment="1" applyProtection="1">
      <alignment horizontal="center" vertical="center"/>
    </xf>
    <xf numFmtId="3" fontId="12" fillId="0" borderId="0" xfId="0" applyNumberFormat="1" applyFont="1" applyFill="1" applyAlignment="1">
      <alignment vertical="top"/>
    </xf>
    <xf numFmtId="0" fontId="12" fillId="0" borderId="0" xfId="0" applyFont="1" applyFill="1" applyAlignment="1">
      <alignment vertical="top"/>
    </xf>
    <xf numFmtId="37" fontId="12" fillId="0" borderId="0" xfId="0" applyNumberFormat="1" applyFont="1" applyFill="1" applyAlignment="1">
      <alignment vertical="top"/>
    </xf>
    <xf numFmtId="3" fontId="12" fillId="0" borderId="21" xfId="0" applyNumberFormat="1" applyFont="1" applyFill="1" applyBorder="1" applyAlignment="1">
      <alignment vertical="top"/>
    </xf>
    <xf numFmtId="0" fontId="12" fillId="0" borderId="21" xfId="0" applyFont="1" applyFill="1" applyBorder="1" applyAlignment="1">
      <alignment vertical="top"/>
    </xf>
    <xf numFmtId="37" fontId="12" fillId="0" borderId="21" xfId="0" applyNumberFormat="1" applyFont="1" applyFill="1" applyBorder="1" applyAlignment="1">
      <alignment vertical="top"/>
    </xf>
    <xf numFmtId="0" fontId="4" fillId="0" borderId="75" xfId="0" applyNumberFormat="1" applyFont="1" applyFill="1" applyBorder="1" applyAlignment="1">
      <alignment horizontal="center"/>
    </xf>
    <xf numFmtId="49" fontId="16" fillId="0" borderId="76" xfId="0" applyNumberFormat="1" applyFont="1" applyFill="1" applyBorder="1" applyAlignment="1" applyProtection="1">
      <alignment horizontal="center"/>
    </xf>
    <xf numFmtId="49" fontId="8" fillId="0" borderId="75" xfId="0" applyNumberFormat="1" applyFont="1" applyFill="1" applyBorder="1" applyAlignment="1" applyProtection="1">
      <alignment horizontal="center"/>
    </xf>
    <xf numFmtId="165" fontId="8" fillId="0" borderId="75" xfId="1" applyNumberFormat="1" applyFont="1" applyFill="1" applyBorder="1" applyAlignment="1"/>
    <xf numFmtId="165" fontId="9" fillId="0" borderId="75" xfId="1" applyNumberFormat="1" applyFont="1" applyFill="1" applyBorder="1" applyAlignment="1" applyProtection="1">
      <protection locked="0"/>
    </xf>
    <xf numFmtId="165" fontId="9" fillId="0" borderId="19" xfId="1" applyNumberFormat="1" applyFont="1" applyFill="1" applyBorder="1" applyAlignment="1" applyProtection="1">
      <protection locked="0"/>
    </xf>
    <xf numFmtId="165" fontId="9" fillId="0" borderId="19" xfId="3" applyNumberFormat="1" applyFont="1" applyFill="1" applyBorder="1" applyAlignment="1" applyProtection="1">
      <protection locked="0"/>
    </xf>
    <xf numFmtId="165" fontId="9" fillId="0" borderId="7" xfId="1" applyNumberFormat="1" applyFont="1" applyFill="1" applyBorder="1" applyAlignment="1" applyProtection="1">
      <protection locked="0"/>
    </xf>
    <xf numFmtId="49" fontId="8" fillId="0" borderId="15" xfId="0" applyNumberFormat="1" applyFont="1" applyFill="1" applyBorder="1" applyAlignment="1" applyProtection="1">
      <alignment horizontal="center"/>
    </xf>
    <xf numFmtId="17" fontId="19" fillId="0" borderId="4" xfId="1" applyNumberFormat="1" applyFont="1" applyFill="1" applyBorder="1" applyAlignment="1">
      <alignment horizontal="center"/>
    </xf>
    <xf numFmtId="49" fontId="8" fillId="0" borderId="3" xfId="0" applyNumberFormat="1" applyFont="1" applyFill="1" applyBorder="1" applyAlignment="1" applyProtection="1">
      <alignment horizontal="center"/>
    </xf>
    <xf numFmtId="49" fontId="8" fillId="0" borderId="74" xfId="0" applyNumberFormat="1" applyFont="1" applyFill="1" applyBorder="1" applyAlignment="1" applyProtection="1">
      <alignment horizontal="center"/>
    </xf>
    <xf numFmtId="165" fontId="9" fillId="0" borderId="74" xfId="1" applyNumberFormat="1" applyFont="1" applyFill="1" applyBorder="1" applyAlignment="1" applyProtection="1">
      <protection locked="0"/>
    </xf>
    <xf numFmtId="165" fontId="9" fillId="0" borderId="11" xfId="1" applyNumberFormat="1" applyFont="1" applyFill="1" applyBorder="1" applyAlignment="1" applyProtection="1">
      <protection locked="0"/>
    </xf>
    <xf numFmtId="0" fontId="8" fillId="0" borderId="5" xfId="0" applyNumberFormat="1" applyFont="1" applyFill="1" applyBorder="1" applyAlignment="1">
      <alignment horizontal="center"/>
    </xf>
    <xf numFmtId="0" fontId="4" fillId="0" borderId="11" xfId="0" applyFont="1" applyFill="1" applyBorder="1"/>
    <xf numFmtId="49" fontId="16" fillId="0" borderId="10" xfId="0" applyNumberFormat="1" applyFont="1" applyFill="1" applyBorder="1" applyAlignment="1" applyProtection="1">
      <alignment horizontal="center"/>
    </xf>
    <xf numFmtId="0" fontId="16" fillId="0" borderId="23" xfId="0" applyFont="1" applyFill="1" applyBorder="1" applyAlignment="1">
      <alignment horizontal="center"/>
    </xf>
    <xf numFmtId="0" fontId="17" fillId="0" borderId="0" xfId="0" applyFont="1" applyFill="1"/>
    <xf numFmtId="0" fontId="3" fillId="0" borderId="0" xfId="0" applyFont="1" applyFill="1"/>
    <xf numFmtId="0" fontId="8" fillId="0" borderId="4" xfId="0" applyFont="1" applyFill="1" applyBorder="1" applyAlignment="1">
      <alignment horizontal="left"/>
    </xf>
    <xf numFmtId="49" fontId="16" fillId="0" borderId="25" xfId="0" applyNumberFormat="1" applyFont="1" applyFill="1" applyBorder="1" applyAlignment="1">
      <alignment horizontal="center"/>
    </xf>
    <xf numFmtId="49" fontId="18" fillId="0" borderId="4" xfId="0" applyNumberFormat="1" applyFont="1" applyFill="1" applyBorder="1" applyAlignment="1" applyProtection="1">
      <alignment horizontal="center"/>
    </xf>
    <xf numFmtId="49" fontId="16" fillId="0" borderId="18" xfId="0" applyNumberFormat="1" applyFont="1" applyFill="1" applyBorder="1" applyAlignment="1" applyProtection="1">
      <alignment horizontal="center"/>
    </xf>
    <xf numFmtId="49" fontId="16" fillId="0" borderId="16" xfId="0" applyNumberFormat="1" applyFont="1" applyFill="1" applyBorder="1" applyAlignment="1" applyProtection="1">
      <alignment horizontal="center"/>
    </xf>
    <xf numFmtId="165" fontId="9" fillId="0" borderId="0" xfId="5" applyNumberFormat="1" applyFont="1" applyFill="1" applyBorder="1" applyAlignment="1" applyProtection="1">
      <protection locked="0"/>
    </xf>
    <xf numFmtId="49" fontId="16" fillId="0" borderId="24" xfId="0" applyNumberFormat="1" applyFont="1" applyFill="1" applyBorder="1" applyAlignment="1" applyProtection="1">
      <alignment horizontal="center"/>
    </xf>
    <xf numFmtId="37" fontId="8" fillId="0" borderId="9" xfId="0" applyNumberFormat="1" applyFont="1" applyFill="1" applyBorder="1" applyAlignment="1"/>
    <xf numFmtId="165" fontId="4" fillId="0" borderId="0" xfId="5" applyNumberFormat="1" applyFont="1" applyFill="1" applyBorder="1" applyAlignment="1" applyProtection="1">
      <protection locked="0"/>
    </xf>
    <xf numFmtId="165" fontId="4" fillId="0" borderId="9" xfId="5" applyNumberFormat="1" applyFont="1" applyFill="1" applyBorder="1" applyAlignment="1" applyProtection="1">
      <protection locked="0"/>
    </xf>
    <xf numFmtId="165" fontId="9" fillId="0" borderId="6" xfId="1" applyNumberFormat="1" applyFont="1" applyFill="1" applyBorder="1" applyAlignment="1" applyProtection="1">
      <protection locked="0"/>
    </xf>
    <xf numFmtId="49" fontId="22" fillId="0" borderId="4" xfId="0" applyNumberFormat="1" applyFont="1" applyFill="1" applyBorder="1" applyAlignment="1" applyProtection="1">
      <alignment horizontal="center"/>
    </xf>
    <xf numFmtId="37" fontId="8" fillId="0" borderId="9" xfId="0" applyNumberFormat="1" applyFont="1" applyFill="1" applyBorder="1" applyAlignment="1">
      <alignment vertical="center"/>
    </xf>
    <xf numFmtId="37" fontId="8" fillId="0" borderId="13" xfId="0" applyNumberFormat="1" applyFont="1" applyFill="1" applyBorder="1" applyAlignment="1"/>
    <xf numFmtId="165" fontId="9" fillId="0" borderId="13" xfId="5" applyNumberFormat="1" applyFont="1" applyFill="1" applyBorder="1" applyAlignment="1" applyProtection="1">
      <protection locked="0"/>
    </xf>
    <xf numFmtId="37" fontId="11" fillId="0" borderId="0" xfId="0" applyNumberFormat="1" applyFont="1" applyFill="1" applyBorder="1" applyAlignment="1"/>
    <xf numFmtId="49" fontId="19" fillId="0" borderId="16" xfId="0" applyNumberFormat="1" applyFont="1" applyFill="1" applyBorder="1" applyAlignment="1" applyProtection="1">
      <alignment horizontal="center"/>
    </xf>
    <xf numFmtId="37" fontId="23" fillId="0" borderId="9" xfId="0" applyNumberFormat="1" applyFont="1" applyFill="1" applyBorder="1" applyAlignment="1"/>
    <xf numFmtId="0" fontId="11" fillId="0" borderId="0" xfId="0" applyFont="1" applyFill="1" applyBorder="1" applyAlignment="1">
      <alignment vertical="center"/>
    </xf>
    <xf numFmtId="49" fontId="19" fillId="0" borderId="18" xfId="0" applyNumberFormat="1" applyFont="1" applyFill="1" applyBorder="1" applyAlignment="1" applyProtection="1">
      <alignment horizontal="center"/>
    </xf>
    <xf numFmtId="0" fontId="8" fillId="0" borderId="9" xfId="0" applyFont="1" applyFill="1" applyBorder="1" applyAlignment="1">
      <alignment vertical="center"/>
    </xf>
    <xf numFmtId="37" fontId="4" fillId="0" borderId="0" xfId="0" applyNumberFormat="1" applyFont="1" applyFill="1" applyBorder="1" applyAlignment="1" applyProtection="1">
      <alignment horizontal="center"/>
    </xf>
    <xf numFmtId="49" fontId="16" fillId="0" borderId="16" xfId="0" applyNumberFormat="1" applyFont="1" applyFill="1" applyBorder="1" applyAlignment="1">
      <alignment horizontal="center"/>
    </xf>
    <xf numFmtId="49" fontId="16" fillId="0" borderId="24" xfId="0" applyNumberFormat="1" applyFont="1" applyFill="1" applyBorder="1" applyAlignment="1">
      <alignment horizontal="center"/>
    </xf>
    <xf numFmtId="49" fontId="19" fillId="0" borderId="4" xfId="0" applyNumberFormat="1" applyFont="1" applyFill="1" applyBorder="1" applyAlignment="1">
      <alignment horizontal="center"/>
    </xf>
    <xf numFmtId="49" fontId="16" fillId="0" borderId="18" xfId="0" applyNumberFormat="1" applyFont="1" applyFill="1" applyBorder="1" applyAlignment="1">
      <alignment horizontal="center"/>
    </xf>
    <xf numFmtId="165" fontId="9" fillId="0" borderId="6" xfId="5" applyNumberFormat="1" applyFont="1" applyFill="1" applyBorder="1" applyAlignment="1" applyProtection="1">
      <protection locked="0"/>
    </xf>
    <xf numFmtId="165" fontId="9" fillId="0" borderId="17" xfId="5" applyNumberFormat="1" applyFont="1" applyFill="1" applyBorder="1" applyAlignment="1" applyProtection="1">
      <protection locked="0"/>
    </xf>
    <xf numFmtId="37" fontId="4" fillId="0" borderId="9" xfId="0" applyNumberFormat="1" applyFont="1" applyFill="1" applyBorder="1" applyAlignment="1" applyProtection="1">
      <alignment horizontal="center"/>
    </xf>
    <xf numFmtId="37" fontId="8" fillId="0" borderId="0" xfId="0" applyNumberFormat="1" applyFont="1" applyFill="1" applyBorder="1" applyAlignment="1" applyProtection="1">
      <alignment horizontal="center"/>
    </xf>
    <xf numFmtId="3" fontId="12" fillId="0" borderId="0" xfId="0" applyNumberFormat="1" applyFont="1" applyFill="1" applyBorder="1" applyAlignment="1">
      <alignment vertical="top"/>
    </xf>
    <xf numFmtId="0" fontId="12" fillId="0" borderId="0" xfId="0" applyFont="1" applyFill="1" applyBorder="1" applyAlignment="1">
      <alignment vertical="top"/>
    </xf>
    <xf numFmtId="37" fontId="12" fillId="0" borderId="23" xfId="0" applyNumberFormat="1" applyFont="1" applyFill="1" applyBorder="1" applyAlignment="1">
      <alignment vertical="top"/>
    </xf>
    <xf numFmtId="37" fontId="12" fillId="0" borderId="1" xfId="0" applyNumberFormat="1" applyFont="1" applyFill="1" applyBorder="1" applyAlignment="1">
      <alignment vertical="top"/>
    </xf>
    <xf numFmtId="0" fontId="4" fillId="0" borderId="17" xfId="0" applyFont="1" applyFill="1" applyBorder="1"/>
    <xf numFmtId="0" fontId="4" fillId="0" borderId="9" xfId="0" applyFont="1" applyFill="1" applyBorder="1"/>
    <xf numFmtId="0" fontId="4" fillId="0" borderId="4" xfId="0" applyFont="1" applyFill="1" applyBorder="1"/>
    <xf numFmtId="0" fontId="8" fillId="0" borderId="9" xfId="0" applyFont="1" applyFill="1" applyBorder="1"/>
    <xf numFmtId="0" fontId="8" fillId="0" borderId="17" xfId="0" applyFont="1" applyFill="1" applyBorder="1"/>
    <xf numFmtId="0" fontId="8" fillId="0" borderId="4" xfId="0" applyFont="1" applyFill="1" applyBorder="1"/>
    <xf numFmtId="0" fontId="8" fillId="0" borderId="3" xfId="0" applyFont="1" applyFill="1" applyBorder="1"/>
    <xf numFmtId="49" fontId="19" fillId="0" borderId="60" xfId="0" applyNumberFormat="1" applyFont="1" applyFill="1" applyBorder="1" applyAlignment="1">
      <alignment horizontal="center"/>
    </xf>
    <xf numFmtId="0" fontId="8" fillId="0" borderId="5" xfId="0" applyFont="1" applyFill="1" applyBorder="1"/>
    <xf numFmtId="0" fontId="8" fillId="0" borderId="60" xfId="0" applyFont="1" applyFill="1" applyBorder="1"/>
    <xf numFmtId="0" fontId="8" fillId="0" borderId="13" xfId="0" applyFont="1" applyFill="1" applyBorder="1"/>
    <xf numFmtId="0" fontId="4" fillId="0" borderId="22" xfId="0" applyFont="1" applyFill="1" applyBorder="1"/>
    <xf numFmtId="0" fontId="4" fillId="0" borderId="66" xfId="0" applyFont="1" applyFill="1" applyBorder="1"/>
    <xf numFmtId="0" fontId="4" fillId="0" borderId="20" xfId="0" applyFont="1" applyFill="1" applyBorder="1"/>
    <xf numFmtId="0" fontId="8" fillId="0" borderId="3" xfId="0" applyFont="1" applyFill="1" applyBorder="1" applyAlignment="1">
      <alignment vertical="center"/>
    </xf>
    <xf numFmtId="0" fontId="4" fillId="0" borderId="27" xfId="0" applyFont="1" applyFill="1" applyBorder="1"/>
    <xf numFmtId="0" fontId="4" fillId="0" borderId="13" xfId="0" applyFont="1" applyFill="1" applyBorder="1"/>
    <xf numFmtId="0" fontId="4" fillId="0" borderId="14" xfId="0" applyFont="1" applyFill="1" applyBorder="1"/>
    <xf numFmtId="0" fontId="4" fillId="0" borderId="12" xfId="0" applyFont="1" applyFill="1" applyBorder="1"/>
    <xf numFmtId="0" fontId="4" fillId="0" borderId="63" xfId="0" applyNumberFormat="1" applyFont="1" applyFill="1" applyBorder="1" applyAlignment="1">
      <alignment horizontal="center"/>
    </xf>
    <xf numFmtId="37" fontId="4" fillId="0" borderId="3" xfId="0" applyNumberFormat="1" applyFont="1" applyFill="1" applyBorder="1" applyAlignment="1"/>
    <xf numFmtId="0" fontId="4" fillId="0" borderId="5" xfId="0" applyFont="1" applyFill="1" applyBorder="1"/>
    <xf numFmtId="0" fontId="4" fillId="0" borderId="3" xfId="0" applyFont="1" applyFill="1" applyBorder="1"/>
    <xf numFmtId="0" fontId="4" fillId="0" borderId="60" xfId="0" applyFont="1" applyFill="1" applyBorder="1"/>
    <xf numFmtId="37" fontId="8" fillId="0" borderId="0" xfId="0" applyNumberFormat="1" applyFont="1" applyFill="1" applyBorder="1" applyAlignment="1"/>
    <xf numFmtId="49" fontId="19" fillId="0" borderId="0" xfId="0" applyNumberFormat="1" applyFont="1" applyFill="1" applyBorder="1" applyAlignment="1" applyProtection="1">
      <alignment horizontal="center"/>
    </xf>
    <xf numFmtId="37" fontId="8" fillId="0" borderId="0" xfId="0" applyNumberFormat="1" applyFont="1" applyFill="1" applyBorder="1" applyAlignment="1" applyProtection="1">
      <alignment vertical="center"/>
    </xf>
    <xf numFmtId="49" fontId="16" fillId="0" borderId="0" xfId="0" applyNumberFormat="1" applyFont="1" applyFill="1" applyBorder="1" applyAlignment="1">
      <alignment horizontal="center"/>
    </xf>
    <xf numFmtId="0" fontId="4" fillId="0" borderId="9" xfId="0" applyNumberFormat="1" applyFont="1" applyFill="1" applyBorder="1" applyAlignment="1">
      <alignment horizontal="center"/>
    </xf>
    <xf numFmtId="0" fontId="8" fillId="0" borderId="0" xfId="1" applyFont="1" applyFill="1" applyBorder="1" applyAlignment="1">
      <alignment horizontal="center"/>
    </xf>
    <xf numFmtId="37" fontId="8" fillId="0" borderId="0" xfId="1" applyNumberFormat="1" applyFont="1" applyFill="1" applyBorder="1" applyAlignment="1" applyProtection="1">
      <alignment horizontal="right"/>
      <protection locked="0"/>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49" fontId="19" fillId="0" borderId="66" xfId="0" applyNumberFormat="1" applyFont="1" applyFill="1" applyBorder="1" applyAlignment="1">
      <alignment horizontal="center"/>
    </xf>
    <xf numFmtId="49" fontId="19" fillId="0" borderId="0" xfId="9" applyNumberFormat="1" applyFont="1" applyFill="1" applyBorder="1" applyAlignment="1" applyProtection="1">
      <alignment horizontal="center"/>
    </xf>
    <xf numFmtId="17" fontId="8" fillId="0" borderId="60" xfId="8" applyNumberFormat="1" applyFont="1" applyFill="1" applyBorder="1" applyAlignment="1">
      <alignment horizontal="center" vertical="center"/>
    </xf>
    <xf numFmtId="17" fontId="8" fillId="0" borderId="2" xfId="8" applyNumberFormat="1" applyFont="1" applyFill="1" applyBorder="1" applyAlignment="1">
      <alignment horizontal="center" vertical="center"/>
    </xf>
    <xf numFmtId="49" fontId="19" fillId="0" borderId="9" xfId="8" applyNumberFormat="1" applyFont="1" applyFill="1" applyBorder="1" applyAlignment="1" applyProtection="1">
      <alignment horizontal="center" vertical="center"/>
    </xf>
    <xf numFmtId="0" fontId="8" fillId="0" borderId="17" xfId="8" applyFont="1" applyBorder="1" applyAlignment="1">
      <alignment horizontal="center"/>
    </xf>
    <xf numFmtId="0" fontId="8" fillId="0" borderId="9" xfId="8" applyFont="1" applyBorder="1" applyAlignment="1">
      <alignment horizontal="center"/>
    </xf>
    <xf numFmtId="0" fontId="4" fillId="0" borderId="9" xfId="8" applyFont="1" applyBorder="1"/>
    <xf numFmtId="0" fontId="8" fillId="0" borderId="9" xfId="8" applyFont="1" applyBorder="1"/>
    <xf numFmtId="0" fontId="8" fillId="0" borderId="9" xfId="8" applyFont="1" applyBorder="1" applyAlignment="1">
      <alignment horizontal="right"/>
    </xf>
    <xf numFmtId="0" fontId="8" fillId="0" borderId="15" xfId="8" quotePrefix="1" applyFont="1" applyBorder="1" applyAlignment="1">
      <alignment horizontal="right"/>
    </xf>
    <xf numFmtId="37" fontId="9" fillId="0" borderId="3" xfId="2" applyNumberFormat="1" applyFont="1" applyFill="1" applyBorder="1" applyAlignment="1"/>
    <xf numFmtId="0" fontId="8" fillId="0" borderId="17" xfId="8" applyFont="1" applyBorder="1"/>
    <xf numFmtId="0" fontId="23" fillId="0" borderId="9" xfId="8" applyFont="1" applyBorder="1"/>
    <xf numFmtId="0" fontId="4" fillId="0" borderId="0" xfId="0" applyFont="1" applyBorder="1" applyAlignment="1">
      <alignment horizontal="center" vertical="center"/>
    </xf>
    <xf numFmtId="37" fontId="8" fillId="0" borderId="0" xfId="1" applyNumberFormat="1" applyFont="1" applyFill="1" applyBorder="1" applyAlignment="1" applyProtection="1">
      <alignment horizontal="right"/>
      <protection locked="0"/>
    </xf>
    <xf numFmtId="49" fontId="8" fillId="0" borderId="77" xfId="0" applyNumberFormat="1" applyFont="1" applyFill="1" applyBorder="1" applyAlignment="1" applyProtection="1">
      <alignment horizontal="center"/>
    </xf>
    <xf numFmtId="49" fontId="16" fillId="0" borderId="6" xfId="0" applyNumberFormat="1" applyFont="1" applyFill="1" applyBorder="1" applyAlignment="1" applyProtection="1">
      <alignment horizontal="center"/>
    </xf>
    <xf numFmtId="49" fontId="8" fillId="0" borderId="26" xfId="0" applyNumberFormat="1" applyFont="1" applyFill="1" applyBorder="1" applyAlignment="1" applyProtection="1">
      <alignment horizontal="center"/>
    </xf>
    <xf numFmtId="49" fontId="4" fillId="0" borderId="26" xfId="0" applyNumberFormat="1" applyFont="1" applyFill="1" applyBorder="1" applyAlignment="1" applyProtection="1">
      <alignment horizontal="center"/>
    </xf>
    <xf numFmtId="166" fontId="7" fillId="0" borderId="7" xfId="10" applyNumberFormat="1" applyFont="1" applyFill="1" applyBorder="1" applyAlignment="1" applyProtection="1">
      <protection locked="0"/>
    </xf>
    <xf numFmtId="166" fontId="7" fillId="0" borderId="1" xfId="10" applyNumberFormat="1" applyFont="1" applyFill="1" applyBorder="1" applyAlignment="1" applyProtection="1">
      <protection locked="0"/>
    </xf>
    <xf numFmtId="17" fontId="8" fillId="0" borderId="2" xfId="1" applyNumberFormat="1" applyFont="1" applyFill="1" applyBorder="1" applyAlignment="1">
      <alignment horizontal="center"/>
    </xf>
    <xf numFmtId="1" fontId="7" fillId="0" borderId="6" xfId="1" applyNumberFormat="1" applyFont="1" applyFill="1" applyBorder="1" applyAlignment="1" applyProtection="1">
      <protection locked="0"/>
    </xf>
    <xf numFmtId="1" fontId="9" fillId="0" borderId="6" xfId="1" applyNumberFormat="1" applyFont="1" applyFill="1" applyBorder="1" applyAlignment="1" applyProtection="1">
      <protection locked="0"/>
    </xf>
    <xf numFmtId="1" fontId="4" fillId="0" borderId="6" xfId="0" applyNumberFormat="1" applyFont="1" applyFill="1" applyBorder="1" applyAlignment="1">
      <alignment horizontal="center"/>
    </xf>
    <xf numFmtId="168" fontId="7" fillId="0" borderId="6" xfId="14" applyNumberFormat="1" applyFont="1" applyFill="1" applyBorder="1" applyAlignment="1" applyProtection="1">
      <protection locked="0"/>
    </xf>
    <xf numFmtId="168" fontId="9" fillId="0" borderId="6" xfId="14" applyNumberFormat="1" applyFont="1" applyFill="1" applyBorder="1" applyAlignment="1" applyProtection="1">
      <protection locked="0"/>
    </xf>
    <xf numFmtId="165" fontId="8" fillId="0" borderId="4" xfId="9" applyNumberFormat="1" applyFont="1" applyFill="1" applyBorder="1" applyAlignment="1">
      <alignment horizontal="right" vertical="center"/>
    </xf>
    <xf numFmtId="0" fontId="8" fillId="0" borderId="17" xfId="9" applyFont="1" applyFill="1" applyBorder="1" applyAlignment="1" applyProtection="1">
      <alignment horizontal="center" vertical="center"/>
    </xf>
    <xf numFmtId="0" fontId="24" fillId="0" borderId="0" xfId="0" applyFont="1" applyFill="1"/>
    <xf numFmtId="0" fontId="8" fillId="0" borderId="26" xfId="9" applyFont="1" applyFill="1" applyBorder="1" applyAlignment="1" applyProtection="1">
      <alignment horizontal="center" vertical="center"/>
    </xf>
    <xf numFmtId="166" fontId="4" fillId="0" borderId="60" xfId="10" applyNumberFormat="1" applyFont="1" applyFill="1" applyBorder="1"/>
    <xf numFmtId="49" fontId="19" fillId="0" borderId="4" xfId="8" applyNumberFormat="1" applyFont="1" applyFill="1" applyBorder="1" applyAlignment="1">
      <alignment horizontal="center" vertical="center"/>
    </xf>
    <xf numFmtId="0" fontId="8" fillId="0" borderId="15" xfId="8" applyFont="1" applyBorder="1"/>
    <xf numFmtId="17" fontId="8" fillId="0" borderId="5" xfId="8" applyNumberFormat="1" applyFont="1" applyFill="1" applyBorder="1" applyAlignment="1">
      <alignment horizontal="center" vertical="center"/>
    </xf>
    <xf numFmtId="168" fontId="4" fillId="3" borderId="9" xfId="5" applyNumberFormat="1" applyFont="1" applyFill="1" applyBorder="1"/>
    <xf numFmtId="168" fontId="4" fillId="0" borderId="18" xfId="5" applyNumberFormat="1" applyFont="1" applyFill="1" applyBorder="1"/>
    <xf numFmtId="168" fontId="8" fillId="0" borderId="4" xfId="5" applyNumberFormat="1" applyFont="1" applyFill="1" applyBorder="1"/>
    <xf numFmtId="168" fontId="6" fillId="0" borderId="18" xfId="5" applyNumberFormat="1" applyFont="1" applyFill="1" applyBorder="1"/>
    <xf numFmtId="168" fontId="4" fillId="0" borderId="16" xfId="5" applyNumberFormat="1" applyFont="1" applyFill="1" applyBorder="1"/>
    <xf numFmtId="168" fontId="4" fillId="0" borderId="4" xfId="5" applyNumberFormat="1" applyFont="1" applyFill="1" applyBorder="1"/>
    <xf numFmtId="168" fontId="4" fillId="0" borderId="24" xfId="5" applyNumberFormat="1" applyFont="1" applyFill="1" applyBorder="1"/>
    <xf numFmtId="168" fontId="4" fillId="3" borderId="4" xfId="5" applyNumberFormat="1" applyFont="1" applyFill="1" applyBorder="1"/>
    <xf numFmtId="0" fontId="25" fillId="0" borderId="0" xfId="0" applyFont="1"/>
    <xf numFmtId="0" fontId="26" fillId="0" borderId="0" xfId="0" applyFont="1"/>
    <xf numFmtId="0" fontId="25" fillId="0" borderId="0" xfId="0" applyFont="1" applyFill="1" applyBorder="1"/>
    <xf numFmtId="0" fontId="25" fillId="0" borderId="0" xfId="0" applyFont="1" applyAlignment="1">
      <alignment vertical="center"/>
    </xf>
    <xf numFmtId="164" fontId="8" fillId="0" borderId="15" xfId="3" applyFont="1" applyFill="1" applyBorder="1" applyAlignment="1">
      <alignment horizontal="center"/>
    </xf>
    <xf numFmtId="167" fontId="8" fillId="0" borderId="2" xfId="3" applyNumberFormat="1" applyFont="1" applyFill="1" applyBorder="1" applyAlignment="1">
      <alignment horizontal="center"/>
    </xf>
    <xf numFmtId="0" fontId="0" fillId="0" borderId="0" xfId="0" applyAlignment="1">
      <alignment wrapText="1"/>
    </xf>
    <xf numFmtId="0" fontId="0" fillId="0" borderId="0" xfId="0" applyAlignment="1">
      <alignment vertical="top"/>
    </xf>
    <xf numFmtId="0" fontId="27" fillId="0" borderId="0" xfId="0" applyFont="1"/>
    <xf numFmtId="37" fontId="8" fillId="0" borderId="5" xfId="8" applyNumberFormat="1" applyFont="1" applyFill="1" applyBorder="1" applyAlignment="1" applyProtection="1">
      <alignment vertical="center" wrapText="1"/>
    </xf>
    <xf numFmtId="37" fontId="8" fillId="0" borderId="2" xfId="8" applyNumberFormat="1" applyFont="1" applyFill="1" applyBorder="1" applyAlignment="1" applyProtection="1">
      <alignment vertical="center" wrapText="1"/>
    </xf>
    <xf numFmtId="0" fontId="0" fillId="4" borderId="0" xfId="0" applyFill="1"/>
    <xf numFmtId="0" fontId="0" fillId="5" borderId="0" xfId="0" applyFill="1"/>
    <xf numFmtId="0" fontId="0" fillId="3" borderId="0" xfId="0" applyFill="1"/>
    <xf numFmtId="0" fontId="28" fillId="3" borderId="0" xfId="0" applyFont="1" applyFill="1" applyAlignment="1">
      <alignment horizontal="center"/>
    </xf>
    <xf numFmtId="0" fontId="0" fillId="6" borderId="0" xfId="0" applyFill="1"/>
    <xf numFmtId="0" fontId="24" fillId="3" borderId="0" xfId="0" applyFont="1" applyFill="1"/>
    <xf numFmtId="0" fontId="4" fillId="0" borderId="9" xfId="0" applyNumberFormat="1" applyFont="1" applyFill="1" applyBorder="1" applyAlignment="1">
      <alignment horizontal="center"/>
    </xf>
    <xf numFmtId="0" fontId="8" fillId="0" borderId="0" xfId="1" applyFont="1" applyFill="1" applyBorder="1" applyAlignment="1">
      <alignment horizontal="center"/>
    </xf>
    <xf numFmtId="37" fontId="8" fillId="0" borderId="0" xfId="1" applyNumberFormat="1" applyFont="1" applyFill="1" applyBorder="1" applyAlignment="1" applyProtection="1">
      <alignment horizontal="right"/>
      <protection locked="0"/>
    </xf>
    <xf numFmtId="0" fontId="6" fillId="0" borderId="1" xfId="0" applyFont="1" applyBorder="1" applyAlignment="1">
      <alignment vertical="center"/>
    </xf>
    <xf numFmtId="0" fontId="6" fillId="0" borderId="1" xfId="0" applyFont="1" applyBorder="1" applyAlignment="1">
      <alignment vertical="center" wrapText="1"/>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17" xfId="2" applyFont="1" applyFill="1" applyBorder="1" applyAlignment="1">
      <alignment horizontal="left"/>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9" xfId="2" applyNumberFormat="1" applyFont="1" applyFill="1" applyBorder="1" applyAlignment="1" applyProtection="1">
      <alignment horizontal="left"/>
      <protection locked="0"/>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49" fontId="8" fillId="0" borderId="4" xfId="15" applyNumberFormat="1" applyFont="1" applyFill="1" applyBorder="1" applyAlignment="1" applyProtection="1">
      <alignment horizontal="center"/>
    </xf>
    <xf numFmtId="49" fontId="8" fillId="0" borderId="15" xfId="15" applyNumberFormat="1" applyFont="1" applyFill="1" applyBorder="1" applyAlignment="1" applyProtection="1">
      <alignment horizontal="center"/>
    </xf>
    <xf numFmtId="49" fontId="8" fillId="0" borderId="9" xfId="15" applyNumberFormat="1" applyFont="1" applyFill="1" applyBorder="1" applyAlignment="1" applyProtection="1">
      <alignment horizontal="center"/>
    </xf>
    <xf numFmtId="165" fontId="7" fillId="0" borderId="37" xfId="2" applyNumberFormat="1" applyFont="1" applyFill="1" applyBorder="1" applyAlignment="1" applyProtection="1">
      <protection locked="0"/>
    </xf>
    <xf numFmtId="165" fontId="4" fillId="0" borderId="39" xfId="2" applyNumberFormat="1" applyFont="1" applyFill="1" applyBorder="1" applyAlignment="1" applyProtection="1">
      <protection locked="0"/>
    </xf>
    <xf numFmtId="0" fontId="4" fillId="0" borderId="18" xfId="8" applyFont="1" applyFill="1" applyBorder="1" applyAlignment="1">
      <alignment vertical="center"/>
    </xf>
    <xf numFmtId="0" fontId="4" fillId="0" borderId="24" xfId="8" applyFont="1" applyFill="1" applyBorder="1" applyAlignment="1">
      <alignment vertical="center"/>
    </xf>
    <xf numFmtId="49" fontId="4" fillId="0" borderId="41" xfId="15" applyNumberFormat="1" applyFont="1" applyFill="1" applyBorder="1" applyAlignment="1" applyProtection="1">
      <alignment horizontal="center"/>
    </xf>
    <xf numFmtId="165" fontId="4" fillId="0" borderId="43" xfId="2" applyNumberFormat="1" applyFont="1" applyFill="1" applyBorder="1" applyAlignment="1" applyProtection="1">
      <protection locked="0"/>
    </xf>
    <xf numFmtId="165" fontId="7" fillId="0" borderId="4" xfId="2" applyNumberFormat="1" applyFont="1" applyFill="1" applyBorder="1" applyAlignment="1" applyProtection="1">
      <protection locked="0"/>
    </xf>
    <xf numFmtId="0" fontId="4" fillId="0" borderId="16" xfId="8" applyFont="1" applyFill="1" applyBorder="1" applyAlignment="1">
      <alignment vertical="center"/>
    </xf>
    <xf numFmtId="37" fontId="4" fillId="0" borderId="29" xfId="15" applyNumberFormat="1" applyFont="1" applyFill="1" applyBorder="1" applyAlignment="1">
      <alignment vertical="center"/>
    </xf>
    <xf numFmtId="37" fontId="4" fillId="0" borderId="18" xfId="15" applyNumberFormat="1" applyFont="1" applyFill="1" applyBorder="1" applyAlignment="1">
      <alignment vertical="center"/>
    </xf>
    <xf numFmtId="37" fontId="4" fillId="0" borderId="36" xfId="15" applyNumberFormat="1" applyFont="1" applyFill="1" applyBorder="1" applyAlignment="1">
      <alignment vertical="center"/>
    </xf>
    <xf numFmtId="37" fontId="4" fillId="0" borderId="16" xfId="15" applyNumberFormat="1" applyFont="1" applyFill="1" applyBorder="1" applyAlignment="1">
      <alignment vertical="center"/>
    </xf>
    <xf numFmtId="0" fontId="7" fillId="0" borderId="24" xfId="8" applyFont="1" applyFill="1" applyBorder="1" applyAlignment="1">
      <alignment horizontal="left" vertical="center"/>
    </xf>
    <xf numFmtId="165" fontId="7" fillId="0" borderId="14" xfId="2" applyNumberFormat="1" applyFont="1" applyFill="1" applyBorder="1" applyAlignment="1" applyProtection="1">
      <protection locked="0"/>
    </xf>
    <xf numFmtId="0" fontId="8" fillId="0" borderId="71" xfId="8" applyFont="1" applyFill="1" applyBorder="1" applyAlignment="1">
      <alignment vertical="center"/>
    </xf>
    <xf numFmtId="165" fontId="7" fillId="0" borderId="5" xfId="2" applyNumberFormat="1" applyFont="1" applyFill="1" applyBorder="1" applyAlignment="1" applyProtection="1">
      <protection locked="0"/>
    </xf>
    <xf numFmtId="165" fontId="7" fillId="0" borderId="78" xfId="2" applyNumberFormat="1" applyFont="1" applyFill="1" applyBorder="1" applyAlignment="1" applyProtection="1">
      <protection locked="0"/>
    </xf>
    <xf numFmtId="165" fontId="7" fillId="0" borderId="60" xfId="2" applyNumberFormat="1" applyFont="1" applyFill="1" applyBorder="1" applyAlignment="1" applyProtection="1">
      <protection locked="0"/>
    </xf>
    <xf numFmtId="0" fontId="7" fillId="0" borderId="18" xfId="8" applyFont="1" applyFill="1" applyBorder="1" applyAlignment="1">
      <alignment horizontal="left" vertical="center"/>
    </xf>
    <xf numFmtId="0" fontId="7" fillId="0" borderId="16" xfId="8" applyFont="1" applyFill="1" applyBorder="1" applyAlignment="1">
      <alignment horizontal="left" vertical="center"/>
    </xf>
    <xf numFmtId="0" fontId="6" fillId="0" borderId="16" xfId="8" applyFont="1" applyFill="1" applyBorder="1" applyAlignment="1">
      <alignment vertical="center"/>
    </xf>
    <xf numFmtId="0" fontId="7" fillId="0" borderId="52" xfId="8" applyFont="1" applyBorder="1" applyAlignment="1">
      <alignment horizontal="center" vertical="center"/>
    </xf>
    <xf numFmtId="165" fontId="7" fillId="0" borderId="55" xfId="2" applyNumberFormat="1" applyFont="1" applyFill="1" applyBorder="1" applyAlignment="1" applyProtection="1">
      <protection locked="0"/>
    </xf>
    <xf numFmtId="0" fontId="6" fillId="0" borderId="67" xfId="8" applyFont="1" applyFill="1" applyBorder="1" applyAlignment="1">
      <alignment vertical="center"/>
    </xf>
    <xf numFmtId="0" fontId="4" fillId="0" borderId="0" xfId="15" applyFont="1" applyFill="1" applyBorder="1"/>
    <xf numFmtId="0" fontId="4" fillId="0" borderId="0" xfId="15" applyFont="1" applyFill="1"/>
    <xf numFmtId="165" fontId="4" fillId="0" borderId="0" xfId="4" applyNumberFormat="1" applyFont="1" applyFill="1" applyBorder="1"/>
    <xf numFmtId="37" fontId="8" fillId="0" borderId="17" xfId="2" applyNumberFormat="1" applyFont="1" applyFill="1" applyBorder="1" applyAlignment="1" applyProtection="1">
      <alignment horizontal="left"/>
      <protection locked="0"/>
    </xf>
    <xf numFmtId="0" fontId="11" fillId="0" borderId="4" xfId="8" applyFont="1" applyFill="1" applyBorder="1" applyAlignment="1">
      <alignment vertical="center"/>
    </xf>
    <xf numFmtId="165" fontId="4" fillId="0" borderId="37" xfId="2" applyNumberFormat="1" applyFont="1" applyFill="1" applyBorder="1" applyAlignment="1" applyProtection="1">
      <protection locked="0"/>
    </xf>
    <xf numFmtId="165" fontId="4" fillId="0" borderId="41" xfId="2" applyNumberFormat="1" applyFont="1" applyFill="1" applyBorder="1" applyAlignment="1" applyProtection="1">
      <protection locked="0"/>
    </xf>
    <xf numFmtId="165" fontId="4" fillId="0" borderId="4" xfId="2" applyNumberFormat="1" applyFont="1" applyFill="1" applyBorder="1" applyAlignment="1" applyProtection="1">
      <protection locked="0"/>
    </xf>
    <xf numFmtId="165" fontId="4" fillId="0" borderId="51" xfId="2" applyNumberFormat="1" applyFont="1" applyFill="1" applyBorder="1" applyAlignment="1" applyProtection="1">
      <protection locked="0"/>
    </xf>
    <xf numFmtId="0" fontId="7" fillId="0" borderId="79" xfId="8" applyFont="1" applyBorder="1" applyAlignment="1">
      <alignment horizontal="center" vertical="center"/>
    </xf>
    <xf numFmtId="0" fontId="9" fillId="0" borderId="4" xfId="8" applyFont="1" applyFill="1" applyBorder="1" applyAlignment="1">
      <alignment horizontal="left" vertical="center"/>
    </xf>
    <xf numFmtId="165" fontId="4" fillId="0" borderId="45" xfId="2" applyNumberFormat="1" applyFont="1" applyFill="1" applyBorder="1" applyAlignment="1" applyProtection="1">
      <protection locked="0"/>
    </xf>
    <xf numFmtId="165" fontId="4" fillId="0" borderId="47" xfId="2" applyNumberFormat="1" applyFont="1" applyFill="1" applyBorder="1" applyAlignment="1" applyProtection="1">
      <protection locked="0"/>
    </xf>
    <xf numFmtId="165" fontId="4" fillId="0" borderId="49" xfId="2" applyNumberFormat="1" applyFont="1" applyFill="1" applyBorder="1" applyAlignment="1" applyProtection="1">
      <protection locked="0"/>
    </xf>
    <xf numFmtId="165" fontId="4" fillId="0" borderId="14" xfId="2" applyNumberFormat="1" applyFont="1" applyFill="1" applyBorder="1" applyAlignment="1" applyProtection="1">
      <protection locked="0"/>
    </xf>
    <xf numFmtId="49" fontId="8" fillId="0" borderId="60" xfId="15" applyNumberFormat="1" applyFont="1" applyFill="1" applyBorder="1" applyAlignment="1" applyProtection="1">
      <alignment horizontal="center"/>
    </xf>
    <xf numFmtId="49" fontId="8" fillId="0" borderId="2" xfId="15" applyNumberFormat="1" applyFont="1" applyFill="1" applyBorder="1" applyAlignment="1" applyProtection="1">
      <alignment horizontal="center"/>
    </xf>
    <xf numFmtId="49" fontId="8" fillId="0" borderId="3" xfId="15" applyNumberFormat="1" applyFont="1" applyFill="1" applyBorder="1" applyAlignment="1" applyProtection="1">
      <alignment horizontal="center"/>
    </xf>
    <xf numFmtId="165" fontId="4" fillId="0" borderId="52" xfId="2" applyNumberFormat="1" applyFont="1" applyFill="1" applyBorder="1" applyAlignment="1" applyProtection="1">
      <protection locked="0"/>
    </xf>
    <xf numFmtId="165" fontId="4" fillId="0" borderId="54" xfId="2" applyNumberFormat="1" applyFont="1" applyFill="1" applyBorder="1" applyAlignment="1" applyProtection="1">
      <protection locked="0"/>
    </xf>
    <xf numFmtId="165" fontId="4" fillId="0" borderId="55" xfId="2" applyNumberFormat="1" applyFont="1" applyFill="1" applyBorder="1" applyAlignment="1" applyProtection="1">
      <protection locked="0"/>
    </xf>
    <xf numFmtId="0" fontId="4" fillId="0" borderId="9" xfId="0" applyNumberFormat="1" applyFont="1" applyFill="1" applyBorder="1" applyAlignment="1">
      <alignment horizontal="center"/>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37" fontId="8" fillId="0" borderId="0" xfId="1" applyNumberFormat="1" applyFont="1" applyFill="1" applyBorder="1" applyAlignment="1" applyProtection="1">
      <alignment horizontal="left"/>
      <protection locked="0"/>
    </xf>
    <xf numFmtId="0" fontId="8" fillId="0" borderId="9" xfId="2" applyFont="1" applyFill="1" applyBorder="1" applyAlignment="1">
      <alignment horizontal="left"/>
    </xf>
    <xf numFmtId="0" fontId="4" fillId="0" borderId="23" xfId="0" applyFont="1" applyBorder="1" applyAlignment="1">
      <alignment horizontal="center" vertical="center"/>
    </xf>
    <xf numFmtId="0" fontId="4" fillId="0" borderId="60" xfId="0" applyFont="1" applyBorder="1" applyAlignment="1">
      <alignment horizontal="center" vertical="center"/>
    </xf>
    <xf numFmtId="0" fontId="4" fillId="0" borderId="23" xfId="0" applyFont="1" applyFill="1" applyBorder="1" applyAlignment="1">
      <alignment vertical="center"/>
    </xf>
    <xf numFmtId="0" fontId="4" fillId="0" borderId="60" xfId="0" applyFont="1" applyFill="1" applyBorder="1" applyAlignment="1">
      <alignment vertical="center"/>
    </xf>
    <xf numFmtId="0" fontId="4" fillId="0" borderId="23" xfId="0" quotePrefix="1" applyFont="1" applyFill="1" applyBorder="1" applyAlignment="1">
      <alignment horizontal="center" vertical="center"/>
    </xf>
    <xf numFmtId="0" fontId="4" fillId="0" borderId="23" xfId="0" applyFont="1" applyFill="1" applyBorder="1" applyAlignment="1">
      <alignment horizontal="center" vertical="center"/>
    </xf>
    <xf numFmtId="0" fontId="4" fillId="0" borderId="60" xfId="0" applyFont="1" applyFill="1" applyBorder="1" applyAlignment="1">
      <alignment horizontal="center" vertical="center"/>
    </xf>
    <xf numFmtId="0" fontId="4" fillId="0" borderId="9" xfId="0" applyNumberFormat="1" applyFont="1" applyFill="1" applyBorder="1" applyAlignment="1">
      <alignment horizontal="center"/>
    </xf>
    <xf numFmtId="0" fontId="4" fillId="0" borderId="9" xfId="0" applyNumberFormat="1" applyFont="1" applyFill="1" applyBorder="1" applyAlignment="1">
      <alignment horizontal="center"/>
    </xf>
    <xf numFmtId="37" fontId="8" fillId="0" borderId="15" xfId="0" applyNumberFormat="1" applyFont="1" applyFill="1" applyBorder="1" applyAlignment="1" applyProtection="1">
      <alignment horizontal="left"/>
      <protection locked="0"/>
    </xf>
    <xf numFmtId="0" fontId="8" fillId="0" borderId="1" xfId="0" applyFont="1" applyFill="1" applyBorder="1" applyAlignment="1">
      <alignment horizontal="left"/>
    </xf>
    <xf numFmtId="37" fontId="8" fillId="0" borderId="0" xfId="0" applyNumberFormat="1" applyFont="1" applyFill="1" applyBorder="1" applyAlignment="1" applyProtection="1">
      <alignment horizontal="left"/>
      <protection locked="0"/>
    </xf>
    <xf numFmtId="37" fontId="8" fillId="0" borderId="15" xfId="8" applyNumberFormat="1" applyFont="1" applyFill="1" applyBorder="1" applyAlignment="1" applyProtection="1">
      <alignment horizontal="left" vertical="center"/>
    </xf>
    <xf numFmtId="0" fontId="4" fillId="5" borderId="17" xfId="0" applyNumberFormat="1" applyFont="1" applyFill="1" applyBorder="1" applyAlignment="1">
      <alignment horizontal="center" vertical="center"/>
    </xf>
    <xf numFmtId="0" fontId="4" fillId="5" borderId="4" xfId="0" applyFont="1" applyFill="1" applyBorder="1" applyAlignment="1">
      <alignment horizontal="center"/>
    </xf>
    <xf numFmtId="0" fontId="4" fillId="5" borderId="9" xfId="0" applyFont="1" applyFill="1" applyBorder="1" applyAlignment="1">
      <alignment horizontal="center"/>
    </xf>
    <xf numFmtId="0" fontId="4" fillId="5" borderId="9" xfId="0" applyFont="1" applyFill="1" applyBorder="1" applyAlignment="1">
      <alignment horizontal="center" vertical="center"/>
    </xf>
    <xf numFmtId="0" fontId="4" fillId="5" borderId="4" xfId="0" applyFont="1" applyFill="1" applyBorder="1" applyAlignment="1">
      <alignment horizontal="center" vertical="center"/>
    </xf>
    <xf numFmtId="0" fontId="6" fillId="5" borderId="15" xfId="0" applyFont="1" applyFill="1" applyBorder="1" applyAlignment="1">
      <alignment horizontal="center"/>
    </xf>
    <xf numFmtId="0" fontId="8" fillId="0" borderId="0" xfId="0" applyFont="1" applyFill="1" applyBorder="1" applyAlignment="1">
      <alignment horizontal="center"/>
    </xf>
    <xf numFmtId="0" fontId="4" fillId="0" borderId="7" xfId="0" applyNumberFormat="1" applyFont="1" applyFill="1" applyBorder="1" applyAlignment="1">
      <alignment horizontal="center"/>
    </xf>
    <xf numFmtId="37" fontId="16" fillId="0" borderId="1" xfId="0" applyNumberFormat="1" applyFont="1" applyFill="1" applyBorder="1" applyAlignment="1">
      <alignment horizontal="center"/>
    </xf>
    <xf numFmtId="37" fontId="19" fillId="0" borderId="15" xfId="0" applyNumberFormat="1" applyFont="1" applyFill="1" applyBorder="1" applyAlignment="1">
      <alignment horizontal="center"/>
    </xf>
    <xf numFmtId="37" fontId="19" fillId="0" borderId="15" xfId="0" applyNumberFormat="1" applyFont="1" applyFill="1" applyBorder="1" applyAlignment="1">
      <alignment horizontal="center" vertical="center"/>
    </xf>
    <xf numFmtId="37" fontId="19" fillId="0" borderId="12" xfId="0" applyNumberFormat="1" applyFont="1" applyFill="1" applyBorder="1" applyAlignment="1">
      <alignment horizontal="center"/>
    </xf>
    <xf numFmtId="37" fontId="19" fillId="0" borderId="2" xfId="0" applyNumberFormat="1" applyFont="1" applyFill="1" applyBorder="1" applyAlignment="1">
      <alignment horizontal="center"/>
    </xf>
    <xf numFmtId="37" fontId="19" fillId="0" borderId="20" xfId="0" applyNumberFormat="1" applyFont="1" applyFill="1" applyBorder="1" applyAlignment="1">
      <alignment horizontal="center"/>
    </xf>
    <xf numFmtId="37" fontId="16" fillId="0" borderId="19" xfId="0" applyNumberFormat="1" applyFont="1" applyFill="1" applyBorder="1" applyAlignment="1">
      <alignment horizontal="center"/>
    </xf>
    <xf numFmtId="0" fontId="19" fillId="0" borderId="15" xfId="0" applyFont="1" applyFill="1" applyBorder="1" applyAlignment="1">
      <alignment horizontal="center"/>
    </xf>
    <xf numFmtId="37" fontId="19" fillId="0" borderId="1" xfId="0" applyNumberFormat="1" applyFont="1" applyFill="1" applyBorder="1" applyAlignment="1">
      <alignment horizontal="center"/>
    </xf>
    <xf numFmtId="0" fontId="19" fillId="0" borderId="12" xfId="0" applyFont="1" applyFill="1" applyBorder="1" applyAlignment="1">
      <alignment horizontal="center"/>
    </xf>
    <xf numFmtId="0" fontId="16" fillId="0" borderId="1" xfId="0" applyFont="1" applyFill="1" applyBorder="1" applyAlignment="1">
      <alignment horizontal="center"/>
    </xf>
    <xf numFmtId="37" fontId="20" fillId="0" borderId="1" xfId="1" applyNumberFormat="1" applyFont="1" applyFill="1" applyBorder="1" applyAlignment="1">
      <alignment horizontal="center" vertical="center"/>
    </xf>
    <xf numFmtId="37" fontId="20" fillId="0" borderId="1" xfId="1" quotePrefix="1" applyNumberFormat="1" applyFont="1" applyFill="1" applyBorder="1" applyAlignment="1">
      <alignment horizontal="center" vertical="center"/>
    </xf>
    <xf numFmtId="37" fontId="20" fillId="0" borderId="1" xfId="1" applyNumberFormat="1" applyFont="1" applyFill="1" applyBorder="1" applyAlignment="1">
      <alignment horizontal="center"/>
    </xf>
    <xf numFmtId="0" fontId="20" fillId="0" borderId="1" xfId="1" applyFont="1" applyFill="1" applyBorder="1" applyAlignment="1">
      <alignment horizontal="center"/>
    </xf>
    <xf numFmtId="37" fontId="20" fillId="0" borderId="2" xfId="1" applyNumberFormat="1" applyFont="1" applyFill="1" applyBorder="1" applyAlignment="1">
      <alignment horizontal="center"/>
    </xf>
    <xf numFmtId="0" fontId="16" fillId="0" borderId="7" xfId="0" applyNumberFormat="1" applyFont="1" applyFill="1" applyBorder="1" applyAlignment="1">
      <alignment horizontal="center"/>
    </xf>
    <xf numFmtId="0" fontId="16" fillId="0" borderId="15" xfId="0" applyFont="1" applyFill="1" applyBorder="1" applyAlignment="1">
      <alignment horizontal="center"/>
    </xf>
    <xf numFmtId="37" fontId="19" fillId="0" borderId="15" xfId="0" applyNumberFormat="1" applyFont="1" applyFill="1" applyBorder="1" applyAlignment="1" applyProtection="1">
      <alignment horizontal="center"/>
      <protection locked="0"/>
    </xf>
    <xf numFmtId="0" fontId="19" fillId="0" borderId="1" xfId="0" applyFont="1" applyFill="1" applyBorder="1" applyAlignment="1">
      <alignment horizontal="center" vertical="center" wrapText="1"/>
    </xf>
    <xf numFmtId="0" fontId="16" fillId="0" borderId="0" xfId="0" applyFont="1" applyFill="1" applyBorder="1" applyAlignment="1">
      <alignment horizontal="center"/>
    </xf>
    <xf numFmtId="168" fontId="4" fillId="0" borderId="45" xfId="5" applyNumberFormat="1" applyFont="1" applyFill="1" applyBorder="1"/>
    <xf numFmtId="168" fontId="4" fillId="0" borderId="80" xfId="5" applyNumberFormat="1" applyFont="1" applyFill="1" applyBorder="1"/>
    <xf numFmtId="168" fontId="4" fillId="0" borderId="0" xfId="5" applyNumberFormat="1" applyFont="1" applyFill="1" applyBorder="1"/>
    <xf numFmtId="168" fontId="4" fillId="0" borderId="23" xfId="5" applyNumberFormat="1" applyFont="1" applyFill="1" applyBorder="1"/>
    <xf numFmtId="37" fontId="4" fillId="0" borderId="44" xfId="7" applyNumberFormat="1" applyFont="1" applyFill="1" applyBorder="1" applyAlignment="1">
      <alignment vertical="center"/>
    </xf>
    <xf numFmtId="0" fontId="4" fillId="0" borderId="15" xfId="8" applyFont="1" applyFill="1" applyBorder="1"/>
    <xf numFmtId="0" fontId="7" fillId="0" borderId="36" xfId="7" applyFont="1" applyFill="1" applyBorder="1" applyAlignment="1">
      <alignment vertical="center"/>
    </xf>
    <xf numFmtId="0" fontId="7" fillId="0" borderId="29" xfId="7" applyFont="1" applyFill="1" applyBorder="1" applyAlignment="1">
      <alignment vertical="center"/>
    </xf>
    <xf numFmtId="0" fontId="7" fillId="0" borderId="44" xfId="7" applyFont="1" applyFill="1" applyBorder="1" applyAlignment="1">
      <alignment vertical="center"/>
    </xf>
    <xf numFmtId="0" fontId="7" fillId="0" borderId="33" xfId="7" applyFont="1" applyFill="1" applyBorder="1" applyAlignment="1">
      <alignment vertical="center"/>
    </xf>
    <xf numFmtId="0" fontId="15" fillId="0" borderId="40" xfId="7" applyFont="1" applyFill="1" applyBorder="1" applyAlignment="1">
      <alignment vertical="center"/>
    </xf>
    <xf numFmtId="0" fontId="15" fillId="0" borderId="71" xfId="7" applyFont="1" applyFill="1" applyBorder="1" applyAlignment="1">
      <alignment vertical="center"/>
    </xf>
    <xf numFmtId="0" fontId="4" fillId="0" borderId="0" xfId="8" applyFont="1" applyFill="1"/>
    <xf numFmtId="0" fontId="8" fillId="0" borderId="2" xfId="0" applyFont="1" applyFill="1" applyBorder="1" applyAlignment="1">
      <alignment horizontal="left" vertical="center" wrapText="1"/>
    </xf>
    <xf numFmtId="37" fontId="8" fillId="0" borderId="1" xfId="0" applyNumberFormat="1" applyFont="1" applyFill="1" applyBorder="1" applyAlignment="1" applyProtection="1">
      <alignment horizontal="left"/>
      <protection locked="0"/>
    </xf>
    <xf numFmtId="37" fontId="8" fillId="0" borderId="0" xfId="0" applyNumberFormat="1" applyFont="1" applyFill="1" applyBorder="1" applyAlignment="1" applyProtection="1">
      <alignment horizontal="left"/>
      <protection locked="0"/>
    </xf>
    <xf numFmtId="0" fontId="8" fillId="0" borderId="0"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1" xfId="9" applyFont="1" applyFill="1" applyBorder="1" applyAlignment="1">
      <alignment horizontal="center"/>
    </xf>
    <xf numFmtId="0" fontId="4" fillId="0" borderId="2" xfId="0" applyFont="1" applyFill="1" applyBorder="1" applyAlignment="1">
      <alignment horizontal="center"/>
    </xf>
    <xf numFmtId="37" fontId="16" fillId="0" borderId="0" xfId="0" applyNumberFormat="1" applyFont="1" applyFill="1" applyBorder="1" applyAlignment="1">
      <alignment horizontal="center"/>
    </xf>
    <xf numFmtId="37" fontId="19" fillId="0" borderId="9" xfId="0" applyNumberFormat="1" applyFont="1" applyFill="1" applyBorder="1" applyAlignment="1">
      <alignment horizontal="center"/>
    </xf>
    <xf numFmtId="0" fontId="16" fillId="0" borderId="8" xfId="0" applyFont="1" applyFill="1" applyBorder="1" applyAlignment="1">
      <alignment horizontal="center"/>
    </xf>
    <xf numFmtId="0" fontId="19" fillId="0" borderId="9" xfId="0" applyFont="1" applyFill="1" applyBorder="1" applyAlignment="1">
      <alignment horizontal="center"/>
    </xf>
    <xf numFmtId="37" fontId="19" fillId="0" borderId="0" xfId="0" applyNumberFormat="1" applyFont="1" applyFill="1" applyBorder="1" applyAlignment="1">
      <alignment horizontal="center"/>
    </xf>
    <xf numFmtId="0" fontId="19" fillId="0" borderId="13" xfId="0" applyFont="1" applyFill="1" applyBorder="1" applyAlignment="1">
      <alignment horizontal="center"/>
    </xf>
    <xf numFmtId="0" fontId="16" fillId="0" borderId="11" xfId="0" applyFont="1" applyFill="1" applyBorder="1" applyAlignment="1">
      <alignment horizontal="center"/>
    </xf>
    <xf numFmtId="0" fontId="19" fillId="0" borderId="3" xfId="0" applyFont="1" applyFill="1" applyBorder="1" applyAlignment="1">
      <alignment horizontal="center"/>
    </xf>
    <xf numFmtId="37" fontId="16" fillId="0" borderId="0" xfId="0" applyNumberFormat="1" applyFont="1" applyFill="1" applyBorder="1" applyAlignment="1">
      <alignment horizontal="center" vertical="center"/>
    </xf>
    <xf numFmtId="37" fontId="16" fillId="0" borderId="2" xfId="0" applyNumberFormat="1" applyFont="1" applyFill="1" applyBorder="1" applyAlignment="1">
      <alignment horizontal="center"/>
    </xf>
    <xf numFmtId="0" fontId="16" fillId="0" borderId="74" xfId="0" applyFont="1" applyFill="1" applyBorder="1" applyAlignment="1">
      <alignment horizontal="center"/>
    </xf>
    <xf numFmtId="0" fontId="19" fillId="0" borderId="2" xfId="0" applyFont="1" applyFill="1" applyBorder="1" applyAlignment="1">
      <alignment horizontal="center"/>
    </xf>
    <xf numFmtId="37" fontId="20" fillId="0" borderId="7" xfId="1" applyNumberFormat="1" applyFont="1" applyFill="1" applyBorder="1" applyAlignment="1">
      <alignment horizontal="center" vertical="center"/>
    </xf>
    <xf numFmtId="37" fontId="16" fillId="0" borderId="25" xfId="0" applyNumberFormat="1" applyFont="1" applyFill="1" applyBorder="1" applyAlignment="1">
      <alignment horizontal="center"/>
    </xf>
    <xf numFmtId="37" fontId="16" fillId="0" borderId="3" xfId="0" applyNumberFormat="1" applyFont="1" applyFill="1" applyBorder="1" applyAlignment="1">
      <alignment horizontal="center"/>
    </xf>
    <xf numFmtId="37" fontId="19" fillId="0" borderId="21" xfId="0" applyNumberFormat="1" applyFont="1" applyFill="1" applyBorder="1" applyAlignment="1">
      <alignment horizontal="center"/>
    </xf>
    <xf numFmtId="37" fontId="19" fillId="0" borderId="4" xfId="0" applyNumberFormat="1" applyFont="1" applyFill="1" applyBorder="1" applyAlignment="1">
      <alignment horizontal="center"/>
    </xf>
    <xf numFmtId="37" fontId="8" fillId="0" borderId="8" xfId="8" applyNumberFormat="1" applyFont="1" applyFill="1" applyBorder="1" applyAlignment="1" applyProtection="1">
      <alignment horizontal="left" vertical="center"/>
    </xf>
    <xf numFmtId="37" fontId="8" fillId="0" borderId="0" xfId="8" applyNumberFormat="1" applyFont="1" applyFill="1" applyBorder="1" applyAlignment="1" applyProtection="1">
      <alignment horizontal="left" vertical="center"/>
    </xf>
    <xf numFmtId="0" fontId="11" fillId="0" borderId="9" xfId="8" applyFont="1" applyFill="1" applyBorder="1" applyAlignment="1">
      <alignment vertical="center"/>
    </xf>
    <xf numFmtId="49" fontId="16" fillId="0" borderId="49" xfId="6" applyNumberFormat="1" applyFont="1" applyFill="1" applyBorder="1" applyAlignment="1" applyProtection="1">
      <alignment horizontal="center"/>
    </xf>
    <xf numFmtId="37" fontId="8" fillId="0" borderId="3" xfId="8" applyNumberFormat="1" applyFont="1" applyFill="1" applyBorder="1" applyAlignment="1" applyProtection="1">
      <alignment horizontal="left" vertical="center"/>
    </xf>
    <xf numFmtId="0" fontId="16" fillId="0" borderId="70" xfId="8" applyFont="1" applyFill="1" applyBorder="1" applyAlignment="1">
      <alignment horizontal="center" vertical="center"/>
    </xf>
    <xf numFmtId="0" fontId="16" fillId="0" borderId="69" xfId="8" applyFont="1" applyFill="1" applyBorder="1" applyAlignment="1">
      <alignment horizontal="center" vertical="center"/>
    </xf>
    <xf numFmtId="0" fontId="19" fillId="0" borderId="9" xfId="8" applyFont="1" applyFill="1" applyBorder="1" applyAlignment="1">
      <alignment horizontal="center" vertical="center"/>
    </xf>
    <xf numFmtId="37" fontId="16" fillId="0" borderId="68" xfId="15" applyNumberFormat="1" applyFont="1" applyFill="1" applyBorder="1" applyAlignment="1">
      <alignment horizontal="center" vertical="center"/>
    </xf>
    <xf numFmtId="37" fontId="16" fillId="0" borderId="70" xfId="15" applyNumberFormat="1" applyFont="1" applyFill="1" applyBorder="1" applyAlignment="1">
      <alignment horizontal="center" vertical="center"/>
    </xf>
    <xf numFmtId="0" fontId="19" fillId="0" borderId="0" xfId="8" applyFont="1" applyFill="1" applyBorder="1" applyAlignment="1">
      <alignment horizontal="center" vertical="center"/>
    </xf>
    <xf numFmtId="0" fontId="19" fillId="0" borderId="13" xfId="8" applyFont="1" applyFill="1" applyBorder="1" applyAlignment="1">
      <alignment horizontal="center" vertical="center"/>
    </xf>
    <xf numFmtId="0" fontId="19" fillId="0" borderId="3" xfId="8" applyFont="1" applyFill="1" applyBorder="1" applyAlignment="1">
      <alignment horizontal="center" vertical="center"/>
    </xf>
    <xf numFmtId="0" fontId="16" fillId="0" borderId="68" xfId="8" applyFont="1" applyFill="1" applyBorder="1" applyAlignment="1">
      <alignment horizontal="center" vertical="center"/>
    </xf>
    <xf numFmtId="165" fontId="7" fillId="0" borderId="45" xfId="2" applyNumberFormat="1" applyFont="1" applyFill="1" applyBorder="1" applyAlignment="1" applyProtection="1">
      <protection locked="0"/>
    </xf>
    <xf numFmtId="0" fontId="8" fillId="0" borderId="14" xfId="8" applyFont="1" applyFill="1" applyBorder="1" applyAlignment="1">
      <alignment vertical="center"/>
    </xf>
    <xf numFmtId="165" fontId="16" fillId="0" borderId="60" xfId="9" quotePrefix="1" applyNumberFormat="1" applyFont="1" applyFill="1" applyBorder="1" applyAlignment="1">
      <alignment horizontal="center"/>
    </xf>
    <xf numFmtId="49" fontId="16" fillId="0" borderId="0" xfId="9" applyNumberFormat="1" applyFont="1" applyFill="1" applyBorder="1" applyAlignment="1" applyProtection="1">
      <alignment horizontal="center" vertical="center"/>
    </xf>
    <xf numFmtId="0" fontId="16" fillId="0" borderId="0" xfId="9" applyFont="1" applyFill="1" applyBorder="1" applyAlignment="1" applyProtection="1">
      <alignment horizontal="center" vertical="center"/>
    </xf>
    <xf numFmtId="0" fontId="19" fillId="0" borderId="9" xfId="9" applyFont="1" applyFill="1" applyBorder="1" applyAlignment="1" applyProtection="1">
      <alignment horizontal="center" vertical="center"/>
    </xf>
    <xf numFmtId="37" fontId="16" fillId="0" borderId="0" xfId="9" applyNumberFormat="1" applyFont="1" applyFill="1" applyBorder="1" applyAlignment="1" applyProtection="1">
      <alignment horizontal="center" vertical="center"/>
    </xf>
    <xf numFmtId="0" fontId="16" fillId="0" borderId="1" xfId="9" applyFont="1" applyFill="1" applyBorder="1" applyAlignment="1" applyProtection="1">
      <alignment horizontal="center" vertical="center"/>
    </xf>
    <xf numFmtId="0" fontId="19" fillId="0" borderId="15" xfId="9" applyFont="1" applyFill="1" applyBorder="1" applyAlignment="1" applyProtection="1">
      <alignment horizontal="center" vertical="center"/>
    </xf>
    <xf numFmtId="0" fontId="19" fillId="0" borderId="0" xfId="9" applyFont="1" applyFill="1" applyBorder="1" applyAlignment="1" applyProtection="1">
      <alignment horizontal="center" vertical="center"/>
    </xf>
    <xf numFmtId="37" fontId="20" fillId="0" borderId="0" xfId="1" applyNumberFormat="1" applyFont="1" applyFill="1" applyBorder="1" applyAlignment="1">
      <alignment horizontal="center"/>
    </xf>
    <xf numFmtId="0" fontId="20" fillId="0" borderId="0" xfId="9" applyFont="1" applyFill="1" applyBorder="1" applyAlignment="1">
      <alignment horizontal="center"/>
    </xf>
    <xf numFmtId="0" fontId="20" fillId="0" borderId="3" xfId="9" applyFont="1" applyFill="1" applyBorder="1" applyAlignment="1">
      <alignment horizontal="center"/>
    </xf>
    <xf numFmtId="0" fontId="18" fillId="0" borderId="4" xfId="9" applyFont="1" applyFill="1" applyBorder="1" applyAlignment="1" applyProtection="1">
      <alignment horizontal="center" vertical="center"/>
    </xf>
    <xf numFmtId="49" fontId="16" fillId="0" borderId="23" xfId="0" applyNumberFormat="1" applyFont="1" applyFill="1" applyBorder="1" applyAlignment="1">
      <alignment horizontal="center"/>
    </xf>
    <xf numFmtId="49" fontId="16" fillId="0" borderId="10" xfId="0" applyNumberFormat="1" applyFont="1" applyFill="1" applyBorder="1" applyAlignment="1">
      <alignment horizontal="center"/>
    </xf>
    <xf numFmtId="49" fontId="16" fillId="0" borderId="68" xfId="7" applyNumberFormat="1" applyFont="1" applyFill="1" applyBorder="1" applyAlignment="1">
      <alignment horizontal="center" vertical="center"/>
    </xf>
    <xf numFmtId="49" fontId="16" fillId="0" borderId="70" xfId="7" applyNumberFormat="1" applyFont="1" applyFill="1" applyBorder="1" applyAlignment="1">
      <alignment horizontal="center" vertical="center"/>
    </xf>
    <xf numFmtId="49" fontId="16" fillId="0" borderId="69" xfId="7" applyNumberFormat="1" applyFont="1" applyFill="1" applyBorder="1" applyAlignment="1">
      <alignment horizontal="center" vertical="center"/>
    </xf>
    <xf numFmtId="49" fontId="19" fillId="0" borderId="4" xfId="7" applyNumberFormat="1" applyFont="1" applyFill="1" applyBorder="1" applyAlignment="1">
      <alignment horizontal="center" vertical="center"/>
    </xf>
    <xf numFmtId="49" fontId="19" fillId="0" borderId="60" xfId="7" applyNumberFormat="1" applyFont="1" applyFill="1" applyBorder="1" applyAlignment="1">
      <alignment horizontal="center" vertical="center"/>
    </xf>
    <xf numFmtId="49" fontId="16" fillId="0" borderId="0" xfId="8" applyNumberFormat="1" applyFont="1" applyFill="1" applyBorder="1" applyAlignment="1">
      <alignment horizontal="center"/>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49" fontId="19" fillId="0" borderId="14" xfId="8" applyNumberFormat="1" applyFont="1" applyFill="1" applyBorder="1" applyAlignment="1">
      <alignment horizontal="center" vertical="center"/>
    </xf>
    <xf numFmtId="0" fontId="4" fillId="0" borderId="40" xfId="8" applyFont="1" applyFill="1" applyBorder="1" applyAlignment="1">
      <alignment vertical="center"/>
    </xf>
    <xf numFmtId="49" fontId="16" fillId="0" borderId="9" xfId="8" applyNumberFormat="1" applyFont="1" applyFill="1" applyBorder="1" applyAlignment="1">
      <alignment horizontal="center" vertical="center"/>
    </xf>
    <xf numFmtId="165" fontId="7" fillId="0" borderId="41" xfId="2" applyNumberFormat="1" applyFont="1" applyFill="1" applyBorder="1" applyAlignment="1" applyProtection="1">
      <protection locked="0"/>
    </xf>
    <xf numFmtId="0" fontId="4" fillId="0" borderId="4" xfId="8" applyFont="1" applyFill="1" applyBorder="1" applyAlignment="1">
      <alignment vertical="center"/>
    </xf>
    <xf numFmtId="49" fontId="16" fillId="0" borderId="3" xfId="8" applyNumberFormat="1" applyFont="1" applyFill="1" applyBorder="1" applyAlignment="1">
      <alignment horizontal="center" vertical="center"/>
    </xf>
    <xf numFmtId="165" fontId="4" fillId="0" borderId="72" xfId="2" applyNumberFormat="1" applyFont="1" applyFill="1" applyBorder="1" applyAlignment="1" applyProtection="1">
      <protection locked="0"/>
    </xf>
    <xf numFmtId="165" fontId="7" fillId="0" borderId="82" xfId="2" applyNumberFormat="1" applyFont="1" applyFill="1" applyBorder="1" applyAlignment="1" applyProtection="1">
      <protection locked="0"/>
    </xf>
    <xf numFmtId="165" fontId="4" fillId="0" borderId="82" xfId="2" applyNumberFormat="1" applyFont="1" applyFill="1" applyBorder="1" applyAlignment="1" applyProtection="1">
      <protection locked="0"/>
    </xf>
    <xf numFmtId="0" fontId="4" fillId="0" borderId="60" xfId="8" applyFont="1" applyFill="1" applyBorder="1" applyAlignment="1">
      <alignment vertical="center"/>
    </xf>
    <xf numFmtId="0" fontId="7" fillId="0" borderId="9" xfId="8" applyFont="1" applyBorder="1" applyAlignment="1">
      <alignment horizontal="center" vertical="center"/>
    </xf>
    <xf numFmtId="0" fontId="6" fillId="0" borderId="9" xfId="8" applyFont="1" applyFill="1" applyBorder="1" applyAlignment="1">
      <alignment vertical="center"/>
    </xf>
    <xf numFmtId="49" fontId="20" fillId="0" borderId="9" xfId="8" applyNumberFormat="1" applyFont="1" applyFill="1" applyBorder="1" applyAlignment="1">
      <alignment horizontal="center" vertical="center"/>
    </xf>
    <xf numFmtId="165" fontId="4" fillId="0" borderId="9" xfId="2" applyNumberFormat="1" applyFont="1" applyFill="1" applyBorder="1" applyAlignment="1" applyProtection="1">
      <protection locked="0"/>
    </xf>
    <xf numFmtId="0" fontId="7" fillId="0" borderId="17" xfId="8" applyFont="1" applyBorder="1" applyAlignment="1">
      <alignment horizontal="center" vertical="center"/>
    </xf>
    <xf numFmtId="0" fontId="13" fillId="0" borderId="15" xfId="8" applyFont="1" applyFill="1" applyBorder="1" applyAlignment="1">
      <alignment vertical="center"/>
    </xf>
    <xf numFmtId="49" fontId="21" fillId="0" borderId="3" xfId="8" applyNumberFormat="1" applyFont="1" applyFill="1" applyBorder="1" applyAlignment="1">
      <alignment horizontal="center" vertical="center"/>
    </xf>
    <xf numFmtId="49" fontId="19" fillId="0" borderId="70" xfId="8" applyNumberFormat="1" applyFont="1" applyFill="1" applyBorder="1" applyAlignment="1">
      <alignment horizontal="center" vertical="center"/>
    </xf>
    <xf numFmtId="165" fontId="4" fillId="0" borderId="35" xfId="2" applyNumberFormat="1" applyFont="1" applyFill="1" applyBorder="1" applyAlignment="1" applyProtection="1">
      <protection locked="0"/>
    </xf>
    <xf numFmtId="165" fontId="7" fillId="0" borderId="16" xfId="2" applyNumberFormat="1" applyFont="1" applyFill="1" applyBorder="1" applyAlignment="1" applyProtection="1">
      <protection locked="0"/>
    </xf>
    <xf numFmtId="49" fontId="19" fillId="0" borderId="81" xfId="8" applyNumberFormat="1" applyFont="1" applyFill="1" applyBorder="1" applyAlignment="1">
      <alignment horizontal="center" vertical="center"/>
    </xf>
    <xf numFmtId="165" fontId="7" fillId="0" borderId="83" xfId="2" applyNumberFormat="1" applyFont="1" applyFill="1" applyBorder="1" applyAlignment="1" applyProtection="1">
      <protection locked="0"/>
    </xf>
    <xf numFmtId="165" fontId="7" fillId="0" borderId="67" xfId="2" applyNumberFormat="1" applyFont="1" applyFill="1" applyBorder="1" applyAlignment="1" applyProtection="1">
      <protection locked="0"/>
    </xf>
    <xf numFmtId="165" fontId="4" fillId="0" borderId="32" xfId="2" applyNumberFormat="1" applyFont="1" applyFill="1" applyBorder="1" applyAlignment="1" applyProtection="1">
      <protection locked="0"/>
    </xf>
    <xf numFmtId="0" fontId="9" fillId="0" borderId="16" xfId="8" applyFont="1" applyFill="1" applyBorder="1" applyAlignment="1">
      <alignment horizontal="left" vertical="center"/>
    </xf>
    <xf numFmtId="0" fontId="8" fillId="0" borderId="67" xfId="8" applyFont="1" applyFill="1" applyBorder="1" applyAlignment="1">
      <alignment vertical="center"/>
    </xf>
    <xf numFmtId="0" fontId="8" fillId="0" borderId="4" xfId="8" applyFont="1" applyFill="1" applyBorder="1" applyAlignment="1">
      <alignment vertical="center"/>
    </xf>
    <xf numFmtId="165" fontId="4" fillId="0" borderId="79" xfId="2" applyNumberFormat="1" applyFont="1" applyFill="1" applyBorder="1" applyAlignment="1" applyProtection="1">
      <protection locked="0"/>
    </xf>
    <xf numFmtId="165" fontId="4" fillId="0" borderId="84" xfId="2" applyNumberFormat="1" applyFont="1" applyFill="1" applyBorder="1" applyAlignment="1" applyProtection="1">
      <protection locked="0"/>
    </xf>
    <xf numFmtId="165" fontId="4" fillId="0" borderId="56" xfId="2" applyNumberFormat="1" applyFont="1" applyFill="1" applyBorder="1" applyAlignment="1" applyProtection="1">
      <protection locked="0"/>
    </xf>
    <xf numFmtId="49" fontId="20" fillId="0" borderId="83" xfId="8" applyNumberFormat="1" applyFont="1" applyFill="1" applyBorder="1" applyAlignment="1">
      <alignment horizontal="center" vertical="center"/>
    </xf>
    <xf numFmtId="0" fontId="8" fillId="2" borderId="17" xfId="0" applyFont="1" applyFill="1" applyBorder="1" applyAlignment="1">
      <alignment horizontal="center"/>
    </xf>
    <xf numFmtId="0" fontId="8" fillId="2" borderId="9" xfId="0" applyFont="1" applyFill="1" applyBorder="1" applyAlignment="1">
      <alignment horizontal="center"/>
    </xf>
    <xf numFmtId="0" fontId="8" fillId="2" borderId="15" xfId="0" applyFont="1" applyFill="1" applyBorder="1" applyAlignment="1">
      <alignment horizontal="center"/>
    </xf>
    <xf numFmtId="0" fontId="8" fillId="7" borderId="17" xfId="0" applyFont="1" applyFill="1" applyBorder="1" applyAlignment="1">
      <alignment horizontal="center"/>
    </xf>
    <xf numFmtId="0" fontId="8" fillId="7" borderId="9" xfId="0" applyFont="1" applyFill="1" applyBorder="1" applyAlignment="1">
      <alignment horizontal="center"/>
    </xf>
    <xf numFmtId="0" fontId="8" fillId="7" borderId="15" xfId="0" applyFont="1" applyFill="1" applyBorder="1" applyAlignment="1">
      <alignment horizontal="center"/>
    </xf>
    <xf numFmtId="0" fontId="8" fillId="0" borderId="9" xfId="0" applyFont="1" applyFill="1" applyBorder="1" applyAlignment="1">
      <alignment horizontal="center"/>
    </xf>
    <xf numFmtId="37" fontId="9" fillId="0" borderId="17" xfId="1" applyNumberFormat="1" applyFont="1" applyFill="1" applyBorder="1" applyAlignment="1">
      <alignment horizontal="center"/>
    </xf>
    <xf numFmtId="37" fontId="9" fillId="0" borderId="9" xfId="1" applyNumberFormat="1" applyFont="1" applyFill="1" applyBorder="1" applyAlignment="1">
      <alignment horizontal="center"/>
    </xf>
    <xf numFmtId="37" fontId="9" fillId="0" borderId="15" xfId="1" applyNumberFormat="1" applyFont="1" applyFill="1" applyBorder="1" applyAlignment="1">
      <alignment horizontal="center"/>
    </xf>
    <xf numFmtId="37" fontId="8" fillId="0" borderId="9" xfId="1" applyNumberFormat="1" applyFont="1" applyFill="1" applyBorder="1" applyAlignment="1" applyProtection="1">
      <alignment horizontal="center"/>
      <protection locked="0"/>
    </xf>
    <xf numFmtId="37" fontId="8" fillId="0" borderId="15" xfId="1" applyNumberFormat="1" applyFont="1" applyFill="1" applyBorder="1" applyAlignment="1" applyProtection="1">
      <alignment horizontal="center"/>
      <protection locked="0"/>
    </xf>
    <xf numFmtId="0" fontId="4" fillId="0" borderId="9" xfId="0" applyNumberFormat="1" applyFont="1" applyFill="1" applyBorder="1" applyAlignment="1">
      <alignment horizontal="center"/>
    </xf>
    <xf numFmtId="0" fontId="4" fillId="0" borderId="15" xfId="0" applyNumberFormat="1" applyFont="1" applyFill="1" applyBorder="1" applyAlignment="1">
      <alignment horizontal="center"/>
    </xf>
    <xf numFmtId="0" fontId="8" fillId="0" borderId="17" xfId="1" applyFont="1" applyFill="1" applyBorder="1" applyAlignment="1">
      <alignment horizontal="center"/>
    </xf>
    <xf numFmtId="0" fontId="8" fillId="0" borderId="9" xfId="1" applyFont="1" applyFill="1" applyBorder="1" applyAlignment="1">
      <alignment horizontal="center"/>
    </xf>
    <xf numFmtId="0" fontId="8" fillId="0" borderId="15" xfId="1" applyFont="1" applyFill="1" applyBorder="1" applyAlignment="1">
      <alignment horizontal="center"/>
    </xf>
    <xf numFmtId="37" fontId="8" fillId="0" borderId="9" xfId="1" applyNumberFormat="1" applyFont="1" applyFill="1" applyBorder="1" applyAlignment="1" applyProtection="1">
      <alignment horizontal="right"/>
      <protection locked="0"/>
    </xf>
    <xf numFmtId="37" fontId="8" fillId="0" borderId="15" xfId="1" applyNumberFormat="1" applyFont="1" applyFill="1" applyBorder="1" applyAlignment="1" applyProtection="1">
      <alignment horizontal="right"/>
      <protection locked="0"/>
    </xf>
    <xf numFmtId="37" fontId="8" fillId="0" borderId="9" xfId="0" applyNumberFormat="1" applyFont="1" applyFill="1" applyBorder="1" applyAlignment="1" applyProtection="1">
      <alignment horizontal="left"/>
      <protection locked="0"/>
    </xf>
    <xf numFmtId="37" fontId="8" fillId="0" borderId="15" xfId="0" applyNumberFormat="1" applyFont="1" applyFill="1" applyBorder="1" applyAlignment="1" applyProtection="1">
      <alignment horizontal="left"/>
      <protection locked="0"/>
    </xf>
    <xf numFmtId="0" fontId="8" fillId="0" borderId="17" xfId="1" applyFont="1" applyFill="1" applyBorder="1" applyAlignment="1">
      <alignment horizontal="left"/>
    </xf>
    <xf numFmtId="0" fontId="8" fillId="0" borderId="9" xfId="1" applyFont="1" applyFill="1" applyBorder="1" applyAlignment="1">
      <alignment horizontal="left"/>
    </xf>
    <xf numFmtId="0" fontId="8" fillId="0" borderId="15" xfId="1" applyFont="1" applyFill="1" applyBorder="1" applyAlignment="1">
      <alignment horizontal="left"/>
    </xf>
    <xf numFmtId="0" fontId="8" fillId="0" borderId="0" xfId="0" applyFont="1" applyFill="1" applyBorder="1" applyAlignment="1">
      <alignment horizontal="left"/>
    </xf>
    <xf numFmtId="0" fontId="8" fillId="0" borderId="1" xfId="0" applyFont="1" applyFill="1" applyBorder="1" applyAlignment="1">
      <alignment horizontal="left"/>
    </xf>
    <xf numFmtId="37" fontId="9" fillId="0" borderId="6" xfId="1" applyNumberFormat="1" applyFont="1" applyFill="1" applyBorder="1" applyAlignment="1">
      <alignment horizontal="center"/>
    </xf>
    <xf numFmtId="37" fontId="9" fillId="0" borderId="0" xfId="1" applyNumberFormat="1" applyFont="1" applyFill="1" applyBorder="1" applyAlignment="1">
      <alignment horizontal="center"/>
    </xf>
    <xf numFmtId="37" fontId="9" fillId="0" borderId="1" xfId="1" applyNumberFormat="1" applyFont="1" applyFill="1" applyBorder="1" applyAlignment="1">
      <alignment horizontal="center"/>
    </xf>
    <xf numFmtId="37" fontId="8" fillId="0" borderId="3" xfId="1" applyNumberFormat="1" applyFont="1" applyFill="1" applyBorder="1" applyAlignment="1" applyProtection="1">
      <alignment horizontal="right"/>
      <protection locked="0"/>
    </xf>
    <xf numFmtId="37" fontId="8" fillId="0" borderId="2" xfId="1" applyNumberFormat="1" applyFont="1" applyFill="1" applyBorder="1" applyAlignment="1" applyProtection="1">
      <alignment horizontal="right"/>
      <protection locked="0"/>
    </xf>
    <xf numFmtId="0" fontId="8" fillId="0" borderId="8" xfId="0" applyFont="1" applyFill="1" applyBorder="1" applyAlignment="1">
      <alignment horizontal="left" vertical="center" wrapText="1"/>
    </xf>
    <xf numFmtId="0" fontId="8" fillId="0" borderId="7"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26" xfId="1" applyFont="1" applyFill="1" applyBorder="1" applyAlignment="1">
      <alignment horizontal="center"/>
    </xf>
    <xf numFmtId="0" fontId="8" fillId="0" borderId="8" xfId="1" applyFont="1" applyFill="1" applyBorder="1" applyAlignment="1">
      <alignment horizontal="center"/>
    </xf>
    <xf numFmtId="37" fontId="8" fillId="0" borderId="6" xfId="0" applyNumberFormat="1" applyFont="1" applyFill="1" applyBorder="1" applyAlignment="1" applyProtection="1">
      <alignment horizontal="left"/>
      <protection locked="0"/>
    </xf>
    <xf numFmtId="37" fontId="8" fillId="0" borderId="1" xfId="0" applyNumberFormat="1" applyFont="1" applyFill="1" applyBorder="1" applyAlignment="1" applyProtection="1">
      <alignment horizontal="left"/>
      <protection locked="0"/>
    </xf>
    <xf numFmtId="0" fontId="8" fillId="0" borderId="6" xfId="1" applyFont="1" applyFill="1" applyBorder="1" applyAlignment="1">
      <alignment horizontal="center"/>
    </xf>
    <xf numFmtId="0" fontId="8" fillId="0" borderId="0" xfId="1" applyFont="1" applyFill="1" applyBorder="1" applyAlignment="1">
      <alignment horizontal="center"/>
    </xf>
    <xf numFmtId="37" fontId="8" fillId="0" borderId="8" xfId="1" applyNumberFormat="1" applyFont="1" applyFill="1" applyBorder="1" applyAlignment="1" applyProtection="1">
      <alignment horizontal="right"/>
      <protection locked="0"/>
    </xf>
    <xf numFmtId="37" fontId="8" fillId="0" borderId="7" xfId="1" applyNumberFormat="1" applyFont="1" applyFill="1" applyBorder="1" applyAlignment="1" applyProtection="1">
      <alignment horizontal="right"/>
      <protection locked="0"/>
    </xf>
    <xf numFmtId="37" fontId="8" fillId="0" borderId="0" xfId="0" applyNumberFormat="1" applyFont="1" applyFill="1" applyBorder="1" applyAlignment="1" applyProtection="1">
      <alignment horizontal="left"/>
      <protection locked="0"/>
    </xf>
    <xf numFmtId="37" fontId="8" fillId="0" borderId="0" xfId="1" applyNumberFormat="1" applyFont="1" applyFill="1" applyBorder="1" applyAlignment="1" applyProtection="1">
      <alignment horizontal="right"/>
      <protection locked="0"/>
    </xf>
    <xf numFmtId="0" fontId="8" fillId="0" borderId="0"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0" xfId="1" applyNumberFormat="1" applyFont="1" applyFill="1" applyBorder="1" applyAlignment="1">
      <alignment horizontal="center"/>
    </xf>
    <xf numFmtId="0" fontId="8" fillId="0" borderId="17" xfId="8" applyFont="1" applyFill="1" applyBorder="1" applyAlignment="1" applyProtection="1">
      <alignment horizontal="left" vertical="center"/>
      <protection locked="0"/>
    </xf>
    <xf numFmtId="0" fontId="8" fillId="0" borderId="15" xfId="8" applyFont="1" applyFill="1" applyBorder="1" applyAlignment="1" applyProtection="1">
      <alignment horizontal="left" vertical="center"/>
      <protection locked="0"/>
    </xf>
    <xf numFmtId="37" fontId="9" fillId="0" borderId="9" xfId="2" applyNumberFormat="1" applyFont="1" applyFill="1" applyBorder="1" applyAlignment="1">
      <alignment horizontal="center"/>
    </xf>
    <xf numFmtId="37" fontId="8" fillId="0" borderId="17" xfId="2" applyNumberFormat="1" applyFont="1" applyFill="1" applyBorder="1" applyAlignment="1" applyProtection="1">
      <alignment horizontal="center"/>
      <protection locked="0"/>
    </xf>
    <xf numFmtId="37" fontId="8" fillId="0" borderId="9" xfId="2" applyNumberFormat="1" applyFont="1" applyFill="1" applyBorder="1" applyAlignment="1" applyProtection="1">
      <alignment horizontal="center"/>
      <protection locked="0"/>
    </xf>
    <xf numFmtId="37" fontId="8" fillId="0" borderId="15" xfId="2" applyNumberFormat="1" applyFont="1" applyFill="1" applyBorder="1" applyAlignment="1" applyProtection="1">
      <alignment horizontal="center"/>
      <protection locked="0"/>
    </xf>
    <xf numFmtId="37" fontId="8" fillId="0" borderId="26" xfId="8" applyNumberFormat="1" applyFont="1" applyFill="1" applyBorder="1" applyAlignment="1" applyProtection="1">
      <alignment horizontal="left" vertical="center"/>
    </xf>
    <xf numFmtId="37" fontId="8" fillId="0" borderId="7" xfId="8" applyNumberFormat="1" applyFont="1" applyFill="1" applyBorder="1" applyAlignment="1" applyProtection="1">
      <alignment horizontal="left" vertical="center"/>
    </xf>
    <xf numFmtId="0" fontId="8" fillId="0" borderId="8" xfId="2" applyFont="1" applyFill="1" applyBorder="1" applyAlignment="1">
      <alignment horizontal="center"/>
    </xf>
    <xf numFmtId="37" fontId="8" fillId="0" borderId="26" xfId="2" applyNumberFormat="1" applyFont="1" applyFill="1" applyBorder="1" applyAlignment="1" applyProtection="1">
      <alignment horizontal="right"/>
      <protection locked="0"/>
    </xf>
    <xf numFmtId="37" fontId="8" fillId="0" borderId="8" xfId="2" applyNumberFormat="1" applyFont="1" applyFill="1" applyBorder="1" applyAlignment="1" applyProtection="1">
      <alignment horizontal="right"/>
      <protection locked="0"/>
    </xf>
    <xf numFmtId="37" fontId="8" fillId="0" borderId="7" xfId="2" applyNumberFormat="1" applyFont="1" applyFill="1" applyBorder="1" applyAlignment="1" applyProtection="1">
      <alignment horizontal="right"/>
      <protection locked="0"/>
    </xf>
    <xf numFmtId="37" fontId="9" fillId="0" borderId="3" xfId="2" applyNumberFormat="1" applyFont="1" applyFill="1" applyBorder="1" applyAlignment="1">
      <alignment horizontal="center"/>
    </xf>
    <xf numFmtId="37" fontId="8" fillId="0" borderId="5" xfId="2" applyNumberFormat="1" applyFont="1" applyFill="1" applyBorder="1" applyAlignment="1" applyProtection="1">
      <alignment horizontal="right"/>
      <protection locked="0"/>
    </xf>
    <xf numFmtId="37" fontId="8" fillId="0" borderId="3" xfId="2" applyNumberFormat="1" applyFont="1" applyFill="1" applyBorder="1" applyAlignment="1" applyProtection="1">
      <alignment horizontal="right"/>
      <protection locked="0"/>
    </xf>
    <xf numFmtId="37" fontId="8" fillId="0" borderId="2" xfId="2" applyNumberFormat="1" applyFont="1" applyFill="1" applyBorder="1" applyAlignment="1" applyProtection="1">
      <alignment horizontal="right"/>
      <protection locked="0"/>
    </xf>
    <xf numFmtId="37" fontId="8" fillId="0" borderId="6" xfId="8" applyNumberFormat="1" applyFont="1" applyFill="1" applyBorder="1" applyAlignment="1" applyProtection="1">
      <alignment horizontal="left" vertical="center" wrapText="1"/>
    </xf>
    <xf numFmtId="37" fontId="8" fillId="0" borderId="1" xfId="8" applyNumberFormat="1" applyFont="1" applyFill="1" applyBorder="1" applyAlignment="1" applyProtection="1">
      <alignment horizontal="left" vertical="center" wrapText="1"/>
    </xf>
    <xf numFmtId="37" fontId="8" fillId="0" borderId="5" xfId="8" applyNumberFormat="1" applyFont="1" applyFill="1" applyBorder="1" applyAlignment="1" applyProtection="1">
      <alignment horizontal="left" vertical="center"/>
    </xf>
    <xf numFmtId="37" fontId="8" fillId="0" borderId="2" xfId="8" applyNumberFormat="1" applyFont="1" applyFill="1" applyBorder="1" applyAlignment="1" applyProtection="1">
      <alignment horizontal="left" vertical="center"/>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17" xfId="2" applyFont="1" applyFill="1" applyBorder="1" applyAlignment="1">
      <alignment horizontal="center"/>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17" xfId="2" applyNumberFormat="1" applyFont="1" applyFill="1" applyBorder="1" applyAlignment="1" applyProtection="1">
      <alignment horizontal="right"/>
      <protection locked="0"/>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37" fontId="8" fillId="0" borderId="6" xfId="8" applyNumberFormat="1" applyFont="1" applyFill="1" applyBorder="1" applyAlignment="1" applyProtection="1">
      <alignment horizontal="left" vertical="center"/>
    </xf>
    <xf numFmtId="37" fontId="8" fillId="0" borderId="1" xfId="8" applyNumberFormat="1" applyFont="1" applyFill="1" applyBorder="1" applyAlignment="1" applyProtection="1">
      <alignment horizontal="left" vertical="center"/>
    </xf>
    <xf numFmtId="37" fontId="9" fillId="0" borderId="5" xfId="2" applyNumberFormat="1" applyFont="1" applyFill="1" applyBorder="1" applyAlignment="1">
      <alignment horizontal="center"/>
    </xf>
    <xf numFmtId="0" fontId="11" fillId="0" borderId="17" xfId="8" applyFont="1" applyFill="1" applyBorder="1" applyAlignment="1">
      <alignment horizontal="center" vertical="center"/>
    </xf>
    <xf numFmtId="0" fontId="11" fillId="0" borderId="9" xfId="8" applyFont="1" applyFill="1" applyBorder="1" applyAlignment="1">
      <alignment horizontal="center" vertical="center"/>
    </xf>
    <xf numFmtId="0" fontId="11" fillId="0" borderId="15" xfId="8" applyFont="1" applyFill="1" applyBorder="1" applyAlignment="1">
      <alignment horizontal="center" vertical="center"/>
    </xf>
    <xf numFmtId="164" fontId="8" fillId="0" borderId="26" xfId="3" applyFont="1" applyFill="1" applyBorder="1" applyAlignment="1">
      <alignment horizontal="center"/>
    </xf>
    <xf numFmtId="164" fontId="8" fillId="0" borderId="8" xfId="3" applyFont="1" applyFill="1" applyBorder="1" applyAlignment="1">
      <alignment horizontal="center"/>
    </xf>
    <xf numFmtId="37" fontId="8" fillId="0" borderId="6" xfId="9" applyNumberFormat="1" applyFont="1" applyFill="1" applyBorder="1" applyAlignment="1">
      <alignment horizontal="center"/>
    </xf>
    <xf numFmtId="37" fontId="8" fillId="0" borderId="0" xfId="9" applyNumberFormat="1" applyFont="1" applyFill="1" applyBorder="1" applyAlignment="1">
      <alignment horizontal="center"/>
    </xf>
    <xf numFmtId="0" fontId="8" fillId="0" borderId="6" xfId="9" applyFont="1" applyFill="1" applyBorder="1" applyAlignment="1">
      <alignment horizontal="center"/>
    </xf>
    <xf numFmtId="0" fontId="8" fillId="0" borderId="1" xfId="9" applyFont="1" applyFill="1" applyBorder="1" applyAlignment="1">
      <alignment horizontal="center"/>
    </xf>
    <xf numFmtId="0" fontId="4" fillId="0" borderId="5" xfId="0" applyFont="1" applyFill="1" applyBorder="1" applyAlignment="1">
      <alignment horizontal="center"/>
    </xf>
    <xf numFmtId="0" fontId="4" fillId="0" borderId="2" xfId="0" applyFont="1" applyFill="1" applyBorder="1" applyAlignment="1">
      <alignment horizontal="center"/>
    </xf>
    <xf numFmtId="37" fontId="8" fillId="0" borderId="17" xfId="0" applyNumberFormat="1" applyFont="1" applyFill="1" applyBorder="1" applyAlignment="1" applyProtection="1">
      <alignment horizontal="left"/>
      <protection locked="0"/>
    </xf>
    <xf numFmtId="37" fontId="8" fillId="0" borderId="17" xfId="0" applyNumberFormat="1" applyFont="1" applyFill="1" applyBorder="1" applyAlignment="1" applyProtection="1">
      <alignment horizontal="center"/>
      <protection locked="0"/>
    </xf>
    <xf numFmtId="37" fontId="8" fillId="0" borderId="15" xfId="0" applyNumberFormat="1" applyFont="1" applyFill="1" applyBorder="1" applyAlignment="1" applyProtection="1">
      <alignment horizontal="center"/>
      <protection locked="0"/>
    </xf>
    <xf numFmtId="0" fontId="8" fillId="0" borderId="17" xfId="0" applyFont="1" applyFill="1" applyBorder="1" applyAlignment="1">
      <alignment horizontal="center"/>
    </xf>
    <xf numFmtId="0" fontId="8" fillId="0" borderId="15" xfId="0" applyFont="1" applyFill="1" applyBorder="1" applyAlignment="1">
      <alignment horizontal="center"/>
    </xf>
    <xf numFmtId="0" fontId="8" fillId="0" borderId="26" xfId="8" applyFont="1" applyBorder="1" applyAlignment="1">
      <alignment horizontal="center"/>
    </xf>
    <xf numFmtId="0" fontId="8" fillId="0" borderId="8" xfId="8" applyFont="1" applyBorder="1" applyAlignment="1">
      <alignment horizontal="center"/>
    </xf>
    <xf numFmtId="0" fontId="8" fillId="0" borderId="9" xfId="8" applyFont="1" applyBorder="1" applyAlignment="1">
      <alignment horizontal="center"/>
    </xf>
    <xf numFmtId="0" fontId="8" fillId="0" borderId="15" xfId="8" applyFont="1" applyBorder="1" applyAlignment="1">
      <alignment horizontal="center"/>
    </xf>
    <xf numFmtId="0" fontId="8" fillId="0" borderId="7" xfId="1" applyFont="1" applyFill="1" applyBorder="1" applyAlignment="1">
      <alignment horizontal="center"/>
    </xf>
    <xf numFmtId="0" fontId="8" fillId="0" borderId="25" xfId="1" applyFont="1" applyFill="1" applyBorder="1" applyAlignment="1">
      <alignment horizontal="center"/>
    </xf>
    <xf numFmtId="0" fontId="8" fillId="0" borderId="8" xfId="0" applyFont="1" applyFill="1" applyBorder="1" applyAlignment="1">
      <alignment horizontal="center"/>
    </xf>
    <xf numFmtId="0" fontId="8" fillId="0" borderId="7" xfId="0" applyFont="1" applyFill="1" applyBorder="1" applyAlignment="1">
      <alignment horizontal="center"/>
    </xf>
    <xf numFmtId="37" fontId="9" fillId="0" borderId="5" xfId="1" applyNumberFormat="1" applyFont="1" applyFill="1" applyBorder="1" applyAlignment="1">
      <alignment horizontal="center"/>
    </xf>
    <xf numFmtId="37" fontId="9" fillId="0" borderId="3" xfId="1" applyNumberFormat="1" applyFont="1" applyFill="1" applyBorder="1" applyAlignment="1">
      <alignment horizontal="center"/>
    </xf>
    <xf numFmtId="37" fontId="9" fillId="0" borderId="2" xfId="1" applyNumberFormat="1" applyFont="1" applyFill="1" applyBorder="1" applyAlignment="1">
      <alignment horizontal="center"/>
    </xf>
    <xf numFmtId="0" fontId="28" fillId="3" borderId="0" xfId="0" applyFont="1" applyFill="1" applyAlignment="1">
      <alignment horizontal="center"/>
    </xf>
    <xf numFmtId="0" fontId="24" fillId="3" borderId="8" xfId="0" applyFont="1" applyFill="1" applyBorder="1" applyAlignment="1">
      <alignment horizontal="center"/>
    </xf>
  </cellXfs>
  <cellStyles count="16">
    <cellStyle name="0,0_x000d__x000a_NA_x000d__x000a_" xfId="1"/>
    <cellStyle name="0,0_x000d__x000a_NA_x000d__x000a_ 10" xfId="2"/>
    <cellStyle name="Comma" xfId="14" builtinId="3"/>
    <cellStyle name="Comma 9" xfId="3"/>
    <cellStyle name="Comma 9 2" xfId="4"/>
    <cellStyle name="Comma 9 3" xfId="5"/>
    <cellStyle name="Normal" xfId="0" builtinId="0"/>
    <cellStyle name="Normal 2" xfId="6"/>
    <cellStyle name="Normal 2 2" xfId="15"/>
    <cellStyle name="Normal 3" xfId="7"/>
    <cellStyle name="Normal 4" xfId="8"/>
    <cellStyle name="Normal 5" xfId="13"/>
    <cellStyle name="Normal_SAFs" xfId="9"/>
    <cellStyle name="Percent 6" xfId="10"/>
    <cellStyle name="Percent 6 2" xfId="11"/>
    <cellStyle name="Percent 6 3" xfId="12"/>
  </cellStyles>
  <dxfs count="0"/>
  <tableStyles count="0" defaultTableStyle="TableStyleMedium2" defaultPivotStyle="PivotStyleLight16"/>
  <colors>
    <mruColors>
      <color rgb="FF00FFFF"/>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cedynamics\account\Documents%20and%20Settings\elisa.cerisola\Documenti\Documenti\Consolidati\Rev04\China\04RB%20P&amp;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1.1-Manag.Report Sum Up"/>
      <sheetName val="1.2 - Manag.Report Details"/>
      <sheetName val="1.3-Sell-Outs Table"/>
      <sheetName val="1.4-CRM Table"/>
      <sheetName val="2-Turnover &amp; Oper.Res."/>
      <sheetName val="3-PL Total China"/>
      <sheetName val="cover Zegna retail"/>
      <sheetName val="3.1-PL Tot.Zegna Retail"/>
      <sheetName val="3.1.1-BJ1"/>
      <sheetName val="3.1.2-BJ2"/>
      <sheetName val="3.1.3-BJ3"/>
      <sheetName val="3.1.4-ZSBJ2"/>
      <sheetName val="3.1.5-L-BJ1"/>
      <sheetName val="3.1.6-L-BJ2"/>
      <sheetName val="3.1.7-SH3"/>
      <sheetName val="3.1.8-SH4"/>
      <sheetName val="3.1.9-SH5"/>
      <sheetName val="3.1.10-SH6"/>
      <sheetName val="3.1.11-SH7"/>
      <sheetName val="3.1.12-ZSSH2"/>
      <sheetName val="3.1.13-L-SH1"/>
      <sheetName val="3.1.14-L-SH2"/>
      <sheetName val="3.1.15-L-SH3"/>
      <sheetName val="3.1.16-GZ2"/>
      <sheetName val="3.1.17-GZ5"/>
      <sheetName val="3.1.18-GZ6"/>
      <sheetName val="3.1.19-SZ1"/>
      <sheetName val="3.1.20-SZ4"/>
      <sheetName val="3.1.21-DL1"/>
      <sheetName val="3.1.22-DL3"/>
      <sheetName val="3.1.23-CC2"/>
      <sheetName val="3.1.24-SY1"/>
      <sheetName val="3.1.25-SY2"/>
      <sheetName val="3.1.26-HRB1"/>
      <sheetName val="3.1.27-HRB2"/>
      <sheetName val="3.1.28-HZ1"/>
      <sheetName val="3.1.29-HZ2"/>
      <sheetName val="3.1.30-L-HZ1"/>
      <sheetName val="3.1.31-XA1"/>
      <sheetName val="3.1.32-CD1"/>
      <sheetName val="3.1.33-CD2"/>
      <sheetName val="3.1.34-CD3"/>
      <sheetName val="3.1.35-NB2"/>
      <sheetName val="3.1.36-L-NB"/>
      <sheetName val="3.1.37-WZ"/>
      <sheetName val="3.1.38-L-WZ"/>
      <sheetName val="3.1.39-WH1"/>
      <sheetName val="3.1.40-WH2"/>
      <sheetName val="3.1.41-ZZ"/>
      <sheetName val="3.1.42-XM"/>
      <sheetName val="3.1.43-CQ"/>
      <sheetName val="Cover Agn"/>
      <sheetName val="3.2-PL Tot.Agnona"/>
      <sheetName val="3.2.1-AgSH1"/>
      <sheetName val="Cover-par"/>
      <sheetName val="3.3 PL PAR"/>
      <sheetName val="3.3.1-PAR GZ"/>
      <sheetName val="3.3.2-PAR SH"/>
      <sheetName val="3.3.3-PAR BJ"/>
      <sheetName val="3.3.4-PAR SY"/>
      <sheetName val="3.4-PL Whole"/>
      <sheetName val="3.5-DFS"/>
      <sheetName val="3.6-FABRIC"/>
      <sheetName val="3.7-FAMILY"/>
      <sheetName val="4-Investments"/>
      <sheetName val="5.1-Financial Position"/>
      <sheetName val="5.2-Cash Flow"/>
      <sheetName val="6.1-BS Assets"/>
      <sheetName val="6.2-BS Liabilities"/>
      <sheetName val="7.1-Org.Chart"/>
      <sheetName val="North"/>
      <sheetName val="Northeast"/>
      <sheetName val="South"/>
      <sheetName val="SH&amp;Central"/>
      <sheetName val="End"/>
      <sheetName val="Tot_EZ"/>
      <sheetName val="ZSBJ"/>
      <sheetName val="SH2"/>
      <sheetName val="ZSSH1"/>
      <sheetName val="GZ4"/>
      <sheetName val="ZSGZ"/>
      <sheetName val="SZ2"/>
      <sheetName val="SZ3"/>
      <sheetName val="ZSSZ"/>
      <sheetName val="NB"/>
      <sheetName val="QD"/>
      <sheetName val="DL2"/>
      <sheetName val="XA2"/>
      <sheetName val="AGSH2"/>
      <sheetName val="3_1_1_BJ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21"/>
  <sheetViews>
    <sheetView zoomScale="110" zoomScaleNormal="110" zoomScaleSheetLayoutView="100" workbookViewId="0">
      <selection activeCell="K18" sqref="K18"/>
    </sheetView>
  </sheetViews>
  <sheetFormatPr defaultRowHeight="12.75" x14ac:dyDescent="0.2"/>
  <cols>
    <col min="1" max="1" width="4.28515625" style="88" bestFit="1" customWidth="1"/>
    <col min="2" max="2" width="5.28515625" customWidth="1"/>
    <col min="3" max="3" width="5.42578125" style="89" bestFit="1" customWidth="1"/>
    <col min="4" max="4" width="40" bestFit="1" customWidth="1"/>
    <col min="5" max="5" width="10.28515625" hidden="1" customWidth="1"/>
    <col min="6" max="6" width="6.42578125" style="90" customWidth="1"/>
    <col min="7" max="7" width="5.42578125" style="90" bestFit="1" customWidth="1"/>
    <col min="8" max="8" width="49.42578125" style="99" customWidth="1"/>
    <col min="9" max="9" width="9.140625" style="601"/>
  </cols>
  <sheetData>
    <row r="1" spans="1:9" x14ac:dyDescent="0.2">
      <c r="A1" s="840" t="s">
        <v>1420</v>
      </c>
      <c r="B1" s="841"/>
      <c r="C1" s="841"/>
      <c r="D1" s="841"/>
      <c r="E1" s="841"/>
      <c r="F1" s="841"/>
      <c r="G1" s="841"/>
      <c r="H1" s="842"/>
    </row>
    <row r="2" spans="1:9" x14ac:dyDescent="0.2">
      <c r="A2" s="843" t="s">
        <v>1315</v>
      </c>
      <c r="B2" s="844"/>
      <c r="C2" s="844"/>
      <c r="D2" s="844"/>
      <c r="E2" s="844"/>
      <c r="F2" s="844"/>
      <c r="G2" s="844"/>
      <c r="H2" s="845"/>
      <c r="I2" s="602"/>
    </row>
    <row r="3" spans="1:9" s="85" customFormat="1" x14ac:dyDescent="0.2">
      <c r="A3" s="701" t="s">
        <v>67</v>
      </c>
      <c r="B3" s="702" t="s">
        <v>68</v>
      </c>
      <c r="C3" s="703" t="s">
        <v>69</v>
      </c>
      <c r="D3" s="702" t="s">
        <v>70</v>
      </c>
      <c r="E3" s="703"/>
      <c r="F3" s="704" t="s">
        <v>71</v>
      </c>
      <c r="G3" s="705"/>
      <c r="H3" s="706" t="s">
        <v>72</v>
      </c>
      <c r="I3" s="601"/>
    </row>
    <row r="4" spans="1:9" x14ac:dyDescent="0.2">
      <c r="A4" s="91">
        <v>1</v>
      </c>
      <c r="B4" s="688" t="s">
        <v>74</v>
      </c>
      <c r="C4" s="571" t="s">
        <v>1320</v>
      </c>
      <c r="D4" s="690" t="s">
        <v>1323</v>
      </c>
      <c r="E4" s="93" t="s">
        <v>1317</v>
      </c>
      <c r="F4" s="87" t="s">
        <v>75</v>
      </c>
      <c r="G4" s="692" t="s">
        <v>76</v>
      </c>
      <c r="H4" s="621" t="s">
        <v>1503</v>
      </c>
      <c r="I4" s="602"/>
    </row>
    <row r="5" spans="1:9" x14ac:dyDescent="0.2">
      <c r="A5" s="86">
        <f>A4+1</f>
        <v>2</v>
      </c>
      <c r="B5" s="688" t="s">
        <v>709</v>
      </c>
      <c r="C5" s="571" t="s">
        <v>1421</v>
      </c>
      <c r="D5" s="690" t="s">
        <v>1323</v>
      </c>
      <c r="E5" s="93" t="s">
        <v>1317</v>
      </c>
      <c r="F5" s="87" t="s">
        <v>75</v>
      </c>
      <c r="G5" s="692" t="s">
        <v>76</v>
      </c>
      <c r="H5" s="621" t="s">
        <v>78</v>
      </c>
      <c r="I5" s="603"/>
    </row>
    <row r="6" spans="1:9" x14ac:dyDescent="0.2">
      <c r="A6" s="86">
        <f t="shared" ref="A6:A20" si="0">A5+1</f>
        <v>3</v>
      </c>
      <c r="B6" s="688"/>
      <c r="C6" s="571" t="s">
        <v>1495</v>
      </c>
      <c r="D6" s="690" t="s">
        <v>1496</v>
      </c>
      <c r="E6" s="93" t="s">
        <v>1317</v>
      </c>
      <c r="F6" s="87" t="s">
        <v>75</v>
      </c>
      <c r="G6" s="692" t="s">
        <v>81</v>
      </c>
      <c r="H6" s="621" t="s">
        <v>82</v>
      </c>
      <c r="I6" s="603"/>
    </row>
    <row r="7" spans="1:9" x14ac:dyDescent="0.2">
      <c r="A7" s="86">
        <f t="shared" si="0"/>
        <v>4</v>
      </c>
      <c r="B7" s="688" t="s">
        <v>77</v>
      </c>
      <c r="C7" s="571" t="s">
        <v>1321</v>
      </c>
      <c r="D7" s="690" t="s">
        <v>207</v>
      </c>
      <c r="E7" s="93" t="s">
        <v>1316</v>
      </c>
      <c r="F7" s="87" t="s">
        <v>79</v>
      </c>
      <c r="G7" s="692" t="s">
        <v>76</v>
      </c>
      <c r="H7" s="621" t="s">
        <v>1504</v>
      </c>
    </row>
    <row r="8" spans="1:9" x14ac:dyDescent="0.2">
      <c r="A8" s="86">
        <f t="shared" si="0"/>
        <v>5</v>
      </c>
      <c r="B8" s="688" t="s">
        <v>710</v>
      </c>
      <c r="C8" s="571" t="s">
        <v>1422</v>
      </c>
      <c r="D8" s="690" t="s">
        <v>1494</v>
      </c>
      <c r="E8" s="93" t="s">
        <v>1316</v>
      </c>
      <c r="F8" s="87" t="s">
        <v>79</v>
      </c>
      <c r="G8" s="692" t="s">
        <v>76</v>
      </c>
      <c r="H8" s="621" t="s">
        <v>78</v>
      </c>
    </row>
    <row r="9" spans="1:9" x14ac:dyDescent="0.2">
      <c r="A9" s="86">
        <f t="shared" si="0"/>
        <v>6</v>
      </c>
      <c r="B9" s="688" t="s">
        <v>711</v>
      </c>
      <c r="C9" s="571" t="s">
        <v>1322</v>
      </c>
      <c r="D9" s="690" t="s">
        <v>1502</v>
      </c>
      <c r="E9" s="93" t="s">
        <v>1318</v>
      </c>
      <c r="F9" s="87" t="s">
        <v>75</v>
      </c>
      <c r="G9" s="692" t="s">
        <v>76</v>
      </c>
      <c r="H9" s="621" t="s">
        <v>1505</v>
      </c>
    </row>
    <row r="10" spans="1:9" s="94" customFormat="1" x14ac:dyDescent="0.2">
      <c r="A10" s="86">
        <f t="shared" si="0"/>
        <v>7</v>
      </c>
      <c r="B10" s="688" t="s">
        <v>1468</v>
      </c>
      <c r="C10" s="571" t="s">
        <v>1324</v>
      </c>
      <c r="D10" s="690" t="s">
        <v>1456</v>
      </c>
      <c r="E10" s="93" t="s">
        <v>1318</v>
      </c>
      <c r="F10" s="87" t="s">
        <v>75</v>
      </c>
      <c r="G10" s="692" t="s">
        <v>76</v>
      </c>
      <c r="H10" s="621" t="s">
        <v>1506</v>
      </c>
      <c r="I10" s="604"/>
    </row>
    <row r="11" spans="1:9" s="94" customFormat="1" x14ac:dyDescent="0.2">
      <c r="A11" s="86">
        <f t="shared" si="0"/>
        <v>8</v>
      </c>
      <c r="B11" s="688" t="s">
        <v>1469</v>
      </c>
      <c r="C11" s="571" t="s">
        <v>1423</v>
      </c>
      <c r="D11" s="690" t="s">
        <v>1507</v>
      </c>
      <c r="E11" s="93" t="s">
        <v>1318</v>
      </c>
      <c r="F11" s="87" t="s">
        <v>75</v>
      </c>
      <c r="G11" s="692" t="s">
        <v>76</v>
      </c>
      <c r="H11" s="622" t="s">
        <v>1508</v>
      </c>
      <c r="I11" s="604"/>
    </row>
    <row r="12" spans="1:9" s="94" customFormat="1" x14ac:dyDescent="0.2">
      <c r="A12" s="86">
        <f t="shared" si="0"/>
        <v>9</v>
      </c>
      <c r="B12" s="688"/>
      <c r="C12" s="571" t="s">
        <v>1771</v>
      </c>
      <c r="D12" s="690" t="s">
        <v>1773</v>
      </c>
      <c r="E12" s="93"/>
      <c r="F12" s="87" t="s">
        <v>75</v>
      </c>
      <c r="G12" s="692" t="s">
        <v>76</v>
      </c>
      <c r="H12" s="622"/>
      <c r="I12" s="604"/>
    </row>
    <row r="13" spans="1:9" s="94" customFormat="1" x14ac:dyDescent="0.2">
      <c r="A13" s="86">
        <f t="shared" si="0"/>
        <v>10</v>
      </c>
      <c r="B13" s="688"/>
      <c r="C13" s="571" t="s">
        <v>1772</v>
      </c>
      <c r="D13" s="690" t="s">
        <v>1774</v>
      </c>
      <c r="E13" s="93"/>
      <c r="F13" s="87" t="s">
        <v>75</v>
      </c>
      <c r="G13" s="692" t="s">
        <v>76</v>
      </c>
      <c r="H13" s="622"/>
      <c r="I13" s="604"/>
    </row>
    <row r="14" spans="1:9" x14ac:dyDescent="0.2">
      <c r="A14" s="86">
        <f t="shared" si="0"/>
        <v>11</v>
      </c>
      <c r="B14" s="688" t="s">
        <v>712</v>
      </c>
      <c r="C14" s="571" t="s">
        <v>1452</v>
      </c>
      <c r="D14" s="690" t="s">
        <v>80</v>
      </c>
      <c r="E14" s="93"/>
      <c r="F14" s="87" t="s">
        <v>75</v>
      </c>
      <c r="G14" s="692" t="s">
        <v>76</v>
      </c>
      <c r="H14" s="621"/>
    </row>
    <row r="15" spans="1:9" x14ac:dyDescent="0.2">
      <c r="A15" s="86">
        <f t="shared" si="0"/>
        <v>12</v>
      </c>
      <c r="B15" s="688"/>
      <c r="C15" s="571" t="s">
        <v>1497</v>
      </c>
      <c r="D15" s="690" t="s">
        <v>1498</v>
      </c>
      <c r="E15" s="93"/>
      <c r="F15" s="87" t="s">
        <v>75</v>
      </c>
      <c r="G15" s="692" t="s">
        <v>81</v>
      </c>
      <c r="H15" s="621" t="s">
        <v>82</v>
      </c>
    </row>
    <row r="16" spans="1:9" x14ac:dyDescent="0.2">
      <c r="A16" s="86">
        <f t="shared" si="0"/>
        <v>13</v>
      </c>
      <c r="B16" s="688" t="s">
        <v>713</v>
      </c>
      <c r="C16" s="571" t="s">
        <v>1453</v>
      </c>
      <c r="D16" s="690" t="s">
        <v>208</v>
      </c>
      <c r="E16" s="93"/>
      <c r="F16" s="87" t="s">
        <v>79</v>
      </c>
      <c r="G16" s="692" t="s">
        <v>76</v>
      </c>
      <c r="H16" s="621"/>
    </row>
    <row r="17" spans="1:8" x14ac:dyDescent="0.2">
      <c r="A17" s="86">
        <f t="shared" si="0"/>
        <v>14</v>
      </c>
      <c r="B17" s="688" t="s">
        <v>714</v>
      </c>
      <c r="C17" s="571" t="s">
        <v>1454</v>
      </c>
      <c r="D17" s="690" t="s">
        <v>83</v>
      </c>
      <c r="E17" s="93"/>
      <c r="F17" s="87" t="s">
        <v>79</v>
      </c>
      <c r="G17" s="692" t="s">
        <v>76</v>
      </c>
      <c r="H17" s="621"/>
    </row>
    <row r="18" spans="1:8" x14ac:dyDescent="0.2">
      <c r="A18" s="86">
        <f t="shared" si="0"/>
        <v>15</v>
      </c>
      <c r="B18" s="688" t="s">
        <v>715</v>
      </c>
      <c r="C18" s="571" t="s">
        <v>1455</v>
      </c>
      <c r="D18" s="690" t="s">
        <v>84</v>
      </c>
      <c r="E18" s="93"/>
      <c r="F18" s="87" t="s">
        <v>75</v>
      </c>
      <c r="G18" s="692" t="s">
        <v>76</v>
      </c>
      <c r="H18" s="621"/>
    </row>
    <row r="19" spans="1:8" hidden="1" x14ac:dyDescent="0.2">
      <c r="A19" s="86">
        <f t="shared" si="0"/>
        <v>16</v>
      </c>
      <c r="B19" s="688" t="s">
        <v>1319</v>
      </c>
      <c r="C19" s="571" t="s">
        <v>1424</v>
      </c>
      <c r="D19" s="690" t="s">
        <v>1404</v>
      </c>
      <c r="E19" s="93"/>
      <c r="F19" s="93"/>
      <c r="G19" s="693"/>
      <c r="H19" s="621"/>
    </row>
    <row r="20" spans="1:8" hidden="1" x14ac:dyDescent="0.2">
      <c r="A20" s="86">
        <f t="shared" si="0"/>
        <v>17</v>
      </c>
      <c r="B20" s="689" t="s">
        <v>1319</v>
      </c>
      <c r="C20" s="571" t="s">
        <v>1425</v>
      </c>
      <c r="D20" s="691" t="s">
        <v>1325</v>
      </c>
      <c r="E20" s="93"/>
      <c r="F20" s="93"/>
      <c r="G20" s="694"/>
      <c r="H20" s="621"/>
    </row>
    <row r="21" spans="1:8" x14ac:dyDescent="0.2">
      <c r="A21" s="95"/>
      <c r="B21" s="96"/>
      <c r="C21" s="96"/>
      <c r="D21" s="97"/>
      <c r="E21" s="97"/>
      <c r="F21" s="98"/>
      <c r="G21" s="98"/>
      <c r="H21" s="92"/>
    </row>
  </sheetData>
  <mergeCells count="2">
    <mergeCell ref="A1:H1"/>
    <mergeCell ref="A2:H2"/>
  </mergeCells>
  <printOptions gridLines="1"/>
  <pageMargins left="0.62992125984251968" right="0.23622047244094491" top="0.74803149606299213" bottom="0.15748031496062992" header="0.31496062992125984" footer="0.31496062992125984"/>
  <pageSetup paperSize="9" scale="8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P71"/>
  <sheetViews>
    <sheetView topLeftCell="A37" zoomScale="110" zoomScaleNormal="110" zoomScaleSheetLayoutView="110" workbookViewId="0">
      <selection activeCell="C55" sqref="C55"/>
    </sheetView>
  </sheetViews>
  <sheetFormatPr defaultRowHeight="11.25" x14ac:dyDescent="0.2"/>
  <cols>
    <col min="1" max="1" width="2.42578125" style="6" customWidth="1"/>
    <col min="2" max="2" width="21.85546875" style="4" customWidth="1"/>
    <col min="3" max="3" width="52.140625" style="315" customWidth="1"/>
    <col min="4" max="5" width="7.28515625" style="4" customWidth="1"/>
    <col min="6" max="7" width="7.28515625" style="1" customWidth="1"/>
    <col min="8" max="8" width="6.28515625" style="1" bestFit="1" customWidth="1"/>
    <col min="9" max="11" width="7.28515625" style="1" customWidth="1"/>
    <col min="12" max="12" width="7.85546875" style="2" customWidth="1"/>
    <col min="13" max="13" width="9.140625" style="1"/>
    <col min="14" max="14" width="9.28515625" style="1" bestFit="1" customWidth="1"/>
    <col min="15" max="15" width="9.140625" style="1"/>
    <col min="16" max="16" width="9.85546875" style="1" bestFit="1" customWidth="1"/>
    <col min="17" max="16384" width="9.140625" style="1"/>
  </cols>
  <sheetData>
    <row r="1" spans="1:12" ht="12.75" customHeight="1" x14ac:dyDescent="0.2">
      <c r="A1" s="443" t="s">
        <v>66</v>
      </c>
      <c r="B1" s="82"/>
      <c r="C1" s="444"/>
      <c r="D1" s="854" t="s">
        <v>1406</v>
      </c>
      <c r="E1" s="855"/>
      <c r="F1" s="855"/>
      <c r="G1" s="856"/>
      <c r="H1" s="857" t="s">
        <v>1407</v>
      </c>
      <c r="I1" s="857"/>
      <c r="J1" s="857"/>
      <c r="K1" s="857"/>
      <c r="L1" s="858"/>
    </row>
    <row r="2" spans="1:12" ht="12.75" customHeight="1" x14ac:dyDescent="0.2">
      <c r="A2" s="859" t="s">
        <v>1276</v>
      </c>
      <c r="B2" s="860"/>
      <c r="C2" s="444"/>
      <c r="D2" s="861" t="s">
        <v>93</v>
      </c>
      <c r="E2" s="862"/>
      <c r="F2" s="862"/>
      <c r="G2" s="863"/>
      <c r="H2" s="862" t="s">
        <v>63</v>
      </c>
      <c r="I2" s="862"/>
      <c r="J2" s="862"/>
      <c r="K2" s="862"/>
      <c r="L2" s="863"/>
    </row>
    <row r="3" spans="1:12" ht="12.75" customHeight="1" x14ac:dyDescent="0.2">
      <c r="A3" s="864" t="s">
        <v>1450</v>
      </c>
      <c r="B3" s="865"/>
      <c r="C3" s="319"/>
      <c r="D3" s="866" t="s">
        <v>716</v>
      </c>
      <c r="E3" s="867"/>
      <c r="F3" s="867"/>
      <c r="G3" s="868"/>
      <c r="H3" s="869" t="s">
        <v>61</v>
      </c>
      <c r="I3" s="869"/>
      <c r="J3" s="869"/>
      <c r="K3" s="869"/>
      <c r="L3" s="870"/>
    </row>
    <row r="4" spans="1:12" ht="12.75" customHeight="1" x14ac:dyDescent="0.2">
      <c r="A4" s="846"/>
      <c r="B4" s="846"/>
      <c r="C4" s="319"/>
      <c r="D4" s="847" t="s">
        <v>85</v>
      </c>
      <c r="E4" s="848"/>
      <c r="F4" s="848"/>
      <c r="G4" s="849"/>
      <c r="H4" s="850" t="s">
        <v>86</v>
      </c>
      <c r="I4" s="850"/>
      <c r="J4" s="850"/>
      <c r="K4" s="850"/>
      <c r="L4" s="851"/>
    </row>
    <row r="5" spans="1:12" x14ac:dyDescent="0.2">
      <c r="A5" s="852"/>
      <c r="B5" s="853"/>
      <c r="C5" s="454"/>
      <c r="D5" s="46" t="s">
        <v>1408</v>
      </c>
      <c r="E5" s="51" t="s">
        <v>1409</v>
      </c>
      <c r="F5" s="30" t="s">
        <v>58</v>
      </c>
      <c r="G5" s="456" t="s">
        <v>60</v>
      </c>
      <c r="H5" s="81" t="s">
        <v>59</v>
      </c>
      <c r="I5" s="81" t="s">
        <v>58</v>
      </c>
      <c r="J5" s="81" t="s">
        <v>57</v>
      </c>
      <c r="K5" s="81" t="s">
        <v>56</v>
      </c>
      <c r="L5" s="80" t="s">
        <v>60</v>
      </c>
    </row>
    <row r="6" spans="1:12" x14ac:dyDescent="0.2">
      <c r="A6" s="37">
        <v>1</v>
      </c>
      <c r="B6" s="440" t="s">
        <v>55</v>
      </c>
      <c r="C6" s="320" t="s">
        <v>1519</v>
      </c>
      <c r="D6" s="457"/>
      <c r="E6" s="17"/>
      <c r="F6" s="56"/>
      <c r="G6" s="303"/>
      <c r="H6" s="54"/>
      <c r="I6" s="54"/>
      <c r="J6" s="54"/>
      <c r="K6" s="54"/>
      <c r="L6" s="53"/>
    </row>
    <row r="7" spans="1:12" x14ac:dyDescent="0.2">
      <c r="A7" s="37">
        <f t="shared" ref="A7:A35" si="0">A6+1</f>
        <v>2</v>
      </c>
      <c r="B7" s="441" t="s">
        <v>54</v>
      </c>
      <c r="C7" s="320" t="s">
        <v>1520</v>
      </c>
      <c r="D7" s="457"/>
      <c r="E7" s="17"/>
      <c r="F7" s="56"/>
      <c r="G7" s="303"/>
      <c r="H7" s="54"/>
      <c r="I7" s="54"/>
      <c r="J7" s="54"/>
      <c r="K7" s="54"/>
      <c r="L7" s="53"/>
    </row>
    <row r="8" spans="1:12" s="31" customFormat="1" x14ac:dyDescent="0.2">
      <c r="A8" s="695">
        <f t="shared" si="0"/>
        <v>3</v>
      </c>
      <c r="B8" s="41" t="s">
        <v>53</v>
      </c>
      <c r="C8" s="316" t="s">
        <v>1263</v>
      </c>
      <c r="D8" s="46"/>
      <c r="E8" s="51"/>
      <c r="F8" s="49"/>
      <c r="G8" s="301"/>
      <c r="H8" s="49"/>
      <c r="I8" s="49"/>
      <c r="J8" s="49"/>
      <c r="K8" s="49"/>
      <c r="L8" s="48"/>
    </row>
    <row r="9" spans="1:12" x14ac:dyDescent="0.2">
      <c r="A9" s="37">
        <f t="shared" si="0"/>
        <v>4</v>
      </c>
      <c r="B9" s="57" t="s">
        <v>51</v>
      </c>
      <c r="C9" s="320" t="s">
        <v>1521</v>
      </c>
      <c r="D9" s="457"/>
      <c r="E9" s="17"/>
      <c r="F9" s="56"/>
      <c r="G9" s="303"/>
      <c r="H9" s="54"/>
      <c r="I9" s="54"/>
      <c r="J9" s="54"/>
      <c r="K9" s="54"/>
      <c r="L9" s="53"/>
    </row>
    <row r="10" spans="1:12" x14ac:dyDescent="0.2">
      <c r="A10" s="37">
        <f t="shared" si="0"/>
        <v>5</v>
      </c>
      <c r="B10" s="441" t="s">
        <v>50</v>
      </c>
      <c r="C10" s="320" t="s">
        <v>1522</v>
      </c>
      <c r="D10" s="457"/>
      <c r="E10" s="17"/>
      <c r="F10" s="56"/>
      <c r="G10" s="303"/>
      <c r="H10" s="54"/>
      <c r="I10" s="54"/>
      <c r="J10" s="54"/>
      <c r="K10" s="54"/>
      <c r="L10" s="53"/>
    </row>
    <row r="11" spans="1:12" s="31" customFormat="1" x14ac:dyDescent="0.2">
      <c r="A11" s="695">
        <f t="shared" si="0"/>
        <v>6</v>
      </c>
      <c r="B11" s="78" t="s">
        <v>49</v>
      </c>
      <c r="C11" s="316" t="s">
        <v>1229</v>
      </c>
      <c r="D11" s="46"/>
      <c r="E11" s="51"/>
      <c r="F11" s="49"/>
      <c r="G11" s="301"/>
      <c r="H11" s="49"/>
      <c r="I11" s="49"/>
      <c r="J11" s="49"/>
      <c r="K11" s="49"/>
      <c r="L11" s="48"/>
    </row>
    <row r="12" spans="1:12" s="31" customFormat="1" ht="12" thickBot="1" x14ac:dyDescent="0.25">
      <c r="A12" s="394">
        <f t="shared" si="0"/>
        <v>7</v>
      </c>
      <c r="B12" s="79" t="s">
        <v>47</v>
      </c>
      <c r="C12" s="321" t="s">
        <v>1230</v>
      </c>
      <c r="D12" s="317"/>
      <c r="E12" s="35"/>
      <c r="F12" s="34"/>
      <c r="G12" s="302"/>
      <c r="H12" s="34"/>
      <c r="I12" s="34"/>
      <c r="J12" s="34"/>
      <c r="K12" s="34"/>
      <c r="L12" s="33"/>
    </row>
    <row r="13" spans="1:12" ht="12" thickTop="1" x14ac:dyDescent="0.2">
      <c r="A13" s="37">
        <f t="shared" si="0"/>
        <v>8</v>
      </c>
      <c r="B13" s="57" t="s">
        <v>1286</v>
      </c>
      <c r="C13" s="320" t="s">
        <v>1523</v>
      </c>
      <c r="D13" s="457"/>
      <c r="E13" s="17"/>
      <c r="F13" s="56"/>
      <c r="G13" s="303"/>
      <c r="H13" s="54"/>
      <c r="I13" s="54"/>
      <c r="J13" s="54"/>
      <c r="K13" s="54"/>
      <c r="L13" s="53"/>
    </row>
    <row r="14" spans="1:12" x14ac:dyDescent="0.2">
      <c r="A14" s="37">
        <f t="shared" si="0"/>
        <v>9</v>
      </c>
      <c r="B14" s="57" t="s">
        <v>24</v>
      </c>
      <c r="C14" s="320" t="s">
        <v>920</v>
      </c>
      <c r="D14" s="457"/>
      <c r="E14" s="17"/>
      <c r="F14" s="56"/>
      <c r="G14" s="303"/>
      <c r="H14" s="54"/>
      <c r="I14" s="54"/>
      <c r="J14" s="54"/>
      <c r="K14" s="54"/>
      <c r="L14" s="53"/>
    </row>
    <row r="15" spans="1:12" ht="11.25" customHeight="1" x14ac:dyDescent="0.2">
      <c r="A15" s="37">
        <f t="shared" si="0"/>
        <v>10</v>
      </c>
      <c r="B15" s="57" t="s">
        <v>45</v>
      </c>
      <c r="C15" s="320" t="s">
        <v>1526</v>
      </c>
      <c r="D15" s="457"/>
      <c r="E15" s="17"/>
      <c r="F15" s="56"/>
      <c r="G15" s="303"/>
      <c r="H15" s="54"/>
      <c r="I15" s="54"/>
      <c r="J15" s="54"/>
      <c r="K15" s="54"/>
      <c r="L15" s="53"/>
    </row>
    <row r="16" spans="1:12" ht="11.25" customHeight="1" x14ac:dyDescent="0.2">
      <c r="A16" s="37">
        <f t="shared" si="0"/>
        <v>11</v>
      </c>
      <c r="B16" s="441" t="s">
        <v>44</v>
      </c>
      <c r="C16" s="320" t="s">
        <v>1827</v>
      </c>
      <c r="D16" s="457"/>
      <c r="E16" s="17"/>
      <c r="F16" s="56"/>
      <c r="G16" s="303"/>
      <c r="H16" s="54"/>
      <c r="I16" s="54"/>
      <c r="J16" s="54"/>
      <c r="K16" s="54"/>
      <c r="L16" s="53"/>
    </row>
    <row r="17" spans="1:13" s="31" customFormat="1" ht="11.25" customHeight="1" x14ac:dyDescent="0.2">
      <c r="A17" s="695">
        <f t="shared" si="0"/>
        <v>12</v>
      </c>
      <c r="B17" s="78" t="s">
        <v>1287</v>
      </c>
      <c r="C17" s="316" t="s">
        <v>1524</v>
      </c>
      <c r="D17" s="46"/>
      <c r="E17" s="51"/>
      <c r="F17" s="49"/>
      <c r="G17" s="301"/>
      <c r="H17" s="49"/>
      <c r="I17" s="49"/>
      <c r="J17" s="49"/>
      <c r="K17" s="49"/>
      <c r="L17" s="48"/>
      <c r="M17" s="77"/>
    </row>
    <row r="18" spans="1:13" x14ac:dyDescent="0.2">
      <c r="A18" s="37">
        <f t="shared" si="0"/>
        <v>13</v>
      </c>
      <c r="B18" s="57" t="s">
        <v>40</v>
      </c>
      <c r="C18" s="320" t="s">
        <v>934</v>
      </c>
      <c r="D18" s="457"/>
      <c r="E18" s="17"/>
      <c r="F18" s="56"/>
      <c r="G18" s="303"/>
      <c r="H18" s="54"/>
      <c r="I18" s="54"/>
      <c r="J18" s="54"/>
      <c r="K18" s="54"/>
      <c r="L18" s="53"/>
    </row>
    <row r="19" spans="1:13" x14ac:dyDescent="0.2">
      <c r="A19" s="37">
        <f t="shared" si="0"/>
        <v>14</v>
      </c>
      <c r="B19" s="57" t="s">
        <v>43</v>
      </c>
      <c r="C19" s="320" t="s">
        <v>935</v>
      </c>
      <c r="D19" s="457"/>
      <c r="E19" s="17"/>
      <c r="F19" s="56"/>
      <c r="G19" s="303"/>
      <c r="H19" s="54"/>
      <c r="I19" s="54"/>
      <c r="J19" s="54"/>
      <c r="K19" s="54"/>
      <c r="L19" s="53"/>
    </row>
    <row r="20" spans="1:13" x14ac:dyDescent="0.2">
      <c r="A20" s="37">
        <f t="shared" si="0"/>
        <v>15</v>
      </c>
      <c r="B20" s="57" t="s">
        <v>42</v>
      </c>
      <c r="C20" s="320" t="s">
        <v>936</v>
      </c>
      <c r="D20" s="457"/>
      <c r="E20" s="17"/>
      <c r="F20" s="56"/>
      <c r="G20" s="303"/>
      <c r="H20" s="54"/>
      <c r="I20" s="54"/>
      <c r="J20" s="54"/>
      <c r="K20" s="54"/>
      <c r="L20" s="53"/>
    </row>
    <row r="21" spans="1:13" x14ac:dyDescent="0.2">
      <c r="A21" s="37">
        <f t="shared" si="0"/>
        <v>16</v>
      </c>
      <c r="B21" s="57" t="s">
        <v>39</v>
      </c>
      <c r="C21" s="320" t="s">
        <v>783</v>
      </c>
      <c r="D21" s="457"/>
      <c r="E21" s="17"/>
      <c r="F21" s="56"/>
      <c r="G21" s="303"/>
      <c r="H21" s="54"/>
      <c r="I21" s="54"/>
      <c r="J21" s="54"/>
      <c r="K21" s="54"/>
      <c r="L21" s="53"/>
    </row>
    <row r="22" spans="1:13" x14ac:dyDescent="0.2">
      <c r="A22" s="37">
        <f t="shared" si="0"/>
        <v>17</v>
      </c>
      <c r="B22" s="57" t="s">
        <v>1269</v>
      </c>
      <c r="C22" s="320" t="s">
        <v>1220</v>
      </c>
      <c r="D22" s="457"/>
      <c r="E22" s="17"/>
      <c r="F22" s="56"/>
      <c r="G22" s="303"/>
      <c r="H22" s="54"/>
      <c r="I22" s="54"/>
      <c r="J22" s="54"/>
      <c r="K22" s="54"/>
      <c r="L22" s="53"/>
      <c r="M22" s="4"/>
    </row>
    <row r="23" spans="1:13" x14ac:dyDescent="0.2">
      <c r="A23" s="37">
        <f t="shared" si="0"/>
        <v>18</v>
      </c>
      <c r="B23" s="57" t="s">
        <v>36</v>
      </c>
      <c r="C23" s="320" t="s">
        <v>937</v>
      </c>
      <c r="D23" s="457"/>
      <c r="E23" s="17"/>
      <c r="F23" s="56"/>
      <c r="G23" s="303"/>
      <c r="H23" s="54"/>
      <c r="I23" s="54"/>
      <c r="J23" s="54"/>
      <c r="K23" s="54"/>
      <c r="L23" s="53"/>
      <c r="M23" s="4"/>
    </row>
    <row r="24" spans="1:13" x14ac:dyDescent="0.2">
      <c r="A24" s="37">
        <f t="shared" si="0"/>
        <v>19</v>
      </c>
      <c r="B24" s="57" t="s">
        <v>35</v>
      </c>
      <c r="C24" s="320" t="s">
        <v>938</v>
      </c>
      <c r="D24" s="457"/>
      <c r="E24" s="17"/>
      <c r="F24" s="56"/>
      <c r="G24" s="303"/>
      <c r="H24" s="54"/>
      <c r="I24" s="54"/>
      <c r="J24" s="54"/>
      <c r="K24" s="54"/>
      <c r="L24" s="53"/>
    </row>
    <row r="25" spans="1:13" x14ac:dyDescent="0.2">
      <c r="A25" s="37">
        <f t="shared" si="0"/>
        <v>20</v>
      </c>
      <c r="B25" s="57" t="s">
        <v>34</v>
      </c>
      <c r="C25" s="320" t="s">
        <v>939</v>
      </c>
      <c r="D25" s="457"/>
      <c r="E25" s="17"/>
      <c r="F25" s="56"/>
      <c r="G25" s="303"/>
      <c r="H25" s="54"/>
      <c r="I25" s="54"/>
      <c r="J25" s="54"/>
      <c r="K25" s="54"/>
      <c r="L25" s="53"/>
      <c r="M25" s="4"/>
    </row>
    <row r="26" spans="1:13" x14ac:dyDescent="0.2">
      <c r="A26" s="37">
        <f t="shared" si="0"/>
        <v>21</v>
      </c>
      <c r="B26" s="57" t="s">
        <v>33</v>
      </c>
      <c r="C26" s="320" t="s">
        <v>1264</v>
      </c>
      <c r="D26" s="457"/>
      <c r="E26" s="17"/>
      <c r="F26" s="56"/>
      <c r="G26" s="303"/>
      <c r="H26" s="54"/>
      <c r="I26" s="54"/>
      <c r="J26" s="54"/>
      <c r="K26" s="54"/>
      <c r="L26" s="53"/>
      <c r="M26" s="4"/>
    </row>
    <row r="27" spans="1:13" x14ac:dyDescent="0.2">
      <c r="A27" s="37">
        <f t="shared" si="0"/>
        <v>22</v>
      </c>
      <c r="B27" s="57" t="s">
        <v>1288</v>
      </c>
      <c r="C27" s="320" t="s">
        <v>1525</v>
      </c>
      <c r="D27" s="457"/>
      <c r="E27" s="17"/>
      <c r="F27" s="56"/>
      <c r="G27" s="303"/>
      <c r="H27" s="54"/>
      <c r="I27" s="54"/>
      <c r="J27" s="54"/>
      <c r="K27" s="54"/>
      <c r="L27" s="53"/>
      <c r="M27" s="4"/>
    </row>
    <row r="28" spans="1:13" s="31" customFormat="1" x14ac:dyDescent="0.2">
      <c r="A28" s="695">
        <f>A27+1</f>
        <v>23</v>
      </c>
      <c r="B28" s="41" t="s">
        <v>41</v>
      </c>
      <c r="C28" s="316" t="s">
        <v>1527</v>
      </c>
      <c r="D28" s="46"/>
      <c r="E28" s="51"/>
      <c r="F28" s="50"/>
      <c r="G28" s="301"/>
      <c r="H28" s="49"/>
      <c r="I28" s="49"/>
      <c r="J28" s="49"/>
      <c r="K28" s="49"/>
      <c r="L28" s="76"/>
      <c r="M28" s="59"/>
    </row>
    <row r="29" spans="1:13" x14ac:dyDescent="0.2">
      <c r="A29" s="37">
        <f t="shared" si="0"/>
        <v>24</v>
      </c>
      <c r="B29" s="57" t="s">
        <v>40</v>
      </c>
      <c r="C29" s="320" t="s">
        <v>929</v>
      </c>
      <c r="D29" s="457"/>
      <c r="E29" s="17"/>
      <c r="F29" s="56"/>
      <c r="G29" s="303"/>
      <c r="H29" s="54"/>
      <c r="I29" s="54"/>
      <c r="J29" s="54"/>
      <c r="K29" s="54"/>
      <c r="L29" s="55"/>
      <c r="M29" s="58"/>
    </row>
    <row r="30" spans="1:13" x14ac:dyDescent="0.2">
      <c r="A30" s="37">
        <f t="shared" si="0"/>
        <v>25</v>
      </c>
      <c r="B30" s="57" t="s">
        <v>39</v>
      </c>
      <c r="C30" s="320" t="s">
        <v>853</v>
      </c>
      <c r="D30" s="457"/>
      <c r="E30" s="17"/>
      <c r="F30" s="56"/>
      <c r="G30" s="303"/>
      <c r="H30" s="54"/>
      <c r="I30" s="54"/>
      <c r="J30" s="54"/>
      <c r="K30" s="54"/>
      <c r="L30" s="55"/>
      <c r="M30" s="58"/>
    </row>
    <row r="31" spans="1:13" x14ac:dyDescent="0.2">
      <c r="A31" s="37">
        <f t="shared" si="0"/>
        <v>26</v>
      </c>
      <c r="B31" s="57" t="s">
        <v>38</v>
      </c>
      <c r="C31" s="320" t="s">
        <v>1221</v>
      </c>
      <c r="D31" s="457"/>
      <c r="E31" s="17"/>
      <c r="F31" s="56"/>
      <c r="G31" s="303"/>
      <c r="H31" s="54"/>
      <c r="I31" s="54"/>
      <c r="J31" s="54"/>
      <c r="K31" s="54"/>
      <c r="L31" s="55"/>
      <c r="M31" s="58"/>
    </row>
    <row r="32" spans="1:13" x14ac:dyDescent="0.2">
      <c r="A32" s="37">
        <f t="shared" si="0"/>
        <v>27</v>
      </c>
      <c r="B32" s="57" t="s">
        <v>1268</v>
      </c>
      <c r="C32" s="320" t="s">
        <v>930</v>
      </c>
      <c r="D32" s="457"/>
      <c r="E32" s="17"/>
      <c r="F32" s="56"/>
      <c r="G32" s="303"/>
      <c r="H32" s="54"/>
      <c r="I32" s="54"/>
      <c r="J32" s="54"/>
      <c r="K32" s="54"/>
      <c r="L32" s="55"/>
      <c r="M32" s="58"/>
    </row>
    <row r="33" spans="1:13" x14ac:dyDescent="0.2">
      <c r="A33" s="37">
        <f t="shared" si="0"/>
        <v>28</v>
      </c>
      <c r="B33" s="57" t="s">
        <v>36</v>
      </c>
      <c r="C33" s="320" t="s">
        <v>931</v>
      </c>
      <c r="D33" s="457"/>
      <c r="E33" s="17"/>
      <c r="F33" s="56"/>
      <c r="G33" s="303"/>
      <c r="H33" s="54"/>
      <c r="I33" s="54"/>
      <c r="J33" s="54"/>
      <c r="K33" s="54"/>
      <c r="L33" s="55"/>
      <c r="M33" s="58"/>
    </row>
    <row r="34" spans="1:13" x14ac:dyDescent="0.2">
      <c r="A34" s="37">
        <f t="shared" si="0"/>
        <v>29</v>
      </c>
      <c r="B34" s="57" t="s">
        <v>35</v>
      </c>
      <c r="C34" s="320" t="s">
        <v>1529</v>
      </c>
      <c r="D34" s="457"/>
      <c r="E34" s="17"/>
      <c r="F34" s="56"/>
      <c r="G34" s="303"/>
      <c r="H34" s="54"/>
      <c r="I34" s="54"/>
      <c r="J34" s="54"/>
      <c r="K34" s="54"/>
      <c r="L34" s="55"/>
      <c r="M34" s="58"/>
    </row>
    <row r="35" spans="1:13" x14ac:dyDescent="0.2">
      <c r="A35" s="37">
        <f t="shared" si="0"/>
        <v>30</v>
      </c>
      <c r="B35" s="57" t="s">
        <v>34</v>
      </c>
      <c r="C35" s="320" t="s">
        <v>932</v>
      </c>
      <c r="D35" s="457"/>
      <c r="E35" s="17"/>
      <c r="F35" s="56"/>
      <c r="G35" s="303"/>
      <c r="H35" s="54"/>
      <c r="I35" s="54"/>
      <c r="J35" s="54"/>
      <c r="K35" s="54"/>
      <c r="L35" s="55"/>
      <c r="M35" s="58"/>
    </row>
    <row r="36" spans="1:13" x14ac:dyDescent="0.2">
      <c r="A36" s="37">
        <f>A35+1</f>
        <v>31</v>
      </c>
      <c r="B36" s="57" t="s">
        <v>33</v>
      </c>
      <c r="C36" s="320" t="s">
        <v>933</v>
      </c>
      <c r="D36" s="457"/>
      <c r="E36" s="17"/>
      <c r="F36" s="56"/>
      <c r="G36" s="303"/>
      <c r="H36" s="54"/>
      <c r="I36" s="54"/>
      <c r="J36" s="54"/>
      <c r="K36" s="54"/>
      <c r="L36" s="55"/>
      <c r="M36" s="58"/>
    </row>
    <row r="37" spans="1:13" x14ac:dyDescent="0.2">
      <c r="A37" s="37">
        <f>A36+1</f>
        <v>32</v>
      </c>
      <c r="B37" s="57" t="s">
        <v>1262</v>
      </c>
      <c r="C37" s="320" t="s">
        <v>1530</v>
      </c>
      <c r="D37" s="457"/>
      <c r="E37" s="17"/>
      <c r="F37" s="56"/>
      <c r="G37" s="303"/>
      <c r="H37" s="54"/>
      <c r="I37" s="54"/>
      <c r="J37" s="54"/>
      <c r="K37" s="54"/>
      <c r="L37" s="55"/>
      <c r="M37" s="58"/>
    </row>
    <row r="38" spans="1:13" x14ac:dyDescent="0.2">
      <c r="A38" s="37">
        <f t="shared" ref="A38:A39" si="1">A37+1</f>
        <v>33</v>
      </c>
      <c r="B38" s="57" t="s">
        <v>1260</v>
      </c>
      <c r="C38" s="320" t="s">
        <v>1531</v>
      </c>
      <c r="D38" s="457"/>
      <c r="E38" s="17"/>
      <c r="F38" s="56"/>
      <c r="G38" s="303"/>
      <c r="H38" s="54"/>
      <c r="I38" s="54"/>
      <c r="J38" s="54"/>
      <c r="K38" s="54"/>
      <c r="L38" s="55"/>
      <c r="M38" s="58"/>
    </row>
    <row r="39" spans="1:13" x14ac:dyDescent="0.2">
      <c r="A39" s="37">
        <f t="shared" si="1"/>
        <v>34</v>
      </c>
      <c r="B39" s="57" t="s">
        <v>1261</v>
      </c>
      <c r="C39" s="320" t="s">
        <v>1532</v>
      </c>
      <c r="D39" s="457"/>
      <c r="E39" s="17"/>
      <c r="F39" s="56"/>
      <c r="G39" s="303"/>
      <c r="H39" s="54"/>
      <c r="I39" s="54"/>
      <c r="J39" s="54"/>
      <c r="K39" s="54"/>
      <c r="L39" s="55"/>
      <c r="M39" s="58"/>
    </row>
    <row r="40" spans="1:13" s="31" customFormat="1" x14ac:dyDescent="0.2">
      <c r="A40" s="695">
        <f>A39+1</f>
        <v>35</v>
      </c>
      <c r="B40" s="41" t="s">
        <v>699</v>
      </c>
      <c r="C40" s="316" t="s">
        <v>1528</v>
      </c>
      <c r="D40" s="46"/>
      <c r="E40" s="51"/>
      <c r="F40" s="50"/>
      <c r="G40" s="301"/>
      <c r="H40" s="49"/>
      <c r="I40" s="49"/>
      <c r="J40" s="49"/>
      <c r="K40" s="49"/>
      <c r="L40" s="48"/>
      <c r="M40" s="65"/>
    </row>
    <row r="41" spans="1:13" s="31" customFormat="1" x14ac:dyDescent="0.2">
      <c r="A41" s="37">
        <f t="shared" ref="A41:A60" si="2">A40+1</f>
        <v>36</v>
      </c>
      <c r="B41" s="57" t="s">
        <v>32</v>
      </c>
      <c r="C41" s="320" t="s">
        <v>940</v>
      </c>
      <c r="D41" s="73"/>
      <c r="E41" s="75"/>
      <c r="F41" s="72"/>
      <c r="G41" s="304"/>
      <c r="H41" s="43"/>
      <c r="I41" s="43"/>
      <c r="J41" s="43"/>
      <c r="K41" s="43"/>
      <c r="L41" s="42"/>
      <c r="M41" s="65"/>
    </row>
    <row r="42" spans="1:13" s="31" customFormat="1" x14ac:dyDescent="0.2">
      <c r="A42" s="37">
        <f t="shared" si="2"/>
        <v>37</v>
      </c>
      <c r="B42" s="57" t="s">
        <v>31</v>
      </c>
      <c r="C42" s="320" t="s">
        <v>904</v>
      </c>
      <c r="D42" s="73"/>
      <c r="E42" s="75"/>
      <c r="F42" s="72"/>
      <c r="G42" s="304"/>
      <c r="H42" s="43"/>
      <c r="I42" s="43"/>
      <c r="J42" s="43"/>
      <c r="K42" s="43"/>
      <c r="L42" s="42"/>
      <c r="M42" s="65"/>
    </row>
    <row r="43" spans="1:13" s="31" customFormat="1" x14ac:dyDescent="0.2">
      <c r="A43" s="37">
        <f t="shared" si="2"/>
        <v>38</v>
      </c>
      <c r="B43" s="57" t="s">
        <v>30</v>
      </c>
      <c r="C43" s="320" t="s">
        <v>905</v>
      </c>
      <c r="D43" s="73"/>
      <c r="E43" s="75"/>
      <c r="F43" s="72"/>
      <c r="G43" s="304"/>
      <c r="H43" s="43"/>
      <c r="I43" s="43"/>
      <c r="J43" s="43"/>
      <c r="K43" s="43"/>
      <c r="L43" s="42"/>
      <c r="M43" s="65"/>
    </row>
    <row r="44" spans="1:13" s="31" customFormat="1" x14ac:dyDescent="0.2">
      <c r="A44" s="37">
        <f>A43+1</f>
        <v>39</v>
      </c>
      <c r="B44" s="57" t="s">
        <v>1295</v>
      </c>
      <c r="C44" s="320" t="s">
        <v>1297</v>
      </c>
      <c r="D44" s="73"/>
      <c r="E44" s="75"/>
      <c r="F44" s="72"/>
      <c r="G44" s="304"/>
      <c r="H44" s="43"/>
      <c r="I44" s="43"/>
      <c r="J44" s="43"/>
      <c r="K44" s="43"/>
      <c r="L44" s="42"/>
      <c r="M44" s="65"/>
    </row>
    <row r="45" spans="1:13" s="31" customFormat="1" x14ac:dyDescent="0.2">
      <c r="A45" s="37">
        <f>A44+1</f>
        <v>40</v>
      </c>
      <c r="B45" s="57" t="s">
        <v>29</v>
      </c>
      <c r="C45" s="320" t="s">
        <v>1534</v>
      </c>
      <c r="D45" s="73"/>
      <c r="E45" s="75"/>
      <c r="F45" s="72"/>
      <c r="G45" s="304"/>
      <c r="H45" s="43"/>
      <c r="I45" s="43"/>
      <c r="J45" s="43"/>
      <c r="K45" s="43"/>
      <c r="L45" s="42"/>
      <c r="M45" s="65"/>
    </row>
    <row r="46" spans="1:13" s="31" customFormat="1" x14ac:dyDescent="0.2">
      <c r="A46" s="37">
        <f t="shared" si="2"/>
        <v>41</v>
      </c>
      <c r="B46" s="57" t="s">
        <v>1283</v>
      </c>
      <c r="C46" s="320" t="s">
        <v>1535</v>
      </c>
      <c r="D46" s="73"/>
      <c r="E46" s="75"/>
      <c r="F46" s="72"/>
      <c r="G46" s="304"/>
      <c r="H46" s="43"/>
      <c r="I46" s="43"/>
      <c r="J46" s="43"/>
      <c r="K46" s="43"/>
      <c r="L46" s="42"/>
      <c r="M46" s="65"/>
    </row>
    <row r="47" spans="1:13" s="31" customFormat="1" x14ac:dyDescent="0.2">
      <c r="A47" s="695">
        <f t="shared" si="2"/>
        <v>42</v>
      </c>
      <c r="B47" s="41" t="s">
        <v>1233</v>
      </c>
      <c r="C47" s="316" t="s">
        <v>1533</v>
      </c>
      <c r="D47" s="46"/>
      <c r="E47" s="51"/>
      <c r="F47" s="50"/>
      <c r="G47" s="301"/>
      <c r="H47" s="49"/>
      <c r="I47" s="49"/>
      <c r="J47" s="49"/>
      <c r="K47" s="49"/>
      <c r="L47" s="48"/>
      <c r="M47" s="65"/>
    </row>
    <row r="48" spans="1:13" s="31" customFormat="1" x14ac:dyDescent="0.2">
      <c r="A48" s="395">
        <f t="shared" si="2"/>
        <v>43</v>
      </c>
      <c r="B48" s="445" t="s">
        <v>28</v>
      </c>
      <c r="C48" s="316" t="s">
        <v>1536</v>
      </c>
      <c r="D48" s="46"/>
      <c r="E48" s="51"/>
      <c r="F48" s="50"/>
      <c r="G48" s="301"/>
      <c r="H48" s="49"/>
      <c r="I48" s="49"/>
      <c r="J48" s="49"/>
      <c r="K48" s="49"/>
      <c r="L48" s="48"/>
      <c r="M48" s="65"/>
    </row>
    <row r="49" spans="1:16" s="31" customFormat="1" ht="12" thickBot="1" x14ac:dyDescent="0.25">
      <c r="A49" s="394">
        <f t="shared" si="2"/>
        <v>44</v>
      </c>
      <c r="B49" s="79" t="s">
        <v>27</v>
      </c>
      <c r="C49" s="323" t="s">
        <v>1537</v>
      </c>
      <c r="D49" s="70"/>
      <c r="E49" s="318"/>
      <c r="F49" s="68"/>
      <c r="G49" s="305"/>
      <c r="H49" s="67"/>
      <c r="I49" s="67"/>
      <c r="J49" s="67"/>
      <c r="K49" s="67"/>
      <c r="L49" s="66"/>
      <c r="M49" s="65"/>
    </row>
    <row r="50" spans="1:16" s="31" customFormat="1" ht="12" thickTop="1" x14ac:dyDescent="0.2">
      <c r="A50" s="470">
        <f t="shared" si="2"/>
        <v>45</v>
      </c>
      <c r="B50" s="64" t="s">
        <v>26</v>
      </c>
      <c r="C50" s="471" t="s">
        <v>1538</v>
      </c>
      <c r="D50" s="573"/>
      <c r="E50" s="472"/>
      <c r="F50" s="473"/>
      <c r="G50" s="475"/>
      <c r="H50" s="474"/>
      <c r="I50" s="474"/>
      <c r="J50" s="474"/>
      <c r="K50" s="474"/>
      <c r="L50" s="476"/>
      <c r="M50" s="65"/>
    </row>
    <row r="51" spans="1:16" s="31" customFormat="1" x14ac:dyDescent="0.2">
      <c r="A51" s="37">
        <f t="shared" si="2"/>
        <v>46</v>
      </c>
      <c r="B51" s="57" t="s">
        <v>1284</v>
      </c>
      <c r="C51" s="320" t="s">
        <v>1539</v>
      </c>
      <c r="D51" s="574"/>
      <c r="E51" s="63"/>
      <c r="F51" s="61"/>
      <c r="G51" s="304"/>
      <c r="H51" s="43"/>
      <c r="I51" s="43"/>
      <c r="J51" s="43"/>
      <c r="K51" s="43"/>
      <c r="L51" s="42"/>
      <c r="M51" s="65"/>
    </row>
    <row r="52" spans="1:16" x14ac:dyDescent="0.2">
      <c r="A52" s="37">
        <f t="shared" si="2"/>
        <v>47</v>
      </c>
      <c r="B52" s="57" t="s">
        <v>1516</v>
      </c>
      <c r="C52" s="320" t="s">
        <v>1518</v>
      </c>
      <c r="D52" s="457"/>
      <c r="E52" s="17"/>
      <c r="F52" s="56"/>
      <c r="G52" s="303"/>
      <c r="H52" s="54"/>
      <c r="I52" s="54"/>
      <c r="J52" s="54"/>
      <c r="K52" s="54"/>
      <c r="L52" s="55"/>
      <c r="M52" s="58"/>
    </row>
    <row r="53" spans="1:16" x14ac:dyDescent="0.2">
      <c r="A53" s="37">
        <f t="shared" si="2"/>
        <v>48</v>
      </c>
      <c r="B53" s="57" t="s">
        <v>1515</v>
      </c>
      <c r="C53" s="320" t="s">
        <v>1517</v>
      </c>
      <c r="D53" s="457"/>
      <c r="E53" s="17"/>
      <c r="F53" s="56"/>
      <c r="G53" s="303"/>
      <c r="H53" s="54"/>
      <c r="I53" s="54"/>
      <c r="J53" s="54"/>
      <c r="K53" s="54"/>
      <c r="L53" s="53"/>
      <c r="M53" s="58"/>
    </row>
    <row r="54" spans="1:16" x14ac:dyDescent="0.2">
      <c r="A54" s="37">
        <f t="shared" si="2"/>
        <v>49</v>
      </c>
      <c r="B54" s="57" t="s">
        <v>25</v>
      </c>
      <c r="C54" s="320" t="s">
        <v>1540</v>
      </c>
      <c r="D54" s="457"/>
      <c r="E54" s="17"/>
      <c r="F54" s="56"/>
      <c r="G54" s="303"/>
      <c r="H54" s="54"/>
      <c r="I54" s="54"/>
      <c r="J54" s="54"/>
      <c r="K54" s="54"/>
      <c r="L54" s="53"/>
    </row>
    <row r="55" spans="1:16" x14ac:dyDescent="0.2">
      <c r="A55" s="37">
        <f t="shared" si="2"/>
        <v>50</v>
      </c>
      <c r="B55" s="441" t="s">
        <v>23</v>
      </c>
      <c r="C55" s="320" t="s">
        <v>1826</v>
      </c>
      <c r="D55" s="457"/>
      <c r="E55" s="17"/>
      <c r="F55" s="56"/>
      <c r="G55" s="303"/>
      <c r="H55" s="54"/>
      <c r="I55" s="54"/>
      <c r="J55" s="54"/>
      <c r="K55" s="54"/>
      <c r="L55" s="53"/>
    </row>
    <row r="56" spans="1:16" s="31" customFormat="1" x14ac:dyDescent="0.2">
      <c r="A56" s="695">
        <f t="shared" si="2"/>
        <v>51</v>
      </c>
      <c r="B56" s="52" t="s">
        <v>22</v>
      </c>
      <c r="C56" s="316" t="s">
        <v>1541</v>
      </c>
      <c r="D56" s="46"/>
      <c r="E56" s="51"/>
      <c r="F56" s="50"/>
      <c r="G56" s="301"/>
      <c r="H56" s="49"/>
      <c r="I56" s="49"/>
      <c r="J56" s="49"/>
      <c r="K56" s="49"/>
      <c r="L56" s="48"/>
    </row>
    <row r="57" spans="1:16" s="31" customFormat="1" x14ac:dyDescent="0.2">
      <c r="A57" s="695">
        <f t="shared" si="2"/>
        <v>52</v>
      </c>
      <c r="B57" s="41" t="s">
        <v>21</v>
      </c>
      <c r="C57" s="316" t="s">
        <v>1542</v>
      </c>
      <c r="D57" s="46"/>
      <c r="E57" s="51"/>
      <c r="F57" s="44"/>
      <c r="G57" s="304"/>
      <c r="H57" s="43"/>
      <c r="I57" s="43"/>
      <c r="J57" s="43"/>
      <c r="K57" s="43"/>
      <c r="L57" s="42"/>
    </row>
    <row r="58" spans="1:16" x14ac:dyDescent="0.2">
      <c r="A58" s="695">
        <f t="shared" si="2"/>
        <v>53</v>
      </c>
      <c r="B58" s="41" t="s">
        <v>20</v>
      </c>
      <c r="C58" s="320" t="s">
        <v>941</v>
      </c>
      <c r="D58" s="457"/>
      <c r="E58" s="17"/>
      <c r="F58" s="40"/>
      <c r="G58" s="306"/>
      <c r="H58" s="39"/>
      <c r="I58" s="39"/>
      <c r="J58" s="39"/>
      <c r="K58" s="39"/>
      <c r="L58" s="38"/>
    </row>
    <row r="59" spans="1:16" s="31" customFormat="1" ht="12" thickBot="1" x14ac:dyDescent="0.25">
      <c r="A59" s="394">
        <f t="shared" si="2"/>
        <v>54</v>
      </c>
      <c r="B59" s="36" t="s">
        <v>945</v>
      </c>
      <c r="C59" s="321" t="s">
        <v>1296</v>
      </c>
      <c r="D59" s="317"/>
      <c r="E59" s="35"/>
      <c r="F59" s="34"/>
      <c r="G59" s="302"/>
      <c r="H59" s="34"/>
      <c r="I59" s="34"/>
      <c r="J59" s="34"/>
      <c r="K59" s="34"/>
      <c r="L59" s="33"/>
      <c r="N59" s="32"/>
      <c r="O59" s="32"/>
      <c r="P59" s="32"/>
    </row>
    <row r="60" spans="1:16" s="31" customFormat="1" ht="12" thickTop="1" x14ac:dyDescent="0.2">
      <c r="A60" s="37">
        <f t="shared" si="2"/>
        <v>55</v>
      </c>
      <c r="B60" s="5" t="s">
        <v>1399</v>
      </c>
      <c r="C60" s="320" t="s">
        <v>1398</v>
      </c>
      <c r="D60" s="575"/>
      <c r="E60" s="74"/>
      <c r="F60" s="45"/>
      <c r="G60" s="477"/>
      <c r="H60" s="43"/>
      <c r="I60" s="43"/>
      <c r="J60" s="43"/>
      <c r="K60" s="43"/>
      <c r="L60" s="42"/>
      <c r="N60" s="32"/>
      <c r="O60" s="32"/>
      <c r="P60" s="32"/>
    </row>
    <row r="61" spans="1:16" x14ac:dyDescent="0.2">
      <c r="A61" s="695"/>
      <c r="B61" s="52" t="s">
        <v>19</v>
      </c>
      <c r="C61" s="479"/>
      <c r="D61" s="46" t="s">
        <v>1408</v>
      </c>
      <c r="E61" s="51" t="s">
        <v>1409</v>
      </c>
      <c r="F61" s="30" t="s">
        <v>58</v>
      </c>
      <c r="G61" s="456" t="s">
        <v>60</v>
      </c>
      <c r="H61" s="51" t="s">
        <v>59</v>
      </c>
      <c r="I61" s="51" t="s">
        <v>58</v>
      </c>
      <c r="J61" s="51" t="s">
        <v>57</v>
      </c>
      <c r="K61" s="51" t="s">
        <v>56</v>
      </c>
      <c r="L61" s="478" t="s">
        <v>60</v>
      </c>
    </row>
    <row r="62" spans="1:16" x14ac:dyDescent="0.2">
      <c r="A62" s="37">
        <f>A61+1</f>
        <v>1</v>
      </c>
      <c r="B62" s="22" t="s">
        <v>13</v>
      </c>
      <c r="C62" s="324" t="s">
        <v>12</v>
      </c>
      <c r="D62" s="576"/>
      <c r="E62" s="28"/>
      <c r="F62" s="26"/>
      <c r="G62" s="577"/>
      <c r="H62" s="26"/>
      <c r="I62" s="26"/>
      <c r="J62" s="26"/>
      <c r="K62" s="26"/>
      <c r="L62" s="25"/>
    </row>
    <row r="63" spans="1:16" x14ac:dyDescent="0.2">
      <c r="A63" s="19">
        <f>A62+1</f>
        <v>2</v>
      </c>
      <c r="B63" s="24" t="s">
        <v>11</v>
      </c>
      <c r="C63" s="320" t="s">
        <v>10</v>
      </c>
      <c r="D63" s="457"/>
      <c r="E63" s="17"/>
      <c r="F63" s="12"/>
      <c r="G63" s="578"/>
      <c r="H63" s="12"/>
      <c r="I63" s="12"/>
      <c r="J63" s="12"/>
      <c r="K63" s="12"/>
      <c r="L63" s="15"/>
    </row>
    <row r="64" spans="1:16" x14ac:dyDescent="0.2">
      <c r="A64" s="19">
        <v>3</v>
      </c>
      <c r="B64" s="24" t="s">
        <v>9</v>
      </c>
      <c r="C64" s="320" t="s">
        <v>8</v>
      </c>
      <c r="D64" s="457"/>
      <c r="E64" s="17"/>
      <c r="F64" s="12"/>
      <c r="G64" s="578"/>
      <c r="H64" s="12"/>
      <c r="I64" s="12"/>
      <c r="J64" s="12"/>
      <c r="K64" s="12"/>
      <c r="L64" s="15"/>
    </row>
    <row r="65" spans="1:12" x14ac:dyDescent="0.2">
      <c r="A65" s="19">
        <v>4</v>
      </c>
      <c r="B65" s="18" t="s">
        <v>7</v>
      </c>
      <c r="C65" s="320" t="s">
        <v>942</v>
      </c>
      <c r="D65" s="457"/>
      <c r="E65" s="17"/>
      <c r="F65" s="12"/>
      <c r="G65" s="20"/>
      <c r="H65" s="12"/>
      <c r="I65" s="12"/>
      <c r="J65" s="12"/>
      <c r="K65" s="12"/>
      <c r="L65" s="15"/>
    </row>
    <row r="66" spans="1:12" x14ac:dyDescent="0.2">
      <c r="A66" s="19">
        <v>5</v>
      </c>
      <c r="B66" s="22" t="s">
        <v>6</v>
      </c>
      <c r="C66" s="320" t="s">
        <v>943</v>
      </c>
      <c r="D66" s="457"/>
      <c r="E66" s="17"/>
      <c r="F66" s="12"/>
      <c r="G66" s="20"/>
      <c r="H66" s="12"/>
      <c r="I66" s="12"/>
      <c r="J66" s="12"/>
      <c r="K66" s="12"/>
      <c r="L66" s="15"/>
    </row>
    <row r="67" spans="1:12" x14ac:dyDescent="0.2">
      <c r="A67" s="19">
        <v>6</v>
      </c>
      <c r="B67" s="22" t="s">
        <v>5</v>
      </c>
      <c r="C67" s="320" t="s">
        <v>944</v>
      </c>
      <c r="D67" s="457"/>
      <c r="E67" s="17"/>
      <c r="F67" s="12"/>
      <c r="G67" s="20"/>
      <c r="H67" s="12"/>
      <c r="I67" s="12"/>
      <c r="J67" s="12"/>
      <c r="K67" s="12"/>
      <c r="L67" s="15"/>
    </row>
    <row r="68" spans="1:12" x14ac:dyDescent="0.2">
      <c r="A68" s="19">
        <v>7</v>
      </c>
      <c r="B68" s="21" t="s">
        <v>4</v>
      </c>
      <c r="C68" s="320" t="s">
        <v>3</v>
      </c>
      <c r="D68" s="457"/>
      <c r="E68" s="17"/>
      <c r="F68" s="12"/>
      <c r="G68" s="20"/>
      <c r="H68" s="12"/>
      <c r="I68" s="12"/>
      <c r="J68" s="12"/>
      <c r="K68" s="12"/>
      <c r="L68" s="20"/>
    </row>
    <row r="69" spans="1:12" x14ac:dyDescent="0.2">
      <c r="A69" s="19">
        <v>8</v>
      </c>
      <c r="B69" s="21" t="s">
        <v>91</v>
      </c>
      <c r="C69" s="320" t="s">
        <v>1</v>
      </c>
      <c r="D69" s="457"/>
      <c r="E69" s="17"/>
      <c r="F69" s="12"/>
      <c r="G69" s="20"/>
      <c r="H69" s="12"/>
      <c r="I69" s="12"/>
      <c r="J69" s="12"/>
      <c r="K69" s="12"/>
      <c r="L69" s="20"/>
    </row>
    <row r="70" spans="1:12" x14ac:dyDescent="0.2">
      <c r="A70" s="14">
        <v>9</v>
      </c>
      <c r="B70" s="105" t="s">
        <v>0</v>
      </c>
      <c r="C70" s="325" t="s">
        <v>946</v>
      </c>
      <c r="D70" s="455"/>
      <c r="E70" s="13"/>
      <c r="F70" s="11"/>
      <c r="G70" s="10"/>
      <c r="H70" s="12"/>
      <c r="I70" s="11"/>
      <c r="J70" s="11"/>
      <c r="K70" s="11"/>
      <c r="L70" s="10"/>
    </row>
    <row r="71" spans="1:12" x14ac:dyDescent="0.2">
      <c r="F71" s="8"/>
      <c r="G71" s="8"/>
      <c r="H71" s="26"/>
      <c r="I71" s="8"/>
      <c r="J71" s="8"/>
      <c r="K71" s="8"/>
      <c r="L71" s="7"/>
    </row>
  </sheetData>
  <mergeCells count="12">
    <mergeCell ref="A4:B4"/>
    <mergeCell ref="D4:G4"/>
    <mergeCell ref="H4:L4"/>
    <mergeCell ref="A5:B5"/>
    <mergeCell ref="D1:G1"/>
    <mergeCell ref="H1:L1"/>
    <mergeCell ref="A2:B2"/>
    <mergeCell ref="D2:G2"/>
    <mergeCell ref="H2:L2"/>
    <mergeCell ref="A3:B3"/>
    <mergeCell ref="D3:G3"/>
    <mergeCell ref="H3:L3"/>
  </mergeCells>
  <printOptions horizontalCentered="1" gridLines="1"/>
  <pageMargins left="0.39370078740157483" right="3.937007874015748E-2" top="0.6889763779527559" bottom="0.23622047244094491" header="0.51181102362204722" footer="0"/>
  <pageSetup paperSize="9" scale="9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
  <sheetViews>
    <sheetView view="pageBreakPreview" topLeftCell="A16" zoomScale="110" zoomScaleNormal="110" zoomScaleSheetLayoutView="110" workbookViewId="0">
      <selection activeCell="C14" sqref="C14"/>
    </sheetView>
  </sheetViews>
  <sheetFormatPr defaultRowHeight="11.25" x14ac:dyDescent="0.2"/>
  <cols>
    <col min="1" max="1" width="2.42578125" style="6" customWidth="1"/>
    <col min="2" max="2" width="24.28515625" style="4" customWidth="1"/>
    <col min="3" max="3" width="53.85546875" style="4" customWidth="1"/>
    <col min="4" max="5" width="7.28515625" style="4" customWidth="1"/>
    <col min="6" max="7" width="7.28515625" style="1" customWidth="1"/>
    <col min="8" max="8" width="6.28515625" style="1" bestFit="1" customWidth="1"/>
    <col min="9" max="11" width="7.28515625" style="1" customWidth="1"/>
    <col min="12" max="12" width="7.85546875" style="2" customWidth="1"/>
    <col min="13" max="13" width="9.140625" style="1"/>
    <col min="14" max="14" width="9.28515625" style="1" bestFit="1" customWidth="1"/>
    <col min="15" max="15" width="9.140625" style="1"/>
    <col min="16" max="16" width="9.85546875" style="1" bestFit="1" customWidth="1"/>
    <col min="17" max="16384" width="9.140625" style="1"/>
  </cols>
  <sheetData>
    <row r="1" spans="1:12" ht="12.75" customHeight="1" x14ac:dyDescent="0.2">
      <c r="A1" s="443" t="s">
        <v>66</v>
      </c>
      <c r="B1" s="82"/>
      <c r="C1" s="82"/>
      <c r="D1" s="854" t="str">
        <f>'F21'!D1:G1</f>
        <v>AS OF: 11-Oct-2017</v>
      </c>
      <c r="E1" s="855"/>
      <c r="F1" s="855"/>
      <c r="G1" s="856"/>
      <c r="H1" s="857" t="str">
        <f>'F21'!H1:L1</f>
        <v>FOR THE MONTH OF:   Sep -17</v>
      </c>
      <c r="I1" s="857"/>
      <c r="J1" s="857"/>
      <c r="K1" s="857"/>
      <c r="L1" s="858"/>
    </row>
    <row r="2" spans="1:12" ht="12.75" customHeight="1" x14ac:dyDescent="0.2">
      <c r="A2" s="859" t="s">
        <v>1405</v>
      </c>
      <c r="B2" s="860"/>
      <c r="C2" s="697"/>
      <c r="D2" s="861" t="s">
        <v>93</v>
      </c>
      <c r="E2" s="862"/>
      <c r="F2" s="862"/>
      <c r="G2" s="863"/>
      <c r="H2" s="862" t="s">
        <v>63</v>
      </c>
      <c r="I2" s="862"/>
      <c r="J2" s="862"/>
      <c r="K2" s="862"/>
      <c r="L2" s="863"/>
    </row>
    <row r="3" spans="1:12" ht="12.75" customHeight="1" x14ac:dyDescent="0.2">
      <c r="A3" s="864" t="s">
        <v>1475</v>
      </c>
      <c r="B3" s="865"/>
      <c r="C3" s="698"/>
      <c r="D3" s="866" t="s">
        <v>62</v>
      </c>
      <c r="E3" s="867"/>
      <c r="F3" s="867"/>
      <c r="G3" s="868"/>
      <c r="H3" s="869" t="s">
        <v>61</v>
      </c>
      <c r="I3" s="869"/>
      <c r="J3" s="869"/>
      <c r="K3" s="869"/>
      <c r="L3" s="870"/>
    </row>
    <row r="4" spans="1:12" ht="12.75" customHeight="1" x14ac:dyDescent="0.2">
      <c r="A4" s="846"/>
      <c r="B4" s="846"/>
      <c r="C4" s="707"/>
      <c r="D4" s="847" t="s">
        <v>85</v>
      </c>
      <c r="E4" s="848"/>
      <c r="F4" s="848"/>
      <c r="G4" s="849"/>
      <c r="H4" s="850" t="s">
        <v>86</v>
      </c>
      <c r="I4" s="850"/>
      <c r="J4" s="850"/>
      <c r="K4" s="850"/>
      <c r="L4" s="851"/>
    </row>
    <row r="5" spans="1:12" x14ac:dyDescent="0.2">
      <c r="A5" s="852"/>
      <c r="B5" s="853"/>
      <c r="C5" s="708"/>
      <c r="D5" s="46" t="s">
        <v>1408</v>
      </c>
      <c r="E5" s="51" t="s">
        <v>1409</v>
      </c>
      <c r="F5" s="30" t="s">
        <v>58</v>
      </c>
      <c r="G5" s="456" t="s">
        <v>60</v>
      </c>
      <c r="H5" s="81" t="s">
        <v>59</v>
      </c>
      <c r="I5" s="81" t="s">
        <v>58</v>
      </c>
      <c r="J5" s="81" t="s">
        <v>57</v>
      </c>
      <c r="K5" s="81" t="s">
        <v>56</v>
      </c>
      <c r="L5" s="80" t="s">
        <v>60</v>
      </c>
    </row>
    <row r="6" spans="1:12" x14ac:dyDescent="0.2">
      <c r="A6" s="37">
        <v>1</v>
      </c>
      <c r="B6" s="440" t="str">
        <f>'F21'!B6</f>
        <v>External Sales</v>
      </c>
      <c r="C6" s="709" t="str">
        <f>'F21'!C6</f>
        <v>5001 to 5029, 5051 to 5099</v>
      </c>
      <c r="D6" s="457"/>
      <c r="E6" s="17"/>
      <c r="F6" s="56"/>
      <c r="G6" s="303"/>
      <c r="H6" s="54"/>
      <c r="I6" s="54"/>
      <c r="J6" s="54"/>
      <c r="K6" s="54"/>
      <c r="L6" s="53"/>
    </row>
    <row r="7" spans="1:12" x14ac:dyDescent="0.2">
      <c r="A7" s="37">
        <f t="shared" ref="A7:A60" si="0">A6+1</f>
        <v>2</v>
      </c>
      <c r="B7" s="441" t="str">
        <f>'F21'!B7</f>
        <v>Interco Sales</v>
      </c>
      <c r="C7" s="709" t="str">
        <f>'F21'!C7</f>
        <v>5031 to 5049</v>
      </c>
      <c r="D7" s="457"/>
      <c r="E7" s="17"/>
      <c r="F7" s="56"/>
      <c r="G7" s="303"/>
      <c r="H7" s="54"/>
      <c r="I7" s="54"/>
      <c r="J7" s="54"/>
      <c r="K7" s="54"/>
      <c r="L7" s="53"/>
    </row>
    <row r="8" spans="1:12" s="31" customFormat="1" x14ac:dyDescent="0.2">
      <c r="A8" s="552">
        <f t="shared" si="0"/>
        <v>3</v>
      </c>
      <c r="B8" s="41" t="str">
        <f>'F21'!B8</f>
        <v>Total Sales</v>
      </c>
      <c r="C8" s="710" t="str">
        <f>'F21'!C8</f>
        <v>=SUM(C6:C7)</v>
      </c>
      <c r="D8" s="46"/>
      <c r="E8" s="51"/>
      <c r="F8" s="49"/>
      <c r="G8" s="301"/>
      <c r="H8" s="49"/>
      <c r="I8" s="49"/>
      <c r="J8" s="49"/>
      <c r="K8" s="49"/>
      <c r="L8" s="48"/>
    </row>
    <row r="9" spans="1:12" x14ac:dyDescent="0.2">
      <c r="A9" s="37">
        <f t="shared" si="0"/>
        <v>4</v>
      </c>
      <c r="B9" s="57" t="str">
        <f>'F21'!B9</f>
        <v>Cost of External Sales</v>
      </c>
      <c r="C9" s="709" t="str">
        <f>'F21'!C9</f>
        <v>5101 to 5119, 5141 to 5499, 6000 to 6999</v>
      </c>
      <c r="D9" s="457"/>
      <c r="E9" s="17"/>
      <c r="F9" s="56"/>
      <c r="G9" s="303"/>
      <c r="H9" s="54"/>
      <c r="I9" s="54"/>
      <c r="J9" s="54"/>
      <c r="K9" s="54"/>
      <c r="L9" s="53"/>
    </row>
    <row r="10" spans="1:12" x14ac:dyDescent="0.2">
      <c r="A10" s="37">
        <f t="shared" si="0"/>
        <v>5</v>
      </c>
      <c r="B10" s="441" t="str">
        <f>'F21'!B10</f>
        <v>Cost of Interco Sales</v>
      </c>
      <c r="C10" s="709" t="str">
        <f>'F21'!C10</f>
        <v>5121 to 5139</v>
      </c>
      <c r="D10" s="457"/>
      <c r="E10" s="17"/>
      <c r="F10" s="56"/>
      <c r="G10" s="303"/>
      <c r="H10" s="54"/>
      <c r="I10" s="54"/>
      <c r="J10" s="54"/>
      <c r="K10" s="54"/>
      <c r="L10" s="53"/>
    </row>
    <row r="11" spans="1:12" s="31" customFormat="1" x14ac:dyDescent="0.2">
      <c r="A11" s="552">
        <f t="shared" si="0"/>
        <v>6</v>
      </c>
      <c r="B11" s="78" t="str">
        <f>'F21'!B11</f>
        <v>Total Cost of Sales</v>
      </c>
      <c r="C11" s="711" t="str">
        <f>'F21'!C11</f>
        <v>=SUM(C9:C10)</v>
      </c>
      <c r="D11" s="46"/>
      <c r="E11" s="51"/>
      <c r="F11" s="49"/>
      <c r="G11" s="301"/>
      <c r="H11" s="49"/>
      <c r="I11" s="49"/>
      <c r="J11" s="49"/>
      <c r="K11" s="49"/>
      <c r="L11" s="48"/>
    </row>
    <row r="12" spans="1:12" s="31" customFormat="1" ht="12" thickBot="1" x14ac:dyDescent="0.25">
      <c r="A12" s="394">
        <f t="shared" si="0"/>
        <v>7</v>
      </c>
      <c r="B12" s="79" t="str">
        <f>'F21'!B12</f>
        <v>Gross Profit</v>
      </c>
      <c r="C12" s="712" t="str">
        <f>'F21'!C12</f>
        <v>=C8+C11</v>
      </c>
      <c r="D12" s="317"/>
      <c r="E12" s="35"/>
      <c r="F12" s="34"/>
      <c r="G12" s="302"/>
      <c r="H12" s="34"/>
      <c r="I12" s="34"/>
      <c r="J12" s="34"/>
      <c r="K12" s="34"/>
      <c r="L12" s="33"/>
    </row>
    <row r="13" spans="1:12" ht="12" thickTop="1" x14ac:dyDescent="0.2">
      <c r="A13" s="37">
        <f t="shared" si="0"/>
        <v>8</v>
      </c>
      <c r="B13" s="57" t="str">
        <f>'F21'!B13</f>
        <v>Commission/Mgt Income</v>
      </c>
      <c r="C13" s="709" t="str">
        <f>'F21'!C13</f>
        <v>5501 to 5509</v>
      </c>
      <c r="D13" s="457"/>
      <c r="E13" s="17"/>
      <c r="F13" s="56"/>
      <c r="G13" s="303"/>
      <c r="H13" s="54"/>
      <c r="I13" s="54"/>
      <c r="J13" s="54"/>
      <c r="K13" s="54"/>
      <c r="L13" s="53"/>
    </row>
    <row r="14" spans="1:12" ht="11.25" customHeight="1" x14ac:dyDescent="0.2">
      <c r="A14" s="37">
        <f t="shared" si="0"/>
        <v>9</v>
      </c>
      <c r="B14" s="57" t="str">
        <f>'F21'!B14</f>
        <v>Gain/(Loss) Disposal of FA</v>
      </c>
      <c r="C14" s="709" t="str">
        <f>'F21'!C14</f>
        <v>9101</v>
      </c>
      <c r="D14" s="457"/>
      <c r="E14" s="17"/>
      <c r="F14" s="56"/>
      <c r="G14" s="303"/>
      <c r="H14" s="54"/>
      <c r="I14" s="54"/>
      <c r="J14" s="54"/>
      <c r="K14" s="54"/>
      <c r="L14" s="53"/>
    </row>
    <row r="15" spans="1:12" ht="11.25" customHeight="1" x14ac:dyDescent="0.2">
      <c r="A15" s="37">
        <f t="shared" si="0"/>
        <v>10</v>
      </c>
      <c r="B15" s="57" t="str">
        <f>'F21'!B15</f>
        <v>Other Op Income</v>
      </c>
      <c r="C15" s="709" t="str">
        <f>'F21'!C15</f>
        <v>5511 to 5599, 9001 to 9019, 9041Credit, 9102 to 9109Credit</v>
      </c>
      <c r="D15" s="457"/>
      <c r="E15" s="17"/>
      <c r="F15" s="56"/>
      <c r="G15" s="303"/>
      <c r="H15" s="54"/>
      <c r="I15" s="54"/>
      <c r="J15" s="54"/>
      <c r="K15" s="54"/>
      <c r="L15" s="53"/>
    </row>
    <row r="16" spans="1:12" ht="11.25" customHeight="1" x14ac:dyDescent="0.2">
      <c r="A16" s="37">
        <f t="shared" si="0"/>
        <v>11</v>
      </c>
      <c r="B16" s="441" t="str">
        <f>'F21'!B16</f>
        <v>Other Op Expense</v>
      </c>
      <c r="C16" s="709" t="str">
        <f>'F21'!C16</f>
        <v>5601 to 5999, 9041Debit, 9102 to 9109Debit, 9111 to 9115, 9117 to 9199</v>
      </c>
      <c r="D16" s="457"/>
      <c r="E16" s="17"/>
      <c r="F16" s="56"/>
      <c r="G16" s="303"/>
      <c r="H16" s="54"/>
      <c r="I16" s="54"/>
      <c r="J16" s="54"/>
      <c r="K16" s="54"/>
      <c r="L16" s="53"/>
    </row>
    <row r="17" spans="1:13" s="31" customFormat="1" ht="11.25" customHeight="1" x14ac:dyDescent="0.2">
      <c r="A17" s="552">
        <f t="shared" si="0"/>
        <v>12</v>
      </c>
      <c r="B17" s="78" t="str">
        <f>'F21'!B17</f>
        <v>Total Oth Op Income/ (Exp)</v>
      </c>
      <c r="C17" s="711" t="str">
        <f>'F21'!C17</f>
        <v>=SUM(C13:C16)</v>
      </c>
      <c r="D17" s="46"/>
      <c r="E17" s="51"/>
      <c r="F17" s="49"/>
      <c r="G17" s="301"/>
      <c r="H17" s="49"/>
      <c r="I17" s="49"/>
      <c r="J17" s="49"/>
      <c r="K17" s="49"/>
      <c r="L17" s="48"/>
      <c r="M17" s="77"/>
    </row>
    <row r="18" spans="1:13" x14ac:dyDescent="0.2">
      <c r="A18" s="37">
        <f t="shared" si="0"/>
        <v>13</v>
      </c>
      <c r="B18" s="57" t="str">
        <f>'F21'!B18</f>
        <v>Personnel Related Cost</v>
      </c>
      <c r="C18" s="709" t="str">
        <f>'F21'!C18</f>
        <v>7000 to 7099</v>
      </c>
      <c r="D18" s="457"/>
      <c r="E18" s="17"/>
      <c r="F18" s="56"/>
      <c r="G18" s="303"/>
      <c r="H18" s="54"/>
      <c r="I18" s="54"/>
      <c r="J18" s="54"/>
      <c r="K18" s="54"/>
      <c r="L18" s="53"/>
    </row>
    <row r="19" spans="1:13" x14ac:dyDescent="0.2">
      <c r="A19" s="37">
        <f t="shared" si="0"/>
        <v>14</v>
      </c>
      <c r="B19" s="57" t="str">
        <f>'F21'!B19</f>
        <v>Carriage/Transportation</v>
      </c>
      <c r="C19" s="709" t="str">
        <f>'F21'!C19</f>
        <v>7100 to 7199</v>
      </c>
      <c r="D19" s="457"/>
      <c r="E19" s="17"/>
      <c r="F19" s="56"/>
      <c r="G19" s="303"/>
      <c r="H19" s="54"/>
      <c r="I19" s="54"/>
      <c r="J19" s="54"/>
      <c r="K19" s="54"/>
      <c r="L19" s="53"/>
    </row>
    <row r="20" spans="1:13" x14ac:dyDescent="0.2">
      <c r="A20" s="37">
        <f t="shared" si="0"/>
        <v>15</v>
      </c>
      <c r="B20" s="57" t="str">
        <f>'F21'!B20</f>
        <v>Advertising/Promotion</v>
      </c>
      <c r="C20" s="709" t="str">
        <f>'F21'!C20</f>
        <v>7200 to 7299</v>
      </c>
      <c r="D20" s="457"/>
      <c r="E20" s="17"/>
      <c r="F20" s="56"/>
      <c r="G20" s="303"/>
      <c r="H20" s="54"/>
      <c r="I20" s="54"/>
      <c r="J20" s="54"/>
      <c r="K20" s="54"/>
      <c r="L20" s="53"/>
    </row>
    <row r="21" spans="1:13" x14ac:dyDescent="0.2">
      <c r="A21" s="37">
        <f t="shared" si="0"/>
        <v>16</v>
      </c>
      <c r="B21" s="57" t="str">
        <f>'F21'!B21</f>
        <v>Overseas Travelling</v>
      </c>
      <c r="C21" s="709" t="str">
        <f>'F21'!C21</f>
        <v>7301</v>
      </c>
      <c r="D21" s="457"/>
      <c r="E21" s="17"/>
      <c r="F21" s="56"/>
      <c r="G21" s="303"/>
      <c r="H21" s="54"/>
      <c r="I21" s="54"/>
      <c r="J21" s="54"/>
      <c r="K21" s="54"/>
      <c r="L21" s="53"/>
    </row>
    <row r="22" spans="1:13" x14ac:dyDescent="0.2">
      <c r="A22" s="37">
        <f t="shared" si="0"/>
        <v>17</v>
      </c>
      <c r="B22" s="57" t="str">
        <f>'F21'!B22</f>
        <v xml:space="preserve">Entertainment </v>
      </c>
      <c r="C22" s="709" t="str">
        <f>'F21'!C22</f>
        <v>7302 to 7399</v>
      </c>
      <c r="D22" s="457"/>
      <c r="E22" s="17"/>
      <c r="F22" s="56"/>
      <c r="G22" s="303"/>
      <c r="H22" s="54"/>
      <c r="I22" s="54"/>
      <c r="J22" s="54"/>
      <c r="K22" s="54"/>
      <c r="L22" s="53"/>
      <c r="M22" s="4"/>
    </row>
    <row r="23" spans="1:13" x14ac:dyDescent="0.2">
      <c r="A23" s="37">
        <f t="shared" si="0"/>
        <v>18</v>
      </c>
      <c r="B23" s="57" t="str">
        <f>'F21'!B23</f>
        <v>Equipment Expenses</v>
      </c>
      <c r="C23" s="709" t="str">
        <f>'F21'!C23</f>
        <v>7400 to 7499</v>
      </c>
      <c r="D23" s="457"/>
      <c r="E23" s="17"/>
      <c r="F23" s="56"/>
      <c r="G23" s="303"/>
      <c r="H23" s="54"/>
      <c r="I23" s="54"/>
      <c r="J23" s="54"/>
      <c r="K23" s="54"/>
      <c r="L23" s="53"/>
      <c r="M23" s="4"/>
    </row>
    <row r="24" spans="1:13" x14ac:dyDescent="0.2">
      <c r="A24" s="37">
        <f t="shared" si="0"/>
        <v>19</v>
      </c>
      <c r="B24" s="57" t="str">
        <f>'F21'!B24</f>
        <v>Rental/Property Related</v>
      </c>
      <c r="C24" s="709" t="str">
        <f>'F21'!C24</f>
        <v>7500 to 7599</v>
      </c>
      <c r="D24" s="457"/>
      <c r="E24" s="17"/>
      <c r="F24" s="56"/>
      <c r="G24" s="303"/>
      <c r="H24" s="54"/>
      <c r="I24" s="54"/>
      <c r="J24" s="54"/>
      <c r="K24" s="54"/>
      <c r="L24" s="53"/>
    </row>
    <row r="25" spans="1:13" x14ac:dyDescent="0.2">
      <c r="A25" s="37">
        <f t="shared" si="0"/>
        <v>20</v>
      </c>
      <c r="B25" s="57" t="str">
        <f>'F21'!B25</f>
        <v>Depn of Fixed Assets</v>
      </c>
      <c r="C25" s="709" t="str">
        <f>'F21'!C25</f>
        <v>7600 to 7699</v>
      </c>
      <c r="D25" s="457"/>
      <c r="E25" s="17"/>
      <c r="F25" s="56"/>
      <c r="G25" s="303"/>
      <c r="H25" s="54"/>
      <c r="I25" s="54"/>
      <c r="J25" s="54"/>
      <c r="K25" s="54"/>
      <c r="L25" s="53"/>
      <c r="M25" s="4"/>
    </row>
    <row r="26" spans="1:13" x14ac:dyDescent="0.2">
      <c r="A26" s="37">
        <f t="shared" si="0"/>
        <v>21</v>
      </c>
      <c r="B26" s="57" t="str">
        <f>'F21'!B26</f>
        <v>Stationery/Printing/Telephone</v>
      </c>
      <c r="C26" s="709" t="str">
        <f>'F21'!C26</f>
        <v>7701 to 7705</v>
      </c>
      <c r="D26" s="457"/>
      <c r="E26" s="17"/>
      <c r="F26" s="56"/>
      <c r="G26" s="303"/>
      <c r="H26" s="54"/>
      <c r="I26" s="54"/>
      <c r="J26" s="54"/>
      <c r="K26" s="54"/>
      <c r="L26" s="53"/>
      <c r="M26" s="4"/>
    </row>
    <row r="27" spans="1:13" x14ac:dyDescent="0.2">
      <c r="A27" s="37">
        <f t="shared" si="0"/>
        <v>22</v>
      </c>
      <c r="B27" s="57" t="str">
        <f>'F21'!B27</f>
        <v>HO/Interco and Other S&amp;D</v>
      </c>
      <c r="C27" s="709" t="str">
        <f>'F21'!C27</f>
        <v>7706 to 7999</v>
      </c>
      <c r="D27" s="457"/>
      <c r="E27" s="17"/>
      <c r="F27" s="56"/>
      <c r="G27" s="303"/>
      <c r="H27" s="54"/>
      <c r="I27" s="54"/>
      <c r="J27" s="54"/>
      <c r="K27" s="54"/>
      <c r="L27" s="53"/>
      <c r="M27" s="4"/>
    </row>
    <row r="28" spans="1:13" s="31" customFormat="1" x14ac:dyDescent="0.2">
      <c r="A28" s="552">
        <f t="shared" si="0"/>
        <v>23</v>
      </c>
      <c r="B28" s="41" t="str">
        <f>'F21'!B28</f>
        <v>Total S&amp;D Expenses</v>
      </c>
      <c r="C28" s="710" t="str">
        <f>'F21'!C28</f>
        <v>=SUM(C18:C27)</v>
      </c>
      <c r="D28" s="46"/>
      <c r="E28" s="51"/>
      <c r="F28" s="50"/>
      <c r="G28" s="301"/>
      <c r="H28" s="49"/>
      <c r="I28" s="49"/>
      <c r="J28" s="49"/>
      <c r="K28" s="49"/>
      <c r="L28" s="76"/>
      <c r="M28" s="59"/>
    </row>
    <row r="29" spans="1:13" x14ac:dyDescent="0.2">
      <c r="A29" s="37">
        <f t="shared" si="0"/>
        <v>24</v>
      </c>
      <c r="B29" s="57" t="str">
        <f>'F21'!B29</f>
        <v>Personnel Related Cost</v>
      </c>
      <c r="C29" s="709" t="str">
        <f>'F21'!C29</f>
        <v>8000 to 8099</v>
      </c>
      <c r="D29" s="457"/>
      <c r="E29" s="17"/>
      <c r="F29" s="56"/>
      <c r="G29" s="303"/>
      <c r="H29" s="54"/>
      <c r="I29" s="54"/>
      <c r="J29" s="54"/>
      <c r="K29" s="54"/>
      <c r="L29" s="55"/>
      <c r="M29" s="58"/>
    </row>
    <row r="30" spans="1:13" x14ac:dyDescent="0.2">
      <c r="A30" s="37">
        <f t="shared" si="0"/>
        <v>25</v>
      </c>
      <c r="B30" s="57" t="str">
        <f>'F21'!B30</f>
        <v>Overseas Travelling</v>
      </c>
      <c r="C30" s="709" t="str">
        <f>'F21'!C30</f>
        <v>8101</v>
      </c>
      <c r="D30" s="457"/>
      <c r="E30" s="17"/>
      <c r="F30" s="56"/>
      <c r="G30" s="303"/>
      <c r="H30" s="54"/>
      <c r="I30" s="54"/>
      <c r="J30" s="54"/>
      <c r="K30" s="54"/>
      <c r="L30" s="55"/>
      <c r="M30" s="58"/>
    </row>
    <row r="31" spans="1:13" x14ac:dyDescent="0.2">
      <c r="A31" s="37">
        <f t="shared" si="0"/>
        <v>26</v>
      </c>
      <c r="B31" s="57" t="str">
        <f>'F21'!B31</f>
        <v>Transportation</v>
      </c>
      <c r="C31" s="709" t="str">
        <f>'F21'!C31</f>
        <v>8102 to 8149</v>
      </c>
      <c r="D31" s="457"/>
      <c r="E31" s="17"/>
      <c r="F31" s="56"/>
      <c r="G31" s="303"/>
      <c r="H31" s="54"/>
      <c r="I31" s="54"/>
      <c r="J31" s="54"/>
      <c r="K31" s="54"/>
      <c r="L31" s="55"/>
      <c r="M31" s="58"/>
    </row>
    <row r="32" spans="1:13" x14ac:dyDescent="0.2">
      <c r="A32" s="37">
        <f t="shared" si="0"/>
        <v>27</v>
      </c>
      <c r="B32" s="57" t="str">
        <f>'F21'!B32</f>
        <v>Entertainment &amp; Donations</v>
      </c>
      <c r="C32" s="709" t="str">
        <f>'F21'!C32</f>
        <v>8150 to 8199</v>
      </c>
      <c r="D32" s="457"/>
      <c r="E32" s="17"/>
      <c r="F32" s="56"/>
      <c r="G32" s="303"/>
      <c r="H32" s="54"/>
      <c r="I32" s="54"/>
      <c r="J32" s="54"/>
      <c r="K32" s="54"/>
      <c r="L32" s="55"/>
      <c r="M32" s="58"/>
    </row>
    <row r="33" spans="1:13" x14ac:dyDescent="0.2">
      <c r="A33" s="37">
        <f t="shared" si="0"/>
        <v>28</v>
      </c>
      <c r="B33" s="57" t="str">
        <f>'F21'!B33</f>
        <v>Equipment Expenses</v>
      </c>
      <c r="C33" s="709" t="str">
        <f>'F21'!C33</f>
        <v>8200 to 8299</v>
      </c>
      <c r="D33" s="457"/>
      <c r="E33" s="17"/>
      <c r="F33" s="56"/>
      <c r="G33" s="303"/>
      <c r="H33" s="54"/>
      <c r="I33" s="54"/>
      <c r="J33" s="54"/>
      <c r="K33" s="54"/>
      <c r="L33" s="55"/>
      <c r="M33" s="58"/>
    </row>
    <row r="34" spans="1:13" x14ac:dyDescent="0.2">
      <c r="A34" s="37">
        <f t="shared" si="0"/>
        <v>29</v>
      </c>
      <c r="B34" s="57" t="str">
        <f>'F21'!B34</f>
        <v>Rental/Property Related</v>
      </c>
      <c r="C34" s="709" t="str">
        <f>'F21'!C34</f>
        <v>8300 to 8399</v>
      </c>
      <c r="D34" s="457"/>
      <c r="E34" s="17"/>
      <c r="F34" s="56"/>
      <c r="G34" s="303"/>
      <c r="H34" s="54"/>
      <c r="I34" s="54"/>
      <c r="J34" s="54"/>
      <c r="K34" s="54"/>
      <c r="L34" s="55"/>
      <c r="M34" s="58"/>
    </row>
    <row r="35" spans="1:13" x14ac:dyDescent="0.2">
      <c r="A35" s="37">
        <f t="shared" si="0"/>
        <v>30</v>
      </c>
      <c r="B35" s="57" t="str">
        <f>'F21'!B35</f>
        <v>Depn of Fixed Assets</v>
      </c>
      <c r="C35" s="709" t="str">
        <f>'F21'!C35</f>
        <v>8400 to 8499</v>
      </c>
      <c r="D35" s="457"/>
      <c r="E35" s="17"/>
      <c r="F35" s="56"/>
      <c r="G35" s="303"/>
      <c r="H35" s="54"/>
      <c r="I35" s="54"/>
      <c r="J35" s="54"/>
      <c r="K35" s="54"/>
      <c r="L35" s="55"/>
      <c r="M35" s="58"/>
    </row>
    <row r="36" spans="1:13" x14ac:dyDescent="0.2">
      <c r="A36" s="37">
        <f t="shared" si="0"/>
        <v>31</v>
      </c>
      <c r="B36" s="57" t="str">
        <f>'F21'!B36</f>
        <v>Stationery/Printing/Telephone</v>
      </c>
      <c r="C36" s="709" t="str">
        <f>'F21'!C36</f>
        <v>8500 to 8599</v>
      </c>
      <c r="D36" s="457"/>
      <c r="E36" s="17"/>
      <c r="F36" s="56"/>
      <c r="G36" s="303"/>
      <c r="H36" s="54"/>
      <c r="I36" s="54"/>
      <c r="J36" s="54"/>
      <c r="K36" s="54"/>
      <c r="L36" s="55"/>
      <c r="M36" s="58"/>
    </row>
    <row r="37" spans="1:13" x14ac:dyDescent="0.2">
      <c r="A37" s="37">
        <f t="shared" si="0"/>
        <v>32</v>
      </c>
      <c r="B37" s="57" t="str">
        <f>'F21'!B37</f>
        <v>Legal/Prof Fees/Ins/Safety</v>
      </c>
      <c r="C37" s="709" t="str">
        <f>'F21'!C37</f>
        <v>8600 to 8649</v>
      </c>
      <c r="D37" s="457"/>
      <c r="E37" s="17"/>
      <c r="F37" s="56"/>
      <c r="G37" s="303"/>
      <c r="H37" s="54"/>
      <c r="I37" s="54"/>
      <c r="J37" s="54"/>
      <c r="K37" s="54"/>
      <c r="L37" s="55"/>
      <c r="M37" s="58"/>
    </row>
    <row r="38" spans="1:13" x14ac:dyDescent="0.2">
      <c r="A38" s="37">
        <f t="shared" si="0"/>
        <v>33</v>
      </c>
      <c r="B38" s="57" t="str">
        <f>'F21'!B38</f>
        <v>IT System Exps</v>
      </c>
      <c r="C38" s="709" t="str">
        <f>'F21'!C38</f>
        <v>8651</v>
      </c>
      <c r="D38" s="457"/>
      <c r="E38" s="17"/>
      <c r="F38" s="56"/>
      <c r="G38" s="303"/>
      <c r="H38" s="54"/>
      <c r="I38" s="54"/>
      <c r="J38" s="54"/>
      <c r="K38" s="54"/>
      <c r="L38" s="55"/>
      <c r="M38" s="58"/>
    </row>
    <row r="39" spans="1:13" x14ac:dyDescent="0.2">
      <c r="A39" s="37">
        <f t="shared" si="0"/>
        <v>34</v>
      </c>
      <c r="B39" s="57" t="str">
        <f>'F21'!B39</f>
        <v>Purchasing Exps</v>
      </c>
      <c r="C39" s="709" t="str">
        <f>'F21'!C39</f>
        <v>8653</v>
      </c>
      <c r="D39" s="457"/>
      <c r="E39" s="17"/>
      <c r="F39" s="56"/>
      <c r="G39" s="303"/>
      <c r="H39" s="54"/>
      <c r="I39" s="54"/>
      <c r="J39" s="54"/>
      <c r="K39" s="54"/>
      <c r="L39" s="55"/>
      <c r="M39" s="58"/>
    </row>
    <row r="40" spans="1:13" s="31" customFormat="1" x14ac:dyDescent="0.2">
      <c r="A40" s="552">
        <f t="shared" si="0"/>
        <v>35</v>
      </c>
      <c r="B40" s="41" t="str">
        <f>'F21'!B40</f>
        <v xml:space="preserve">A&amp;G Direct Expenses </v>
      </c>
      <c r="C40" s="710" t="str">
        <f>'F21'!C40</f>
        <v>=SUM(C29:C39)</v>
      </c>
      <c r="D40" s="46"/>
      <c r="E40" s="51"/>
      <c r="F40" s="50"/>
      <c r="G40" s="301"/>
      <c r="H40" s="49"/>
      <c r="I40" s="49"/>
      <c r="J40" s="49"/>
      <c r="K40" s="49"/>
      <c r="L40" s="48"/>
      <c r="M40" s="65"/>
    </row>
    <row r="41" spans="1:13" s="31" customFormat="1" x14ac:dyDescent="0.2">
      <c r="A41" s="37">
        <f t="shared" si="0"/>
        <v>36</v>
      </c>
      <c r="B41" s="57" t="str">
        <f>'F21'!B41</f>
        <v>Prov for Stock Obso/Pilferage</v>
      </c>
      <c r="C41" s="709" t="str">
        <f>'F21'!C41</f>
        <v>8701 to 8702</v>
      </c>
      <c r="D41" s="73"/>
      <c r="E41" s="75"/>
      <c r="F41" s="72"/>
      <c r="G41" s="304"/>
      <c r="H41" s="43"/>
      <c r="I41" s="43"/>
      <c r="J41" s="43"/>
      <c r="K41" s="43"/>
      <c r="L41" s="42"/>
      <c r="M41" s="65"/>
    </row>
    <row r="42" spans="1:13" s="31" customFormat="1" x14ac:dyDescent="0.2">
      <c r="A42" s="37">
        <f t="shared" si="0"/>
        <v>37</v>
      </c>
      <c r="B42" s="57" t="str">
        <f>'F21'!B42</f>
        <v>Prov for Doubtful Debts</v>
      </c>
      <c r="C42" s="709" t="str">
        <f>'F21'!C42</f>
        <v>8703</v>
      </c>
      <c r="D42" s="73"/>
      <c r="E42" s="75"/>
      <c r="F42" s="72"/>
      <c r="G42" s="304"/>
      <c r="H42" s="43"/>
      <c r="I42" s="43"/>
      <c r="J42" s="43"/>
      <c r="K42" s="43"/>
      <c r="L42" s="42"/>
      <c r="M42" s="65"/>
    </row>
    <row r="43" spans="1:13" s="31" customFormat="1" x14ac:dyDescent="0.2">
      <c r="A43" s="37">
        <f t="shared" si="0"/>
        <v>38</v>
      </c>
      <c r="B43" s="57" t="str">
        <f>'F21'!B43</f>
        <v xml:space="preserve">Bad Debts Recovered </v>
      </c>
      <c r="C43" s="709" t="str">
        <f>'F21'!C43</f>
        <v>8704</v>
      </c>
      <c r="D43" s="73"/>
      <c r="E43" s="75"/>
      <c r="F43" s="72"/>
      <c r="G43" s="304"/>
      <c r="H43" s="43"/>
      <c r="I43" s="43"/>
      <c r="J43" s="43"/>
      <c r="K43" s="43"/>
      <c r="L43" s="42"/>
      <c r="M43" s="65"/>
    </row>
    <row r="44" spans="1:13" s="31" customFormat="1" x14ac:dyDescent="0.2">
      <c r="A44" s="37">
        <f t="shared" si="0"/>
        <v>39</v>
      </c>
      <c r="B44" s="57" t="str">
        <f>'F21'!B44</f>
        <v>Stocks Written Down/Written Off</v>
      </c>
      <c r="C44" s="709" t="str">
        <f>'F21'!C44</f>
        <v>8705</v>
      </c>
      <c r="D44" s="73"/>
      <c r="E44" s="75"/>
      <c r="F44" s="72"/>
      <c r="G44" s="304"/>
      <c r="H44" s="43"/>
      <c r="I44" s="43"/>
      <c r="J44" s="43"/>
      <c r="K44" s="43"/>
      <c r="L44" s="42"/>
      <c r="M44" s="65"/>
    </row>
    <row r="45" spans="1:13" s="31" customFormat="1" x14ac:dyDescent="0.2">
      <c r="A45" s="37">
        <f t="shared" si="0"/>
        <v>40</v>
      </c>
      <c r="B45" s="57" t="str">
        <f>'F21'!B45</f>
        <v>GST/VAT Expense</v>
      </c>
      <c r="C45" s="709" t="str">
        <f>'F21'!C45</f>
        <v>8711 to 8712</v>
      </c>
      <c r="D45" s="73"/>
      <c r="E45" s="75"/>
      <c r="F45" s="72"/>
      <c r="G45" s="304"/>
      <c r="H45" s="43"/>
      <c r="I45" s="43"/>
      <c r="J45" s="43"/>
      <c r="K45" s="43"/>
      <c r="L45" s="42"/>
      <c r="M45" s="65"/>
    </row>
    <row r="46" spans="1:13" s="31" customFormat="1" x14ac:dyDescent="0.2">
      <c r="A46" s="37">
        <f t="shared" si="0"/>
        <v>41</v>
      </c>
      <c r="B46" s="57" t="str">
        <f>'F21'!B46</f>
        <v xml:space="preserve">HO/Interco Alloc </v>
      </c>
      <c r="C46" s="709" t="str">
        <f>'F21'!C46</f>
        <v>8798 to 8799</v>
      </c>
      <c r="D46" s="73"/>
      <c r="E46" s="75"/>
      <c r="F46" s="72"/>
      <c r="G46" s="304"/>
      <c r="H46" s="43"/>
      <c r="I46" s="43"/>
      <c r="J46" s="43"/>
      <c r="K46" s="43"/>
      <c r="L46" s="42"/>
      <c r="M46" s="65"/>
    </row>
    <row r="47" spans="1:13" s="31" customFormat="1" x14ac:dyDescent="0.2">
      <c r="A47" s="552">
        <f t="shared" si="0"/>
        <v>42</v>
      </c>
      <c r="B47" s="41" t="str">
        <f>'F21'!B47</f>
        <v xml:space="preserve">Other A&amp;G Expenses </v>
      </c>
      <c r="C47" s="710" t="str">
        <f>'F21'!C47</f>
        <v>=SUM(C41:C46)</v>
      </c>
      <c r="D47" s="46"/>
      <c r="E47" s="51"/>
      <c r="F47" s="50"/>
      <c r="G47" s="301"/>
      <c r="H47" s="49"/>
      <c r="I47" s="49"/>
      <c r="J47" s="49"/>
      <c r="K47" s="49"/>
      <c r="L47" s="48"/>
      <c r="M47" s="65"/>
    </row>
    <row r="48" spans="1:13" s="31" customFormat="1" x14ac:dyDescent="0.2">
      <c r="A48" s="395">
        <f t="shared" si="0"/>
        <v>43</v>
      </c>
      <c r="B48" s="445" t="str">
        <f>'F21'!B48</f>
        <v>Total A&amp;G Expenses</v>
      </c>
      <c r="C48" s="713" t="str">
        <f>'F21'!C48</f>
        <v>=C40+C47</v>
      </c>
      <c r="D48" s="46"/>
      <c r="E48" s="51"/>
      <c r="F48" s="50"/>
      <c r="G48" s="301"/>
      <c r="H48" s="49"/>
      <c r="I48" s="49"/>
      <c r="J48" s="49"/>
      <c r="K48" s="49"/>
      <c r="L48" s="48"/>
      <c r="M48" s="65"/>
    </row>
    <row r="49" spans="1:16" s="31" customFormat="1" ht="12" thickBot="1" x14ac:dyDescent="0.25">
      <c r="A49" s="394">
        <f t="shared" si="0"/>
        <v>44</v>
      </c>
      <c r="B49" s="79" t="str">
        <f>'F21'!B49</f>
        <v>Profit from Operations</v>
      </c>
      <c r="C49" s="714" t="str">
        <f>'F21'!C49</f>
        <v>=C12+C17+C28+C48</v>
      </c>
      <c r="D49" s="70"/>
      <c r="E49" s="318"/>
      <c r="F49" s="68"/>
      <c r="G49" s="305"/>
      <c r="H49" s="67"/>
      <c r="I49" s="67"/>
      <c r="J49" s="67"/>
      <c r="K49" s="67"/>
      <c r="L49" s="66"/>
      <c r="M49" s="65"/>
    </row>
    <row r="50" spans="1:16" s="31" customFormat="1" ht="12" thickTop="1" x14ac:dyDescent="0.2">
      <c r="A50" s="470">
        <f t="shared" si="0"/>
        <v>45</v>
      </c>
      <c r="B50" s="64" t="str">
        <f>'F21'!B50</f>
        <v>Interest Income</v>
      </c>
      <c r="C50" s="715" t="str">
        <f>'F21'!C50</f>
        <v>9023</v>
      </c>
      <c r="D50" s="573"/>
      <c r="E50" s="472"/>
      <c r="F50" s="473"/>
      <c r="G50" s="475"/>
      <c r="H50" s="474"/>
      <c r="I50" s="474"/>
      <c r="J50" s="474"/>
      <c r="K50" s="474"/>
      <c r="L50" s="476"/>
      <c r="M50" s="65"/>
    </row>
    <row r="51" spans="1:16" s="31" customFormat="1" x14ac:dyDescent="0.2">
      <c r="A51" s="37">
        <f t="shared" si="0"/>
        <v>46</v>
      </c>
      <c r="B51" s="57" t="str">
        <f>'F21'!B51</f>
        <v>Interest (Expense)</v>
      </c>
      <c r="C51" s="709" t="str">
        <f>'F21'!C51</f>
        <v>8801 to 8809</v>
      </c>
      <c r="D51" s="574"/>
      <c r="E51" s="63"/>
      <c r="F51" s="61"/>
      <c r="G51" s="304"/>
      <c r="H51" s="43"/>
      <c r="I51" s="43"/>
      <c r="J51" s="43"/>
      <c r="K51" s="43"/>
      <c r="L51" s="42"/>
      <c r="M51" s="65"/>
    </row>
    <row r="52" spans="1:16" x14ac:dyDescent="0.2">
      <c r="A52" s="37">
        <f t="shared" si="0"/>
        <v>47</v>
      </c>
      <c r="B52" s="57" t="str">
        <f>'F21'!B52</f>
        <v>Derivatives Gain/(Loss)</v>
      </c>
      <c r="C52" s="709" t="str">
        <f>'F21'!C52</f>
        <v>8821 to 8822</v>
      </c>
      <c r="D52" s="457"/>
      <c r="E52" s="17"/>
      <c r="F52" s="56"/>
      <c r="G52" s="303"/>
      <c r="H52" s="54"/>
      <c r="I52" s="54"/>
      <c r="J52" s="54"/>
      <c r="K52" s="54"/>
      <c r="L52" s="55"/>
      <c r="M52" s="58"/>
    </row>
    <row r="53" spans="1:16" x14ac:dyDescent="0.2">
      <c r="A53" s="37">
        <f t="shared" si="0"/>
        <v>48</v>
      </c>
      <c r="B53" s="57" t="str">
        <f>'F21'!B53</f>
        <v>Forex Gain/(Loss)</v>
      </c>
      <c r="C53" s="709" t="str">
        <f>'F21'!C53</f>
        <v>8831 to 8832</v>
      </c>
      <c r="D53" s="457"/>
      <c r="E53" s="17"/>
      <c r="F53" s="56"/>
      <c r="G53" s="303"/>
      <c r="H53" s="54"/>
      <c r="I53" s="54"/>
      <c r="J53" s="54"/>
      <c r="K53" s="54"/>
      <c r="L53" s="53"/>
    </row>
    <row r="54" spans="1:16" x14ac:dyDescent="0.2">
      <c r="A54" s="37">
        <f t="shared" si="0"/>
        <v>49</v>
      </c>
      <c r="B54" s="57" t="str">
        <f>'F21'!B54</f>
        <v>Dividend Income</v>
      </c>
      <c r="C54" s="709" t="str">
        <f>'F21'!C54</f>
        <v>9021</v>
      </c>
      <c r="D54" s="457"/>
      <c r="E54" s="17"/>
      <c r="F54" s="56"/>
      <c r="G54" s="303"/>
      <c r="H54" s="54"/>
      <c r="I54" s="54"/>
      <c r="J54" s="54"/>
      <c r="K54" s="54"/>
      <c r="L54" s="53"/>
    </row>
    <row r="55" spans="1:16" x14ac:dyDescent="0.2">
      <c r="A55" s="37">
        <f t="shared" si="0"/>
        <v>50</v>
      </c>
      <c r="B55" s="441" t="str">
        <f>'F21'!B55</f>
        <v>Other Non-Op Income/(Exp)</v>
      </c>
      <c r="C55" s="709" t="str">
        <f>'F21'!C55</f>
        <v>9031, 9116, 9200 to 9211</v>
      </c>
      <c r="D55" s="457"/>
      <c r="E55" s="17"/>
      <c r="F55" s="56"/>
      <c r="G55" s="303"/>
      <c r="H55" s="54"/>
      <c r="I55" s="54"/>
      <c r="J55" s="54"/>
      <c r="K55" s="54"/>
      <c r="L55" s="53"/>
    </row>
    <row r="56" spans="1:16" s="31" customFormat="1" x14ac:dyDescent="0.2">
      <c r="A56" s="552">
        <f t="shared" si="0"/>
        <v>51</v>
      </c>
      <c r="B56" s="52" t="str">
        <f>'F21'!B56</f>
        <v>Total Non-Op Income/(Exp)</v>
      </c>
      <c r="C56" s="716" t="str">
        <f>'F21'!C56</f>
        <v>=SUM(C50:C55)</v>
      </c>
      <c r="D56" s="46"/>
      <c r="E56" s="51"/>
      <c r="F56" s="50"/>
      <c r="G56" s="301"/>
      <c r="H56" s="49"/>
      <c r="I56" s="49"/>
      <c r="J56" s="49"/>
      <c r="K56" s="49"/>
      <c r="L56" s="48"/>
    </row>
    <row r="57" spans="1:16" s="31" customFormat="1" x14ac:dyDescent="0.2">
      <c r="A57" s="552">
        <f t="shared" si="0"/>
        <v>52</v>
      </c>
      <c r="B57" s="41" t="str">
        <f>'F21'!B57</f>
        <v>Profit Before Taxation</v>
      </c>
      <c r="C57" s="710" t="str">
        <f>'F21'!C57</f>
        <v>=C49+C56</v>
      </c>
      <c r="D57" s="46"/>
      <c r="E57" s="51"/>
      <c r="F57" s="44"/>
      <c r="G57" s="304"/>
      <c r="H57" s="43"/>
      <c r="I57" s="43"/>
      <c r="J57" s="43"/>
      <c r="K57" s="43"/>
      <c r="L57" s="42"/>
    </row>
    <row r="58" spans="1:16" x14ac:dyDescent="0.2">
      <c r="A58" s="552">
        <f t="shared" si="0"/>
        <v>53</v>
      </c>
      <c r="B58" s="41" t="str">
        <f>'F21'!B58</f>
        <v>Less: Taxation</v>
      </c>
      <c r="C58" s="717" t="str">
        <f>'F21'!C58</f>
        <v xml:space="preserve">9400 to 9999 </v>
      </c>
      <c r="D58" s="457"/>
      <c r="E58" s="17"/>
      <c r="F58" s="40"/>
      <c r="G58" s="306"/>
      <c r="H58" s="39"/>
      <c r="I58" s="39"/>
      <c r="J58" s="39"/>
      <c r="K58" s="39"/>
      <c r="L58" s="38"/>
    </row>
    <row r="59" spans="1:16" s="31" customFormat="1" ht="12" thickBot="1" x14ac:dyDescent="0.25">
      <c r="A59" s="394">
        <f t="shared" si="0"/>
        <v>54</v>
      </c>
      <c r="B59" s="36" t="str">
        <f>'F21'!B59</f>
        <v>Profits After Taxation</v>
      </c>
      <c r="C59" s="718" t="str">
        <f>'F21'!C59</f>
        <v>=C57+C58</v>
      </c>
      <c r="D59" s="317"/>
      <c r="E59" s="35"/>
      <c r="F59" s="34"/>
      <c r="G59" s="302"/>
      <c r="H59" s="34"/>
      <c r="I59" s="34"/>
      <c r="J59" s="34"/>
      <c r="K59" s="34"/>
      <c r="L59" s="33"/>
      <c r="N59" s="32"/>
      <c r="O59" s="32"/>
      <c r="P59" s="32"/>
    </row>
    <row r="60" spans="1:16" s="31" customFormat="1" ht="12" thickTop="1" x14ac:dyDescent="0.2">
      <c r="A60" s="37">
        <f t="shared" si="0"/>
        <v>55</v>
      </c>
      <c r="B60" s="5" t="str">
        <f>'F21'!B60</f>
        <v>Dividend Declared</v>
      </c>
      <c r="C60" s="719" t="str">
        <f>'F21'!C60</f>
        <v>4902</v>
      </c>
      <c r="D60" s="575"/>
      <c r="E60" s="74"/>
      <c r="F60" s="45"/>
      <c r="G60" s="477"/>
      <c r="H60" s="43"/>
      <c r="I60" s="43"/>
      <c r="J60" s="43"/>
      <c r="K60" s="43"/>
      <c r="L60" s="42"/>
      <c r="N60" s="32"/>
      <c r="O60" s="32"/>
      <c r="P60" s="32"/>
    </row>
    <row r="61" spans="1:16" x14ac:dyDescent="0.2">
      <c r="A61" s="552"/>
      <c r="B61" s="52" t="str">
        <f>'F21'!B61</f>
        <v>Performance Indicators</v>
      </c>
      <c r="C61" s="716"/>
      <c r="D61" s="46" t="s">
        <v>1408</v>
      </c>
      <c r="E61" s="51" t="s">
        <v>1409</v>
      </c>
      <c r="F61" s="30" t="s">
        <v>58</v>
      </c>
      <c r="G61" s="456" t="s">
        <v>60</v>
      </c>
      <c r="H61" s="51" t="s">
        <v>59</v>
      </c>
      <c r="I61" s="51" t="s">
        <v>58</v>
      </c>
      <c r="J61" s="51" t="s">
        <v>57</v>
      </c>
      <c r="K61" s="51" t="s">
        <v>56</v>
      </c>
      <c r="L61" s="478" t="s">
        <v>60</v>
      </c>
    </row>
    <row r="62" spans="1:16" x14ac:dyDescent="0.2">
      <c r="A62" s="37">
        <f>A61+1</f>
        <v>1</v>
      </c>
      <c r="B62" s="22" t="str">
        <f>'F21'!B62</f>
        <v>Gross Profits Margin %</v>
      </c>
      <c r="C62" s="720" t="str">
        <f>'F21'!C62</f>
        <v>Gross Profits/Total Sales</v>
      </c>
      <c r="D62" s="576"/>
      <c r="E62" s="28"/>
      <c r="F62" s="26"/>
      <c r="G62" s="577"/>
      <c r="H62" s="26"/>
      <c r="I62" s="26"/>
      <c r="J62" s="26"/>
      <c r="K62" s="26"/>
      <c r="L62" s="25"/>
    </row>
    <row r="63" spans="1:16" x14ac:dyDescent="0.2">
      <c r="A63" s="19">
        <f>A62+1</f>
        <v>2</v>
      </c>
      <c r="B63" s="24" t="str">
        <f>'F21'!B63</f>
        <v>- External Sales GP %</v>
      </c>
      <c r="C63" s="721" t="str">
        <f>'F21'!C63</f>
        <v>(External Sales - Cost of External Sales)/External Sales</v>
      </c>
      <c r="D63" s="457"/>
      <c r="E63" s="17"/>
      <c r="F63" s="12"/>
      <c r="G63" s="578"/>
      <c r="H63" s="12"/>
      <c r="I63" s="12"/>
      <c r="J63" s="12"/>
      <c r="K63" s="12"/>
      <c r="L63" s="15"/>
    </row>
    <row r="64" spans="1:16" x14ac:dyDescent="0.2">
      <c r="A64" s="19">
        <v>3</v>
      </c>
      <c r="B64" s="24" t="str">
        <f>'F21'!B64</f>
        <v>- Interco Sales GP %</v>
      </c>
      <c r="C64" s="721" t="str">
        <f>'F21'!C64</f>
        <v>(Interco Sales - Cost of Interco Sales)/Interco Sales</v>
      </c>
      <c r="D64" s="457"/>
      <c r="E64" s="17"/>
      <c r="F64" s="12"/>
      <c r="G64" s="578"/>
      <c r="H64" s="12"/>
      <c r="I64" s="12"/>
      <c r="J64" s="12"/>
      <c r="K64" s="12"/>
      <c r="L64" s="15"/>
    </row>
    <row r="65" spans="1:12" x14ac:dyDescent="0.2">
      <c r="A65" s="19">
        <v>4</v>
      </c>
      <c r="B65" s="18" t="str">
        <f>'F21'!B65</f>
        <v>Selling &amp; Dist Margin %</v>
      </c>
      <c r="C65" s="722" t="str">
        <f>'F21'!C65</f>
        <v>-Total S&amp;D Exps/Total Sales</v>
      </c>
      <c r="D65" s="457"/>
      <c r="E65" s="17"/>
      <c r="F65" s="12"/>
      <c r="G65" s="20"/>
      <c r="H65" s="12"/>
      <c r="I65" s="12"/>
      <c r="J65" s="12"/>
      <c r="K65" s="12"/>
      <c r="L65" s="15"/>
    </row>
    <row r="66" spans="1:12" x14ac:dyDescent="0.2">
      <c r="A66" s="19">
        <v>5</v>
      </c>
      <c r="B66" s="22" t="str">
        <f>'F21'!B66</f>
        <v>A&amp;G Margin Direct %</v>
      </c>
      <c r="C66" s="720" t="str">
        <f>'F21'!C66</f>
        <v>-Total Direct A&amp;G Exps/Total Sales</v>
      </c>
      <c r="D66" s="457"/>
      <c r="E66" s="17"/>
      <c r="F66" s="12"/>
      <c r="G66" s="20"/>
      <c r="H66" s="12"/>
      <c r="I66" s="12"/>
      <c r="J66" s="12"/>
      <c r="K66" s="12"/>
      <c r="L66" s="15"/>
    </row>
    <row r="67" spans="1:12" x14ac:dyDescent="0.2">
      <c r="A67" s="19">
        <v>6</v>
      </c>
      <c r="B67" s="22" t="str">
        <f>'F21'!B67</f>
        <v>A&amp;G Margin Total %</v>
      </c>
      <c r="C67" s="720" t="str">
        <f>'F21'!C67</f>
        <v>-Total A&amp;G Exps/Total Sales</v>
      </c>
      <c r="D67" s="457"/>
      <c r="E67" s="17"/>
      <c r="F67" s="12"/>
      <c r="G67" s="20"/>
      <c r="H67" s="12"/>
      <c r="I67" s="12"/>
      <c r="J67" s="12"/>
      <c r="K67" s="12"/>
      <c r="L67" s="15"/>
    </row>
    <row r="68" spans="1:12" x14ac:dyDescent="0.2">
      <c r="A68" s="19">
        <v>7</v>
      </c>
      <c r="B68" s="21" t="str">
        <f>'F21'!B68</f>
        <v>Operating Profit Margin %</v>
      </c>
      <c r="C68" s="723" t="str">
        <f>'F21'!C68</f>
        <v>Profits from Operations/Total Sales</v>
      </c>
      <c r="D68" s="457"/>
      <c r="E68" s="17"/>
      <c r="F68" s="12"/>
      <c r="G68" s="20"/>
      <c r="H68" s="12"/>
      <c r="I68" s="12"/>
      <c r="J68" s="12"/>
      <c r="K68" s="12"/>
      <c r="L68" s="20"/>
    </row>
    <row r="69" spans="1:12" x14ac:dyDescent="0.2">
      <c r="A69" s="19">
        <v>8</v>
      </c>
      <c r="B69" s="21" t="str">
        <f>'F21'!B69</f>
        <v>Profits Before Taxation %</v>
      </c>
      <c r="C69" s="723" t="str">
        <f>'F21'!C69</f>
        <v>Profits Before Taxation/Total Sales</v>
      </c>
      <c r="D69" s="457"/>
      <c r="E69" s="17"/>
      <c r="F69" s="12"/>
      <c r="G69" s="20"/>
      <c r="H69" s="12"/>
      <c r="I69" s="12"/>
      <c r="J69" s="12"/>
      <c r="K69" s="12"/>
      <c r="L69" s="20"/>
    </row>
    <row r="70" spans="1:12" x14ac:dyDescent="0.2">
      <c r="A70" s="14">
        <v>9</v>
      </c>
      <c r="B70" s="105" t="str">
        <f>'F21'!B70</f>
        <v>Profit After Taxation %</v>
      </c>
      <c r="C70" s="723" t="str">
        <f>'F21'!C70</f>
        <v>Profits after Taxation/Total Sales</v>
      </c>
      <c r="D70" s="455"/>
      <c r="E70" s="13"/>
      <c r="F70" s="11"/>
      <c r="G70" s="10"/>
      <c r="H70" s="12"/>
      <c r="I70" s="11"/>
      <c r="J70" s="11"/>
      <c r="K70" s="11"/>
      <c r="L70" s="10"/>
    </row>
    <row r="71" spans="1:12" x14ac:dyDescent="0.2">
      <c r="F71" s="8"/>
      <c r="G71" s="8"/>
      <c r="H71" s="26"/>
      <c r="I71" s="8"/>
      <c r="J71" s="8"/>
      <c r="K71" s="8"/>
      <c r="L71" s="7"/>
    </row>
  </sheetData>
  <mergeCells count="12">
    <mergeCell ref="A4:B4"/>
    <mergeCell ref="D4:G4"/>
    <mergeCell ref="H4:L4"/>
    <mergeCell ref="A5:B5"/>
    <mergeCell ref="D1:G1"/>
    <mergeCell ref="H1:L1"/>
    <mergeCell ref="A2:B2"/>
    <mergeCell ref="D2:G2"/>
    <mergeCell ref="H2:L2"/>
    <mergeCell ref="A3:B3"/>
    <mergeCell ref="D3:G3"/>
    <mergeCell ref="H3:L3"/>
  </mergeCells>
  <printOptions horizontalCentered="1" gridLines="1"/>
  <pageMargins left="0.39370078740157483" right="3.937007874015748E-2" top="0.6889763779527559" bottom="0.23622047244094491" header="0.51181102362204722" footer="0"/>
  <pageSetup paperSize="9" scale="99"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P71"/>
  <sheetViews>
    <sheetView view="pageBreakPreview" topLeftCell="A34" zoomScale="110" zoomScaleNormal="110" zoomScaleSheetLayoutView="110" workbookViewId="0">
      <selection activeCell="C55" sqref="C55"/>
    </sheetView>
  </sheetViews>
  <sheetFormatPr defaultRowHeight="11.25" x14ac:dyDescent="0.2"/>
  <cols>
    <col min="1" max="1" width="2.42578125" style="6" customWidth="1"/>
    <col min="2" max="2" width="24.28515625" style="4" customWidth="1"/>
    <col min="3" max="3" width="53.85546875" style="729" customWidth="1"/>
    <col min="4" max="5" width="7.28515625" style="4" customWidth="1"/>
    <col min="6" max="7" width="7.28515625" style="1" customWidth="1"/>
    <col min="8" max="8" width="6.28515625" style="1" bestFit="1" customWidth="1"/>
    <col min="9" max="11" width="7.28515625" style="1" customWidth="1"/>
    <col min="12" max="12" width="7.85546875" style="2" customWidth="1"/>
    <col min="13" max="13" width="9.140625" style="1"/>
    <col min="14" max="14" width="9.28515625" style="1" bestFit="1" customWidth="1"/>
    <col min="15" max="15" width="9.140625" style="1"/>
    <col min="16" max="16" width="9.85546875" style="1" bestFit="1" customWidth="1"/>
    <col min="17" max="16384" width="9.140625" style="1"/>
  </cols>
  <sheetData>
    <row r="1" spans="1:12" ht="12.75" customHeight="1" x14ac:dyDescent="0.2">
      <c r="A1" s="443" t="s">
        <v>66</v>
      </c>
      <c r="B1" s="82"/>
      <c r="C1" s="726"/>
      <c r="D1" s="854" t="str">
        <f>F21S!D1</f>
        <v>AS OF: 11-Oct-2017</v>
      </c>
      <c r="E1" s="855"/>
      <c r="F1" s="855"/>
      <c r="G1" s="856"/>
      <c r="H1" s="857" t="str">
        <f>F21S!H1</f>
        <v>FOR THE MONTH OF:   Sep -17</v>
      </c>
      <c r="I1" s="857"/>
      <c r="J1" s="857"/>
      <c r="K1" s="857"/>
      <c r="L1" s="858"/>
    </row>
    <row r="2" spans="1:12" ht="12.75" customHeight="1" x14ac:dyDescent="0.2">
      <c r="A2" s="859" t="s">
        <v>1405</v>
      </c>
      <c r="B2" s="860"/>
      <c r="C2" s="727"/>
      <c r="D2" s="861" t="s">
        <v>93</v>
      </c>
      <c r="E2" s="862"/>
      <c r="F2" s="862"/>
      <c r="G2" s="863"/>
      <c r="H2" s="862" t="s">
        <v>63</v>
      </c>
      <c r="I2" s="862"/>
      <c r="J2" s="862"/>
      <c r="K2" s="862"/>
      <c r="L2" s="863"/>
    </row>
    <row r="3" spans="1:12" ht="12.75" customHeight="1" x14ac:dyDescent="0.2">
      <c r="A3" s="871" t="s">
        <v>1500</v>
      </c>
      <c r="B3" s="872"/>
      <c r="C3" s="728"/>
      <c r="D3" s="866" t="s">
        <v>1499</v>
      </c>
      <c r="E3" s="867"/>
      <c r="F3" s="867"/>
      <c r="G3" s="868"/>
      <c r="H3" s="869" t="s">
        <v>61</v>
      </c>
      <c r="I3" s="869"/>
      <c r="J3" s="869"/>
      <c r="K3" s="869"/>
      <c r="L3" s="870"/>
    </row>
    <row r="4" spans="1:12" ht="12.75" customHeight="1" x14ac:dyDescent="0.2">
      <c r="A4" s="873"/>
      <c r="B4" s="874"/>
      <c r="C4" s="728"/>
      <c r="D4" s="847" t="s">
        <v>85</v>
      </c>
      <c r="E4" s="848"/>
      <c r="F4" s="848"/>
      <c r="G4" s="849"/>
      <c r="H4" s="850" t="s">
        <v>86</v>
      </c>
      <c r="I4" s="850"/>
      <c r="J4" s="850"/>
      <c r="K4" s="850"/>
      <c r="L4" s="851"/>
    </row>
    <row r="5" spans="1:12" x14ac:dyDescent="0.2">
      <c r="A5" s="852"/>
      <c r="B5" s="853"/>
      <c r="C5" s="725"/>
      <c r="D5" s="46" t="s">
        <v>1408</v>
      </c>
      <c r="E5" s="51" t="s">
        <v>1409</v>
      </c>
      <c r="F5" s="30" t="s">
        <v>58</v>
      </c>
      <c r="G5" s="456" t="s">
        <v>60</v>
      </c>
      <c r="H5" s="81" t="s">
        <v>59</v>
      </c>
      <c r="I5" s="81" t="s">
        <v>58</v>
      </c>
      <c r="J5" s="81" t="s">
        <v>57</v>
      </c>
      <c r="K5" s="81" t="s">
        <v>56</v>
      </c>
      <c r="L5" s="80" t="s">
        <v>60</v>
      </c>
    </row>
    <row r="6" spans="1:12" x14ac:dyDescent="0.2">
      <c r="A6" s="37">
        <v>1</v>
      </c>
      <c r="B6" s="440" t="str">
        <f>F21S!B6</f>
        <v>External Sales</v>
      </c>
      <c r="C6" s="709" t="str">
        <f>F21S!C6</f>
        <v>5001 to 5029, 5051 to 5099</v>
      </c>
      <c r="D6" s="457"/>
      <c r="E6" s="17"/>
      <c r="F6" s="56"/>
      <c r="G6" s="303"/>
      <c r="H6" s="54"/>
      <c r="I6" s="54"/>
      <c r="J6" s="54"/>
      <c r="K6" s="54"/>
      <c r="L6" s="53"/>
    </row>
    <row r="7" spans="1:12" x14ac:dyDescent="0.2">
      <c r="A7" s="37">
        <f t="shared" ref="A7:A60" si="0">A6+1</f>
        <v>2</v>
      </c>
      <c r="B7" s="441" t="str">
        <f>F21S!B7</f>
        <v>Interco Sales</v>
      </c>
      <c r="C7" s="709" t="str">
        <f>F21S!C7</f>
        <v>5031 to 5049</v>
      </c>
      <c r="D7" s="457"/>
      <c r="E7" s="17"/>
      <c r="F7" s="56"/>
      <c r="G7" s="303"/>
      <c r="H7" s="54"/>
      <c r="I7" s="54"/>
      <c r="J7" s="54"/>
      <c r="K7" s="54"/>
      <c r="L7" s="53"/>
    </row>
    <row r="8" spans="1:12" s="31" customFormat="1" x14ac:dyDescent="0.2">
      <c r="A8" s="679">
        <f t="shared" si="0"/>
        <v>3</v>
      </c>
      <c r="B8" s="41" t="str">
        <f>F21S!B8</f>
        <v>Total Sales</v>
      </c>
      <c r="C8" s="710" t="str">
        <f>F21S!C8</f>
        <v>=SUM(C6:C7)</v>
      </c>
      <c r="D8" s="46"/>
      <c r="E8" s="51"/>
      <c r="F8" s="49"/>
      <c r="G8" s="301"/>
      <c r="H8" s="49"/>
      <c r="I8" s="49"/>
      <c r="J8" s="49"/>
      <c r="K8" s="49"/>
      <c r="L8" s="48"/>
    </row>
    <row r="9" spans="1:12" x14ac:dyDescent="0.2">
      <c r="A9" s="37">
        <f t="shared" si="0"/>
        <v>4</v>
      </c>
      <c r="B9" s="57" t="str">
        <f>F21S!B9</f>
        <v>Cost of External Sales</v>
      </c>
      <c r="C9" s="709" t="str">
        <f>F21S!C9</f>
        <v>5101 to 5119, 5141 to 5499, 6000 to 6999</v>
      </c>
      <c r="D9" s="457"/>
      <c r="E9" s="17"/>
      <c r="F9" s="56"/>
      <c r="G9" s="303"/>
      <c r="H9" s="54"/>
      <c r="I9" s="54"/>
      <c r="J9" s="54"/>
      <c r="K9" s="54"/>
      <c r="L9" s="53"/>
    </row>
    <row r="10" spans="1:12" x14ac:dyDescent="0.2">
      <c r="A10" s="37">
        <f t="shared" si="0"/>
        <v>5</v>
      </c>
      <c r="B10" s="441" t="str">
        <f>F21S!B10</f>
        <v>Cost of Interco Sales</v>
      </c>
      <c r="C10" s="709" t="str">
        <f>F21S!C10</f>
        <v>5121 to 5139</v>
      </c>
      <c r="D10" s="457"/>
      <c r="E10" s="17"/>
      <c r="F10" s="56"/>
      <c r="G10" s="303"/>
      <c r="H10" s="54"/>
      <c r="I10" s="54"/>
      <c r="J10" s="54"/>
      <c r="K10" s="54"/>
      <c r="L10" s="53"/>
    </row>
    <row r="11" spans="1:12" s="31" customFormat="1" x14ac:dyDescent="0.2">
      <c r="A11" s="679">
        <f t="shared" si="0"/>
        <v>6</v>
      </c>
      <c r="B11" s="78" t="str">
        <f>F21S!B11</f>
        <v>Total Cost of Sales</v>
      </c>
      <c r="C11" s="711" t="str">
        <f>F21S!C11</f>
        <v>=SUM(C9:C10)</v>
      </c>
      <c r="D11" s="46"/>
      <c r="E11" s="51"/>
      <c r="F11" s="49"/>
      <c r="G11" s="301"/>
      <c r="H11" s="49"/>
      <c r="I11" s="49"/>
      <c r="J11" s="49"/>
      <c r="K11" s="49"/>
      <c r="L11" s="48"/>
    </row>
    <row r="12" spans="1:12" s="31" customFormat="1" ht="12" thickBot="1" x14ac:dyDescent="0.25">
      <c r="A12" s="394">
        <f t="shared" si="0"/>
        <v>7</v>
      </c>
      <c r="B12" s="79" t="str">
        <f>F21S!B12</f>
        <v>Gross Profit</v>
      </c>
      <c r="C12" s="712" t="str">
        <f>F21S!C12</f>
        <v>=C8+C11</v>
      </c>
      <c r="D12" s="317"/>
      <c r="E12" s="35"/>
      <c r="F12" s="34"/>
      <c r="G12" s="302"/>
      <c r="H12" s="34"/>
      <c r="I12" s="34"/>
      <c r="J12" s="34"/>
      <c r="K12" s="34"/>
      <c r="L12" s="33"/>
    </row>
    <row r="13" spans="1:12" ht="12" thickTop="1" x14ac:dyDescent="0.2">
      <c r="A13" s="37">
        <f t="shared" si="0"/>
        <v>8</v>
      </c>
      <c r="B13" s="57" t="str">
        <f>F21S!B13</f>
        <v>Commission/Mgt Income</v>
      </c>
      <c r="C13" s="709" t="str">
        <f>F21S!C13</f>
        <v>5501 to 5509</v>
      </c>
      <c r="D13" s="457"/>
      <c r="E13" s="17"/>
      <c r="F13" s="56"/>
      <c r="G13" s="303"/>
      <c r="H13" s="54"/>
      <c r="I13" s="54"/>
      <c r="J13" s="54"/>
      <c r="K13" s="54"/>
      <c r="L13" s="53"/>
    </row>
    <row r="14" spans="1:12" x14ac:dyDescent="0.2">
      <c r="A14" s="37">
        <f t="shared" si="0"/>
        <v>9</v>
      </c>
      <c r="B14" s="57" t="str">
        <f>F21S!B14</f>
        <v>Gain/(Loss) Disposal of FA</v>
      </c>
      <c r="C14" s="709" t="str">
        <f>F21S!C14</f>
        <v>9101</v>
      </c>
      <c r="D14" s="457"/>
      <c r="E14" s="17"/>
      <c r="F14" s="56"/>
      <c r="G14" s="303"/>
      <c r="H14" s="54"/>
      <c r="I14" s="54"/>
      <c r="J14" s="54"/>
      <c r="K14" s="54"/>
      <c r="L14" s="53"/>
    </row>
    <row r="15" spans="1:12" ht="11.25" customHeight="1" x14ac:dyDescent="0.2">
      <c r="A15" s="37">
        <f t="shared" si="0"/>
        <v>10</v>
      </c>
      <c r="B15" s="57" t="str">
        <f>F21S!B15</f>
        <v>Other Op Income</v>
      </c>
      <c r="C15" s="709" t="str">
        <f>F21S!C15</f>
        <v>5511 to 5599, 9001 to 9019, 9041Credit, 9102 to 9109Credit</v>
      </c>
      <c r="D15" s="457"/>
      <c r="E15" s="17"/>
      <c r="F15" s="56"/>
      <c r="G15" s="303"/>
      <c r="H15" s="54"/>
      <c r="I15" s="54"/>
      <c r="J15" s="54"/>
      <c r="K15" s="54"/>
      <c r="L15" s="53"/>
    </row>
    <row r="16" spans="1:12" ht="11.25" customHeight="1" x14ac:dyDescent="0.2">
      <c r="A16" s="37">
        <f t="shared" si="0"/>
        <v>11</v>
      </c>
      <c r="B16" s="441" t="str">
        <f>F21S!B16</f>
        <v>Other Op Expense</v>
      </c>
      <c r="C16" s="709" t="str">
        <f>F21S!C16</f>
        <v>5601 to 5999, 9041Debit, 9102 to 9109Debit, 9111 to 9115, 9117 to 9199</v>
      </c>
      <c r="D16" s="457"/>
      <c r="E16" s="17"/>
      <c r="F16" s="56"/>
      <c r="G16" s="303"/>
      <c r="H16" s="54"/>
      <c r="I16" s="54"/>
      <c r="J16" s="54"/>
      <c r="K16" s="54"/>
      <c r="L16" s="53"/>
    </row>
    <row r="17" spans="1:13" s="31" customFormat="1" ht="11.25" customHeight="1" x14ac:dyDescent="0.2">
      <c r="A17" s="679">
        <f t="shared" si="0"/>
        <v>12</v>
      </c>
      <c r="B17" s="78" t="str">
        <f>F21S!B17</f>
        <v>Total Oth Op Income/ (Exp)</v>
      </c>
      <c r="C17" s="711" t="str">
        <f>F21S!C17</f>
        <v>=SUM(C13:C16)</v>
      </c>
      <c r="D17" s="46"/>
      <c r="E17" s="51"/>
      <c r="F17" s="49"/>
      <c r="G17" s="301"/>
      <c r="H17" s="49"/>
      <c r="I17" s="49"/>
      <c r="J17" s="49"/>
      <c r="K17" s="49"/>
      <c r="L17" s="48"/>
      <c r="M17" s="77"/>
    </row>
    <row r="18" spans="1:13" x14ac:dyDescent="0.2">
      <c r="A18" s="37">
        <f t="shared" si="0"/>
        <v>13</v>
      </c>
      <c r="B18" s="57" t="str">
        <f>F21S!B18</f>
        <v>Personnel Related Cost</v>
      </c>
      <c r="C18" s="709" t="str">
        <f>F21S!C18</f>
        <v>7000 to 7099</v>
      </c>
      <c r="D18" s="457"/>
      <c r="E18" s="17"/>
      <c r="F18" s="56"/>
      <c r="G18" s="303"/>
      <c r="H18" s="54"/>
      <c r="I18" s="54"/>
      <c r="J18" s="54"/>
      <c r="K18" s="54"/>
      <c r="L18" s="53"/>
    </row>
    <row r="19" spans="1:13" x14ac:dyDescent="0.2">
      <c r="A19" s="37">
        <f t="shared" si="0"/>
        <v>14</v>
      </c>
      <c r="B19" s="57" t="str">
        <f>F21S!B19</f>
        <v>Carriage/Transportation</v>
      </c>
      <c r="C19" s="709" t="str">
        <f>F21S!C19</f>
        <v>7100 to 7199</v>
      </c>
      <c r="D19" s="457"/>
      <c r="E19" s="17"/>
      <c r="F19" s="56"/>
      <c r="G19" s="303"/>
      <c r="H19" s="54"/>
      <c r="I19" s="54"/>
      <c r="J19" s="54"/>
      <c r="K19" s="54"/>
      <c r="L19" s="53"/>
    </row>
    <row r="20" spans="1:13" x14ac:dyDescent="0.2">
      <c r="A20" s="37">
        <f t="shared" si="0"/>
        <v>15</v>
      </c>
      <c r="B20" s="57" t="str">
        <f>F21S!B20</f>
        <v>Advertising/Promotion</v>
      </c>
      <c r="C20" s="709" t="str">
        <f>F21S!C20</f>
        <v>7200 to 7299</v>
      </c>
      <c r="D20" s="457"/>
      <c r="E20" s="17"/>
      <c r="F20" s="56"/>
      <c r="G20" s="303"/>
      <c r="H20" s="54"/>
      <c r="I20" s="54"/>
      <c r="J20" s="54"/>
      <c r="K20" s="54"/>
      <c r="L20" s="53"/>
    </row>
    <row r="21" spans="1:13" x14ac:dyDescent="0.2">
      <c r="A21" s="37">
        <f t="shared" si="0"/>
        <v>16</v>
      </c>
      <c r="B21" s="57" t="str">
        <f>F21S!B21</f>
        <v>Overseas Travelling</v>
      </c>
      <c r="C21" s="709" t="str">
        <f>F21S!C21</f>
        <v>7301</v>
      </c>
      <c r="D21" s="457"/>
      <c r="E21" s="17"/>
      <c r="F21" s="56"/>
      <c r="G21" s="303"/>
      <c r="H21" s="54"/>
      <c r="I21" s="54"/>
      <c r="J21" s="54"/>
      <c r="K21" s="54"/>
      <c r="L21" s="53"/>
    </row>
    <row r="22" spans="1:13" x14ac:dyDescent="0.2">
      <c r="A22" s="37">
        <f t="shared" si="0"/>
        <v>17</v>
      </c>
      <c r="B22" s="57" t="str">
        <f>F21S!B22</f>
        <v xml:space="preserve">Entertainment </v>
      </c>
      <c r="C22" s="709" t="str">
        <f>F21S!C22</f>
        <v>7302 to 7399</v>
      </c>
      <c r="D22" s="457"/>
      <c r="E22" s="17"/>
      <c r="F22" s="56"/>
      <c r="G22" s="303"/>
      <c r="H22" s="54"/>
      <c r="I22" s="54"/>
      <c r="J22" s="54"/>
      <c r="K22" s="54"/>
      <c r="L22" s="53"/>
      <c r="M22" s="4"/>
    </row>
    <row r="23" spans="1:13" x14ac:dyDescent="0.2">
      <c r="A23" s="37">
        <f t="shared" si="0"/>
        <v>18</v>
      </c>
      <c r="B23" s="57" t="str">
        <f>F21S!B23</f>
        <v>Equipment Expenses</v>
      </c>
      <c r="C23" s="709" t="str">
        <f>F21S!C23</f>
        <v>7400 to 7499</v>
      </c>
      <c r="D23" s="457"/>
      <c r="E23" s="17"/>
      <c r="F23" s="56"/>
      <c r="G23" s="303"/>
      <c r="H23" s="54"/>
      <c r="I23" s="54"/>
      <c r="J23" s="54"/>
      <c r="K23" s="54"/>
      <c r="L23" s="53"/>
      <c r="M23" s="4"/>
    </row>
    <row r="24" spans="1:13" x14ac:dyDescent="0.2">
      <c r="A24" s="37">
        <f t="shared" si="0"/>
        <v>19</v>
      </c>
      <c r="B24" s="57" t="str">
        <f>F21S!B24</f>
        <v>Rental/Property Related</v>
      </c>
      <c r="C24" s="709" t="str">
        <f>F21S!C24</f>
        <v>7500 to 7599</v>
      </c>
      <c r="D24" s="457"/>
      <c r="E24" s="17"/>
      <c r="F24" s="56"/>
      <c r="G24" s="303"/>
      <c r="H24" s="54"/>
      <c r="I24" s="54"/>
      <c r="J24" s="54"/>
      <c r="K24" s="54"/>
      <c r="L24" s="53"/>
    </row>
    <row r="25" spans="1:13" x14ac:dyDescent="0.2">
      <c r="A25" s="37">
        <f t="shared" si="0"/>
        <v>20</v>
      </c>
      <c r="B25" s="57" t="str">
        <f>F21S!B25</f>
        <v>Depn of Fixed Assets</v>
      </c>
      <c r="C25" s="709" t="str">
        <f>F21S!C25</f>
        <v>7600 to 7699</v>
      </c>
      <c r="D25" s="457"/>
      <c r="E25" s="17"/>
      <c r="F25" s="56"/>
      <c r="G25" s="303"/>
      <c r="H25" s="54"/>
      <c r="I25" s="54"/>
      <c r="J25" s="54"/>
      <c r="K25" s="54"/>
      <c r="L25" s="53"/>
      <c r="M25" s="4"/>
    </row>
    <row r="26" spans="1:13" x14ac:dyDescent="0.2">
      <c r="A26" s="37">
        <f t="shared" si="0"/>
        <v>21</v>
      </c>
      <c r="B26" s="57" t="str">
        <f>F21S!B26</f>
        <v>Stationery/Printing/Telephone</v>
      </c>
      <c r="C26" s="709" t="str">
        <f>F21S!C26</f>
        <v>7701 to 7705</v>
      </c>
      <c r="D26" s="457"/>
      <c r="E26" s="17"/>
      <c r="F26" s="56"/>
      <c r="G26" s="303"/>
      <c r="H26" s="54"/>
      <c r="I26" s="54"/>
      <c r="J26" s="54"/>
      <c r="K26" s="54"/>
      <c r="L26" s="53"/>
      <c r="M26" s="4"/>
    </row>
    <row r="27" spans="1:13" x14ac:dyDescent="0.2">
      <c r="A27" s="37">
        <f t="shared" si="0"/>
        <v>22</v>
      </c>
      <c r="B27" s="57" t="str">
        <f>F21S!B27</f>
        <v>HO/Interco and Other S&amp;D</v>
      </c>
      <c r="C27" s="709" t="str">
        <f>F21S!C27</f>
        <v>7706 to 7999</v>
      </c>
      <c r="D27" s="457"/>
      <c r="E27" s="17"/>
      <c r="F27" s="56"/>
      <c r="G27" s="303"/>
      <c r="H27" s="54"/>
      <c r="I27" s="54"/>
      <c r="J27" s="54"/>
      <c r="K27" s="54"/>
      <c r="L27" s="53"/>
      <c r="M27" s="4"/>
    </row>
    <row r="28" spans="1:13" s="31" customFormat="1" x14ac:dyDescent="0.2">
      <c r="A28" s="679">
        <f t="shared" si="0"/>
        <v>23</v>
      </c>
      <c r="B28" s="41" t="str">
        <f>F21S!B28</f>
        <v>Total S&amp;D Expenses</v>
      </c>
      <c r="C28" s="710" t="str">
        <f>F21S!C28</f>
        <v>=SUM(C18:C27)</v>
      </c>
      <c r="D28" s="46"/>
      <c r="E28" s="51"/>
      <c r="F28" s="50"/>
      <c r="G28" s="301"/>
      <c r="H28" s="49"/>
      <c r="I28" s="49"/>
      <c r="J28" s="49"/>
      <c r="K28" s="49"/>
      <c r="L28" s="76"/>
      <c r="M28" s="59"/>
    </row>
    <row r="29" spans="1:13" x14ac:dyDescent="0.2">
      <c r="A29" s="37">
        <f t="shared" si="0"/>
        <v>24</v>
      </c>
      <c r="B29" s="57" t="str">
        <f>F21S!B29</f>
        <v>Personnel Related Cost</v>
      </c>
      <c r="C29" s="709" t="str">
        <f>F21S!C29</f>
        <v>8000 to 8099</v>
      </c>
      <c r="D29" s="457"/>
      <c r="E29" s="17"/>
      <c r="F29" s="56"/>
      <c r="G29" s="303"/>
      <c r="H29" s="54"/>
      <c r="I29" s="54"/>
      <c r="J29" s="54"/>
      <c r="K29" s="54"/>
      <c r="L29" s="55"/>
      <c r="M29" s="58"/>
    </row>
    <row r="30" spans="1:13" x14ac:dyDescent="0.2">
      <c r="A30" s="37">
        <f t="shared" si="0"/>
        <v>25</v>
      </c>
      <c r="B30" s="57" t="str">
        <f>F21S!B30</f>
        <v>Overseas Travelling</v>
      </c>
      <c r="C30" s="709" t="str">
        <f>F21S!C30</f>
        <v>8101</v>
      </c>
      <c r="D30" s="457"/>
      <c r="E30" s="17"/>
      <c r="F30" s="56"/>
      <c r="G30" s="303"/>
      <c r="H30" s="54"/>
      <c r="I30" s="54"/>
      <c r="J30" s="54"/>
      <c r="K30" s="54"/>
      <c r="L30" s="55"/>
      <c r="M30" s="58"/>
    </row>
    <row r="31" spans="1:13" x14ac:dyDescent="0.2">
      <c r="A31" s="37">
        <f t="shared" si="0"/>
        <v>26</v>
      </c>
      <c r="B31" s="57" t="str">
        <f>F21S!B31</f>
        <v>Transportation</v>
      </c>
      <c r="C31" s="709" t="str">
        <f>F21S!C31</f>
        <v>8102 to 8149</v>
      </c>
      <c r="D31" s="457"/>
      <c r="E31" s="17"/>
      <c r="F31" s="56"/>
      <c r="G31" s="303"/>
      <c r="H31" s="54"/>
      <c r="I31" s="54"/>
      <c r="J31" s="54"/>
      <c r="K31" s="54"/>
      <c r="L31" s="55"/>
      <c r="M31" s="58"/>
    </row>
    <row r="32" spans="1:13" x14ac:dyDescent="0.2">
      <c r="A32" s="37">
        <f t="shared" si="0"/>
        <v>27</v>
      </c>
      <c r="B32" s="57" t="str">
        <f>F21S!B32</f>
        <v>Entertainment &amp; Donations</v>
      </c>
      <c r="C32" s="709" t="str">
        <f>F21S!C32</f>
        <v>8150 to 8199</v>
      </c>
      <c r="D32" s="457"/>
      <c r="E32" s="17"/>
      <c r="F32" s="56"/>
      <c r="G32" s="303"/>
      <c r="H32" s="54"/>
      <c r="I32" s="54"/>
      <c r="J32" s="54"/>
      <c r="K32" s="54"/>
      <c r="L32" s="55"/>
      <c r="M32" s="58"/>
    </row>
    <row r="33" spans="1:13" x14ac:dyDescent="0.2">
      <c r="A33" s="37">
        <f t="shared" si="0"/>
        <v>28</v>
      </c>
      <c r="B33" s="57" t="str">
        <f>F21S!B33</f>
        <v>Equipment Expenses</v>
      </c>
      <c r="C33" s="709" t="str">
        <f>F21S!C33</f>
        <v>8200 to 8299</v>
      </c>
      <c r="D33" s="457"/>
      <c r="E33" s="17"/>
      <c r="F33" s="56"/>
      <c r="G33" s="303"/>
      <c r="H33" s="54"/>
      <c r="I33" s="54"/>
      <c r="J33" s="54"/>
      <c r="K33" s="54"/>
      <c r="L33" s="55"/>
      <c r="M33" s="58"/>
    </row>
    <row r="34" spans="1:13" x14ac:dyDescent="0.2">
      <c r="A34" s="37">
        <f t="shared" si="0"/>
        <v>29</v>
      </c>
      <c r="B34" s="57" t="str">
        <f>F21S!B34</f>
        <v>Rental/Property Related</v>
      </c>
      <c r="C34" s="709" t="str">
        <f>F21S!C34</f>
        <v>8300 to 8399</v>
      </c>
      <c r="D34" s="457"/>
      <c r="E34" s="17"/>
      <c r="F34" s="56"/>
      <c r="G34" s="303"/>
      <c r="H34" s="54"/>
      <c r="I34" s="54"/>
      <c r="J34" s="54"/>
      <c r="K34" s="54"/>
      <c r="L34" s="55"/>
      <c r="M34" s="58"/>
    </row>
    <row r="35" spans="1:13" x14ac:dyDescent="0.2">
      <c r="A35" s="37">
        <f t="shared" si="0"/>
        <v>30</v>
      </c>
      <c r="B35" s="57" t="str">
        <f>F21S!B35</f>
        <v>Depn of Fixed Assets</v>
      </c>
      <c r="C35" s="709" t="str">
        <f>F21S!C35</f>
        <v>8400 to 8499</v>
      </c>
      <c r="D35" s="457"/>
      <c r="E35" s="17"/>
      <c r="F35" s="56"/>
      <c r="G35" s="303"/>
      <c r="H35" s="54"/>
      <c r="I35" s="54"/>
      <c r="J35" s="54"/>
      <c r="K35" s="54"/>
      <c r="L35" s="55"/>
      <c r="M35" s="58"/>
    </row>
    <row r="36" spans="1:13" x14ac:dyDescent="0.2">
      <c r="A36" s="37">
        <f t="shared" si="0"/>
        <v>31</v>
      </c>
      <c r="B36" s="57" t="str">
        <f>F21S!B36</f>
        <v>Stationery/Printing/Telephone</v>
      </c>
      <c r="C36" s="709" t="str">
        <f>F21S!C36</f>
        <v>8500 to 8599</v>
      </c>
      <c r="D36" s="457"/>
      <c r="E36" s="17"/>
      <c r="F36" s="56"/>
      <c r="G36" s="303"/>
      <c r="H36" s="54"/>
      <c r="I36" s="54"/>
      <c r="J36" s="54"/>
      <c r="K36" s="54"/>
      <c r="L36" s="55"/>
      <c r="M36" s="58"/>
    </row>
    <row r="37" spans="1:13" x14ac:dyDescent="0.2">
      <c r="A37" s="37">
        <f t="shared" si="0"/>
        <v>32</v>
      </c>
      <c r="B37" s="57" t="str">
        <f>F21S!B37</f>
        <v>Legal/Prof Fees/Ins/Safety</v>
      </c>
      <c r="C37" s="709" t="str">
        <f>F21S!C37</f>
        <v>8600 to 8649</v>
      </c>
      <c r="D37" s="457"/>
      <c r="E37" s="17"/>
      <c r="F37" s="56"/>
      <c r="G37" s="303"/>
      <c r="H37" s="54"/>
      <c r="I37" s="54"/>
      <c r="J37" s="54"/>
      <c r="K37" s="54"/>
      <c r="L37" s="55"/>
      <c r="M37" s="58"/>
    </row>
    <row r="38" spans="1:13" x14ac:dyDescent="0.2">
      <c r="A38" s="37">
        <f t="shared" si="0"/>
        <v>33</v>
      </c>
      <c r="B38" s="57" t="str">
        <f>F21S!B38</f>
        <v>IT System Exps</v>
      </c>
      <c r="C38" s="709" t="str">
        <f>F21S!C38</f>
        <v>8651</v>
      </c>
      <c r="D38" s="457"/>
      <c r="E38" s="17"/>
      <c r="F38" s="56"/>
      <c r="G38" s="303"/>
      <c r="H38" s="54"/>
      <c r="I38" s="54"/>
      <c r="J38" s="54"/>
      <c r="K38" s="54"/>
      <c r="L38" s="55"/>
      <c r="M38" s="58"/>
    </row>
    <row r="39" spans="1:13" x14ac:dyDescent="0.2">
      <c r="A39" s="37">
        <f t="shared" si="0"/>
        <v>34</v>
      </c>
      <c r="B39" s="57" t="str">
        <f>F21S!B39</f>
        <v>Purchasing Exps</v>
      </c>
      <c r="C39" s="709" t="str">
        <f>F21S!C39</f>
        <v>8653</v>
      </c>
      <c r="D39" s="457"/>
      <c r="E39" s="17"/>
      <c r="F39" s="56"/>
      <c r="G39" s="303"/>
      <c r="H39" s="54"/>
      <c r="I39" s="54"/>
      <c r="J39" s="54"/>
      <c r="K39" s="54"/>
      <c r="L39" s="55"/>
      <c r="M39" s="58"/>
    </row>
    <row r="40" spans="1:13" s="31" customFormat="1" x14ac:dyDescent="0.2">
      <c r="A40" s="679">
        <f t="shared" si="0"/>
        <v>35</v>
      </c>
      <c r="B40" s="41" t="str">
        <f>F21S!B40</f>
        <v xml:space="preserve">A&amp;G Direct Expenses </v>
      </c>
      <c r="C40" s="710" t="str">
        <f>F21S!C40</f>
        <v>=SUM(C29:C39)</v>
      </c>
      <c r="D40" s="46"/>
      <c r="E40" s="51"/>
      <c r="F40" s="50"/>
      <c r="G40" s="301"/>
      <c r="H40" s="49"/>
      <c r="I40" s="49"/>
      <c r="J40" s="49"/>
      <c r="K40" s="49"/>
      <c r="L40" s="48"/>
      <c r="M40" s="65"/>
    </row>
    <row r="41" spans="1:13" s="31" customFormat="1" x14ac:dyDescent="0.2">
      <c r="A41" s="37">
        <f t="shared" si="0"/>
        <v>36</v>
      </c>
      <c r="B41" s="57" t="str">
        <f>F21S!B41</f>
        <v>Prov for Stock Obso/Pilferage</v>
      </c>
      <c r="C41" s="709" t="str">
        <f>F21S!C41</f>
        <v>8701 to 8702</v>
      </c>
      <c r="D41" s="73"/>
      <c r="E41" s="75"/>
      <c r="F41" s="72"/>
      <c r="G41" s="304"/>
      <c r="H41" s="43"/>
      <c r="I41" s="43"/>
      <c r="J41" s="43"/>
      <c r="K41" s="43"/>
      <c r="L41" s="42"/>
      <c r="M41" s="65"/>
    </row>
    <row r="42" spans="1:13" s="31" customFormat="1" x14ac:dyDescent="0.2">
      <c r="A42" s="37">
        <f t="shared" si="0"/>
        <v>37</v>
      </c>
      <c r="B42" s="57" t="str">
        <f>F21S!B42</f>
        <v>Prov for Doubtful Debts</v>
      </c>
      <c r="C42" s="709" t="str">
        <f>F21S!C42</f>
        <v>8703</v>
      </c>
      <c r="D42" s="73"/>
      <c r="E42" s="75"/>
      <c r="F42" s="72"/>
      <c r="G42" s="304"/>
      <c r="H42" s="43"/>
      <c r="I42" s="43"/>
      <c r="J42" s="43"/>
      <c r="K42" s="43"/>
      <c r="L42" s="42"/>
      <c r="M42" s="65"/>
    </row>
    <row r="43" spans="1:13" s="31" customFormat="1" x14ac:dyDescent="0.2">
      <c r="A43" s="37">
        <f t="shared" si="0"/>
        <v>38</v>
      </c>
      <c r="B43" s="57" t="str">
        <f>F21S!B43</f>
        <v xml:space="preserve">Bad Debts Recovered </v>
      </c>
      <c r="C43" s="709" t="str">
        <f>F21S!C43</f>
        <v>8704</v>
      </c>
      <c r="D43" s="73"/>
      <c r="E43" s="75"/>
      <c r="F43" s="72"/>
      <c r="G43" s="304"/>
      <c r="H43" s="43"/>
      <c r="I43" s="43"/>
      <c r="J43" s="43"/>
      <c r="K43" s="43"/>
      <c r="L43" s="42"/>
      <c r="M43" s="65"/>
    </row>
    <row r="44" spans="1:13" s="31" customFormat="1" x14ac:dyDescent="0.2">
      <c r="A44" s="37">
        <f t="shared" si="0"/>
        <v>39</v>
      </c>
      <c r="B44" s="57" t="str">
        <f>F21S!B44</f>
        <v>Stocks Written Down/Written Off</v>
      </c>
      <c r="C44" s="709" t="str">
        <f>F21S!C44</f>
        <v>8705</v>
      </c>
      <c r="D44" s="73"/>
      <c r="E44" s="75"/>
      <c r="F44" s="72"/>
      <c r="G44" s="304"/>
      <c r="H44" s="43"/>
      <c r="I44" s="43"/>
      <c r="J44" s="43"/>
      <c r="K44" s="43"/>
      <c r="L44" s="42"/>
      <c r="M44" s="65"/>
    </row>
    <row r="45" spans="1:13" s="31" customFormat="1" x14ac:dyDescent="0.2">
      <c r="A45" s="37">
        <f t="shared" si="0"/>
        <v>40</v>
      </c>
      <c r="B45" s="57" t="str">
        <f>F21S!B45</f>
        <v>GST/VAT Expense</v>
      </c>
      <c r="C45" s="709" t="str">
        <f>F21S!C45</f>
        <v>8711 to 8712</v>
      </c>
      <c r="D45" s="73"/>
      <c r="E45" s="75"/>
      <c r="F45" s="72"/>
      <c r="G45" s="304"/>
      <c r="H45" s="43"/>
      <c r="I45" s="43"/>
      <c r="J45" s="43"/>
      <c r="K45" s="43"/>
      <c r="L45" s="42"/>
      <c r="M45" s="65"/>
    </row>
    <row r="46" spans="1:13" s="31" customFormat="1" x14ac:dyDescent="0.2">
      <c r="A46" s="37">
        <f t="shared" si="0"/>
        <v>41</v>
      </c>
      <c r="B46" s="57" t="str">
        <f>F21S!B46</f>
        <v xml:space="preserve">HO/Interco Alloc </v>
      </c>
      <c r="C46" s="709" t="str">
        <f>F21S!C46</f>
        <v>8798 to 8799</v>
      </c>
      <c r="D46" s="73"/>
      <c r="E46" s="75"/>
      <c r="F46" s="72"/>
      <c r="G46" s="304"/>
      <c r="H46" s="43"/>
      <c r="I46" s="43"/>
      <c r="J46" s="43"/>
      <c r="K46" s="43"/>
      <c r="L46" s="42"/>
      <c r="M46" s="65"/>
    </row>
    <row r="47" spans="1:13" s="31" customFormat="1" x14ac:dyDescent="0.2">
      <c r="A47" s="679">
        <f t="shared" si="0"/>
        <v>42</v>
      </c>
      <c r="B47" s="41" t="str">
        <f>F21S!B47</f>
        <v xml:space="preserve">Other A&amp;G Expenses </v>
      </c>
      <c r="C47" s="710" t="str">
        <f>F21S!C47</f>
        <v>=SUM(C41:C46)</v>
      </c>
      <c r="D47" s="46"/>
      <c r="E47" s="51"/>
      <c r="F47" s="50"/>
      <c r="G47" s="301"/>
      <c r="H47" s="49"/>
      <c r="I47" s="49"/>
      <c r="J47" s="49"/>
      <c r="K47" s="49"/>
      <c r="L47" s="48"/>
      <c r="M47" s="65"/>
    </row>
    <row r="48" spans="1:13" s="31" customFormat="1" x14ac:dyDescent="0.2">
      <c r="A48" s="395">
        <f t="shared" si="0"/>
        <v>43</v>
      </c>
      <c r="B48" s="445" t="str">
        <f>F21S!B48</f>
        <v>Total A&amp;G Expenses</v>
      </c>
      <c r="C48" s="713" t="str">
        <f>F21S!C48</f>
        <v>=C40+C47</v>
      </c>
      <c r="D48" s="46"/>
      <c r="E48" s="51"/>
      <c r="F48" s="50"/>
      <c r="G48" s="301"/>
      <c r="H48" s="49"/>
      <c r="I48" s="49"/>
      <c r="J48" s="49"/>
      <c r="K48" s="49"/>
      <c r="L48" s="48"/>
      <c r="M48" s="65"/>
    </row>
    <row r="49" spans="1:16" s="31" customFormat="1" ht="12" thickBot="1" x14ac:dyDescent="0.25">
      <c r="A49" s="394">
        <f t="shared" si="0"/>
        <v>44</v>
      </c>
      <c r="B49" s="79" t="str">
        <f>F21S!B49</f>
        <v>Profit from Operations</v>
      </c>
      <c r="C49" s="714" t="str">
        <f>F21S!C49</f>
        <v>=C12+C17+C28+C48</v>
      </c>
      <c r="D49" s="70"/>
      <c r="E49" s="318"/>
      <c r="F49" s="68"/>
      <c r="G49" s="305"/>
      <c r="H49" s="67"/>
      <c r="I49" s="67"/>
      <c r="J49" s="67"/>
      <c r="K49" s="67"/>
      <c r="L49" s="66"/>
      <c r="M49" s="65"/>
    </row>
    <row r="50" spans="1:16" s="31" customFormat="1" ht="12" thickTop="1" x14ac:dyDescent="0.2">
      <c r="A50" s="470">
        <f t="shared" si="0"/>
        <v>45</v>
      </c>
      <c r="B50" s="64" t="str">
        <f>F21S!B50</f>
        <v>Interest Income</v>
      </c>
      <c r="C50" s="715" t="str">
        <f>F21S!C50</f>
        <v>9023</v>
      </c>
      <c r="D50" s="573"/>
      <c r="E50" s="472"/>
      <c r="F50" s="473"/>
      <c r="G50" s="475"/>
      <c r="H50" s="474"/>
      <c r="I50" s="474"/>
      <c r="J50" s="474"/>
      <c r="K50" s="474"/>
      <c r="L50" s="476"/>
      <c r="M50" s="65"/>
    </row>
    <row r="51" spans="1:16" s="31" customFormat="1" x14ac:dyDescent="0.2">
      <c r="A51" s="37">
        <f t="shared" si="0"/>
        <v>46</v>
      </c>
      <c r="B51" s="57" t="str">
        <f>F21S!B51</f>
        <v>Interest (Expense)</v>
      </c>
      <c r="C51" s="709" t="str">
        <f>F21S!C51</f>
        <v>8801 to 8809</v>
      </c>
      <c r="D51" s="574"/>
      <c r="E51" s="63"/>
      <c r="F51" s="61"/>
      <c r="G51" s="304"/>
      <c r="H51" s="43"/>
      <c r="I51" s="43"/>
      <c r="J51" s="43"/>
      <c r="K51" s="43"/>
      <c r="L51" s="42"/>
      <c r="M51" s="65"/>
    </row>
    <row r="52" spans="1:16" x14ac:dyDescent="0.2">
      <c r="A52" s="37">
        <f t="shared" si="0"/>
        <v>47</v>
      </c>
      <c r="B52" s="57" t="str">
        <f>F21S!B52</f>
        <v>Derivatives Gain/(Loss)</v>
      </c>
      <c r="C52" s="709" t="str">
        <f>F21S!C52</f>
        <v>8821 to 8822</v>
      </c>
      <c r="D52" s="457"/>
      <c r="E52" s="17"/>
      <c r="F52" s="56"/>
      <c r="G52" s="303"/>
      <c r="H52" s="54"/>
      <c r="I52" s="54"/>
      <c r="J52" s="54"/>
      <c r="K52" s="54"/>
      <c r="L52" s="55"/>
      <c r="M52" s="58"/>
    </row>
    <row r="53" spans="1:16" x14ac:dyDescent="0.2">
      <c r="A53" s="37">
        <f t="shared" si="0"/>
        <v>48</v>
      </c>
      <c r="B53" s="57" t="str">
        <f>F21S!B53</f>
        <v>Forex Gain/(Loss)</v>
      </c>
      <c r="C53" s="709" t="str">
        <f>F21S!C53</f>
        <v>8831 to 8832</v>
      </c>
      <c r="D53" s="457"/>
      <c r="E53" s="17"/>
      <c r="F53" s="56"/>
      <c r="G53" s="303"/>
      <c r="H53" s="54"/>
      <c r="I53" s="54"/>
      <c r="J53" s="54"/>
      <c r="K53" s="54"/>
      <c r="L53" s="53"/>
      <c r="M53" s="58"/>
    </row>
    <row r="54" spans="1:16" x14ac:dyDescent="0.2">
      <c r="A54" s="37">
        <f t="shared" si="0"/>
        <v>49</v>
      </c>
      <c r="B54" s="57" t="str">
        <f>F21S!B54</f>
        <v>Dividend Income</v>
      </c>
      <c r="C54" s="709" t="str">
        <f>F21S!C54</f>
        <v>9021</v>
      </c>
      <c r="D54" s="457"/>
      <c r="E54" s="17"/>
      <c r="F54" s="56"/>
      <c r="G54" s="303"/>
      <c r="H54" s="54"/>
      <c r="I54" s="54"/>
      <c r="J54" s="54"/>
      <c r="K54" s="54"/>
      <c r="L54" s="53"/>
    </row>
    <row r="55" spans="1:16" x14ac:dyDescent="0.2">
      <c r="A55" s="37">
        <f t="shared" si="0"/>
        <v>50</v>
      </c>
      <c r="B55" s="441" t="str">
        <f>F21S!B55</f>
        <v>Other Non-Op Income/(Exp)</v>
      </c>
      <c r="C55" s="709" t="str">
        <f>F21S!C55</f>
        <v>9031, 9116, 9200 to 9211</v>
      </c>
      <c r="D55" s="457"/>
      <c r="E55" s="17"/>
      <c r="F55" s="56"/>
      <c r="G55" s="303"/>
      <c r="H55" s="54"/>
      <c r="I55" s="54"/>
      <c r="J55" s="54"/>
      <c r="K55" s="54"/>
      <c r="L55" s="53"/>
    </row>
    <row r="56" spans="1:16" s="31" customFormat="1" x14ac:dyDescent="0.2">
      <c r="A56" s="679">
        <f t="shared" si="0"/>
        <v>51</v>
      </c>
      <c r="B56" s="52" t="str">
        <f>F21S!B56</f>
        <v>Total Non-Op Income/(Exp)</v>
      </c>
      <c r="C56" s="716" t="str">
        <f>F21S!C56</f>
        <v>=SUM(C50:C55)</v>
      </c>
      <c r="D56" s="46"/>
      <c r="E56" s="51"/>
      <c r="F56" s="50"/>
      <c r="G56" s="301"/>
      <c r="H56" s="49"/>
      <c r="I56" s="49"/>
      <c r="J56" s="49"/>
      <c r="K56" s="49"/>
      <c r="L56" s="48"/>
    </row>
    <row r="57" spans="1:16" s="31" customFormat="1" x14ac:dyDescent="0.2">
      <c r="A57" s="679">
        <f t="shared" si="0"/>
        <v>52</v>
      </c>
      <c r="B57" s="41" t="str">
        <f>F21S!B57</f>
        <v>Profit Before Taxation</v>
      </c>
      <c r="C57" s="710" t="str">
        <f>F21S!C57</f>
        <v>=C49+C56</v>
      </c>
      <c r="D57" s="46"/>
      <c r="E57" s="51"/>
      <c r="F57" s="44"/>
      <c r="G57" s="304"/>
      <c r="H57" s="43"/>
      <c r="I57" s="43"/>
      <c r="J57" s="43"/>
      <c r="K57" s="43"/>
      <c r="L57" s="42"/>
    </row>
    <row r="58" spans="1:16" x14ac:dyDescent="0.2">
      <c r="A58" s="679">
        <f t="shared" si="0"/>
        <v>53</v>
      </c>
      <c r="B58" s="41" t="str">
        <f>F21S!B58</f>
        <v>Less: Taxation</v>
      </c>
      <c r="C58" s="717" t="str">
        <f>F21S!C58</f>
        <v xml:space="preserve">9400 to 9999 </v>
      </c>
      <c r="D58" s="457"/>
      <c r="E58" s="17"/>
      <c r="F58" s="40"/>
      <c r="G58" s="306"/>
      <c r="H58" s="39"/>
      <c r="I58" s="39"/>
      <c r="J58" s="39"/>
      <c r="K58" s="39"/>
      <c r="L58" s="38"/>
    </row>
    <row r="59" spans="1:16" s="31" customFormat="1" ht="12" thickBot="1" x14ac:dyDescent="0.25">
      <c r="A59" s="394">
        <f t="shared" si="0"/>
        <v>54</v>
      </c>
      <c r="B59" s="36" t="str">
        <f>F21S!B59</f>
        <v>Profits After Taxation</v>
      </c>
      <c r="C59" s="718" t="str">
        <f>F21S!C59</f>
        <v>=C57+C58</v>
      </c>
      <c r="D59" s="317"/>
      <c r="E59" s="35"/>
      <c r="F59" s="34"/>
      <c r="G59" s="302"/>
      <c r="H59" s="34"/>
      <c r="I59" s="34"/>
      <c r="J59" s="34"/>
      <c r="K59" s="34"/>
      <c r="L59" s="33"/>
      <c r="N59" s="32"/>
      <c r="O59" s="32"/>
      <c r="P59" s="32"/>
    </row>
    <row r="60" spans="1:16" s="31" customFormat="1" ht="12" thickTop="1" x14ac:dyDescent="0.2">
      <c r="A60" s="37">
        <f t="shared" si="0"/>
        <v>55</v>
      </c>
      <c r="B60" s="5" t="str">
        <f>F21S!B60</f>
        <v>Dividend Declared</v>
      </c>
      <c r="C60" s="719" t="str">
        <f>F21S!C60</f>
        <v>4902</v>
      </c>
      <c r="D60" s="575"/>
      <c r="E60" s="74"/>
      <c r="F60" s="45"/>
      <c r="G60" s="477"/>
      <c r="H60" s="43"/>
      <c r="I60" s="43"/>
      <c r="J60" s="43"/>
      <c r="K60" s="43"/>
      <c r="L60" s="42"/>
      <c r="N60" s="32"/>
      <c r="O60" s="32"/>
      <c r="P60" s="32"/>
    </row>
    <row r="61" spans="1:16" x14ac:dyDescent="0.2">
      <c r="A61" s="679"/>
      <c r="B61" s="52" t="str">
        <f>F21S!B61</f>
        <v>Performance Indicators</v>
      </c>
      <c r="C61" s="716"/>
      <c r="D61" s="46" t="s">
        <v>1408</v>
      </c>
      <c r="E61" s="51" t="s">
        <v>1409</v>
      </c>
      <c r="F61" s="30" t="s">
        <v>58</v>
      </c>
      <c r="G61" s="456" t="s">
        <v>60</v>
      </c>
      <c r="H61" s="51" t="s">
        <v>59</v>
      </c>
      <c r="I61" s="51" t="s">
        <v>58</v>
      </c>
      <c r="J61" s="51" t="s">
        <v>57</v>
      </c>
      <c r="K61" s="51" t="s">
        <v>56</v>
      </c>
      <c r="L61" s="478" t="s">
        <v>60</v>
      </c>
    </row>
    <row r="62" spans="1:16" x14ac:dyDescent="0.2">
      <c r="A62" s="37">
        <f>A61+1</f>
        <v>1</v>
      </c>
      <c r="B62" s="22" t="str">
        <f>F21S!B62</f>
        <v>Gross Profits Margin %</v>
      </c>
      <c r="C62" s="720" t="str">
        <f>F21S!C62</f>
        <v>Gross Profits/Total Sales</v>
      </c>
      <c r="D62" s="576"/>
      <c r="E62" s="28"/>
      <c r="F62" s="26"/>
      <c r="G62" s="577"/>
      <c r="H62" s="26"/>
      <c r="I62" s="26"/>
      <c r="J62" s="26"/>
      <c r="K62" s="26"/>
      <c r="L62" s="25"/>
    </row>
    <row r="63" spans="1:16" x14ac:dyDescent="0.2">
      <c r="A63" s="19">
        <f>A62+1</f>
        <v>2</v>
      </c>
      <c r="B63" s="24" t="str">
        <f>F21S!B63</f>
        <v>- External Sales GP %</v>
      </c>
      <c r="C63" s="721" t="str">
        <f>F21S!C63</f>
        <v>(External Sales - Cost of External Sales)/External Sales</v>
      </c>
      <c r="D63" s="457"/>
      <c r="E63" s="17"/>
      <c r="F63" s="12"/>
      <c r="G63" s="578"/>
      <c r="H63" s="12"/>
      <c r="I63" s="12"/>
      <c r="J63" s="12"/>
      <c r="K63" s="12"/>
      <c r="L63" s="15"/>
    </row>
    <row r="64" spans="1:16" x14ac:dyDescent="0.2">
      <c r="A64" s="19">
        <v>3</v>
      </c>
      <c r="B64" s="24" t="str">
        <f>F21S!B64</f>
        <v>- Interco Sales GP %</v>
      </c>
      <c r="C64" s="721" t="str">
        <f>F21S!C64</f>
        <v>(Interco Sales - Cost of Interco Sales)/Interco Sales</v>
      </c>
      <c r="D64" s="457"/>
      <c r="E64" s="17"/>
      <c r="F64" s="12"/>
      <c r="G64" s="578"/>
      <c r="H64" s="12"/>
      <c r="I64" s="12"/>
      <c r="J64" s="12"/>
      <c r="K64" s="12"/>
      <c r="L64" s="15"/>
    </row>
    <row r="65" spans="1:12" x14ac:dyDescent="0.2">
      <c r="A65" s="19">
        <v>4</v>
      </c>
      <c r="B65" s="18" t="str">
        <f>F21S!B65</f>
        <v>Selling &amp; Dist Margin %</v>
      </c>
      <c r="C65" s="722" t="str">
        <f>F21S!C65</f>
        <v>-Total S&amp;D Exps/Total Sales</v>
      </c>
      <c r="D65" s="457"/>
      <c r="E65" s="17"/>
      <c r="F65" s="12"/>
      <c r="G65" s="20"/>
      <c r="H65" s="12"/>
      <c r="I65" s="12"/>
      <c r="J65" s="12"/>
      <c r="K65" s="12"/>
      <c r="L65" s="15"/>
    </row>
    <row r="66" spans="1:12" x14ac:dyDescent="0.2">
      <c r="A66" s="19">
        <v>5</v>
      </c>
      <c r="B66" s="22" t="str">
        <f>F21S!B66</f>
        <v>A&amp;G Margin Direct %</v>
      </c>
      <c r="C66" s="720" t="str">
        <f>F21S!C66</f>
        <v>-Total Direct A&amp;G Exps/Total Sales</v>
      </c>
      <c r="D66" s="457"/>
      <c r="E66" s="17"/>
      <c r="F66" s="12"/>
      <c r="G66" s="20"/>
      <c r="H66" s="12"/>
      <c r="I66" s="12"/>
      <c r="J66" s="12"/>
      <c r="K66" s="12"/>
      <c r="L66" s="15"/>
    </row>
    <row r="67" spans="1:12" x14ac:dyDescent="0.2">
      <c r="A67" s="19">
        <v>6</v>
      </c>
      <c r="B67" s="22" t="str">
        <f>F21S!B67</f>
        <v>A&amp;G Margin Total %</v>
      </c>
      <c r="C67" s="720" t="str">
        <f>F21S!C67</f>
        <v>-Total A&amp;G Exps/Total Sales</v>
      </c>
      <c r="D67" s="457"/>
      <c r="E67" s="17"/>
      <c r="F67" s="12"/>
      <c r="G67" s="20"/>
      <c r="H67" s="12"/>
      <c r="I67" s="12"/>
      <c r="J67" s="12"/>
      <c r="K67" s="12"/>
      <c r="L67" s="15"/>
    </row>
    <row r="68" spans="1:12" x14ac:dyDescent="0.2">
      <c r="A68" s="19">
        <v>7</v>
      </c>
      <c r="B68" s="21" t="str">
        <f>F21S!B68</f>
        <v>Operating Profit Margin %</v>
      </c>
      <c r="C68" s="723" t="str">
        <f>F21S!C68</f>
        <v>Profits from Operations/Total Sales</v>
      </c>
      <c r="D68" s="457"/>
      <c r="E68" s="17"/>
      <c r="F68" s="12"/>
      <c r="G68" s="20"/>
      <c r="H68" s="12"/>
      <c r="I68" s="12"/>
      <c r="J68" s="12"/>
      <c r="K68" s="12"/>
      <c r="L68" s="20"/>
    </row>
    <row r="69" spans="1:12" x14ac:dyDescent="0.2">
      <c r="A69" s="19">
        <v>8</v>
      </c>
      <c r="B69" s="21" t="str">
        <f>F21S!B69</f>
        <v>Profits Before Taxation %</v>
      </c>
      <c r="C69" s="723" t="str">
        <f>F21S!C69</f>
        <v>Profits Before Taxation/Total Sales</v>
      </c>
      <c r="D69" s="457"/>
      <c r="E69" s="17"/>
      <c r="F69" s="12"/>
      <c r="G69" s="20"/>
      <c r="H69" s="12"/>
      <c r="I69" s="12"/>
      <c r="J69" s="12"/>
      <c r="K69" s="12"/>
      <c r="L69" s="20"/>
    </row>
    <row r="70" spans="1:12" x14ac:dyDescent="0.2">
      <c r="A70" s="14">
        <v>9</v>
      </c>
      <c r="B70" s="105" t="str">
        <f>F21S!B70</f>
        <v>Profit After Taxation %</v>
      </c>
      <c r="C70" s="724" t="str">
        <f>F21S!C70</f>
        <v>Profits after Taxation/Total Sales</v>
      </c>
      <c r="D70" s="455"/>
      <c r="E70" s="13"/>
      <c r="F70" s="11"/>
      <c r="G70" s="10"/>
      <c r="H70" s="12"/>
      <c r="I70" s="11"/>
      <c r="J70" s="11"/>
      <c r="K70" s="11"/>
      <c r="L70" s="10"/>
    </row>
    <row r="71" spans="1:12" x14ac:dyDescent="0.2">
      <c r="F71" s="8"/>
      <c r="G71" s="8"/>
      <c r="H71" s="26"/>
      <c r="I71" s="8"/>
      <c r="J71" s="8"/>
      <c r="K71" s="8"/>
      <c r="L71" s="7"/>
    </row>
  </sheetData>
  <mergeCells count="11">
    <mergeCell ref="D4:G4"/>
    <mergeCell ref="H4:L4"/>
    <mergeCell ref="A5:B5"/>
    <mergeCell ref="A3:B4"/>
    <mergeCell ref="D1:G1"/>
    <mergeCell ref="H1:L1"/>
    <mergeCell ref="A2:B2"/>
    <mergeCell ref="D2:G2"/>
    <mergeCell ref="H2:L2"/>
    <mergeCell ref="D3:G3"/>
    <mergeCell ref="H3:L3"/>
  </mergeCells>
  <printOptions horizontalCentered="1" gridLines="1"/>
  <pageMargins left="0.39370078740157483" right="3.937007874015748E-2" top="0.6889763779527559" bottom="0.23622047244094491" header="0.51181102362204722" footer="0"/>
  <pageSetup paperSize="9" scale="9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7"/>
  <sheetViews>
    <sheetView view="pageBreakPreview" topLeftCell="A19" zoomScale="110" zoomScaleNormal="110" zoomScaleSheetLayoutView="110" workbookViewId="0">
      <selection activeCell="C29" sqref="C29"/>
    </sheetView>
  </sheetViews>
  <sheetFormatPr defaultRowHeight="11.25" x14ac:dyDescent="0.2"/>
  <cols>
    <col min="1" max="1" width="3.28515625" style="125" customWidth="1"/>
    <col min="2" max="2" width="23.28515625" style="4" bestFit="1" customWidth="1"/>
    <col min="3" max="3" width="53.85546875" style="4" customWidth="1"/>
    <col min="4" max="7" width="7.28515625" style="1" customWidth="1"/>
    <col min="8" max="8" width="7.28515625" style="3" customWidth="1"/>
    <col min="9" max="11" width="7.28515625" style="1" customWidth="1"/>
    <col min="12" max="12" width="7.28515625" style="128" customWidth="1"/>
    <col min="13" max="16" width="7.28515625" style="1" customWidth="1"/>
    <col min="17" max="17" width="8.28515625" style="1" customWidth="1"/>
    <col min="18" max="18" width="9.7109375" style="4" customWidth="1"/>
    <col min="19" max="16384" width="9.140625" style="1"/>
  </cols>
  <sheetData>
    <row r="1" spans="1:20" ht="12.75" customHeight="1" x14ac:dyDescent="0.2">
      <c r="A1" s="205" t="s">
        <v>66</v>
      </c>
      <c r="B1" s="206"/>
      <c r="C1" s="206"/>
      <c r="D1" s="875" t="str">
        <f>F21S!D1</f>
        <v>AS OF: 11-Oct-2017</v>
      </c>
      <c r="E1" s="876"/>
      <c r="F1" s="876"/>
      <c r="G1" s="876"/>
      <c r="H1" s="876"/>
      <c r="I1" s="876"/>
      <c r="J1" s="876"/>
      <c r="K1" s="876"/>
      <c r="L1" s="876"/>
      <c r="M1" s="876"/>
      <c r="N1" s="876"/>
      <c r="O1" s="308" t="s">
        <v>1410</v>
      </c>
      <c r="P1" s="308"/>
      <c r="Q1" s="308"/>
      <c r="R1" s="309"/>
    </row>
    <row r="2" spans="1:20" ht="12.75" customHeight="1" x14ac:dyDescent="0.2">
      <c r="A2" s="877" t="s">
        <v>1276</v>
      </c>
      <c r="B2" s="878"/>
      <c r="C2" s="699"/>
      <c r="D2" s="346" t="s">
        <v>93</v>
      </c>
      <c r="E2" s="4"/>
      <c r="F2" s="461"/>
      <c r="G2" s="461"/>
      <c r="H2" s="461"/>
      <c r="I2" s="461"/>
      <c r="J2" s="461"/>
      <c r="K2" s="4"/>
      <c r="L2" s="4"/>
      <c r="M2" s="4"/>
      <c r="N2" s="4"/>
      <c r="O2" s="462" t="s">
        <v>63</v>
      </c>
      <c r="P2" s="462"/>
      <c r="Q2" s="572"/>
      <c r="R2" s="83"/>
      <c r="S2" s="462"/>
      <c r="T2" s="4"/>
    </row>
    <row r="3" spans="1:20" ht="12.75" customHeight="1" x14ac:dyDescent="0.2">
      <c r="A3" s="284" t="s">
        <v>1451</v>
      </c>
      <c r="B3" s="106"/>
      <c r="C3" s="84"/>
      <c r="D3" s="879" t="s">
        <v>701</v>
      </c>
      <c r="E3" s="880"/>
      <c r="F3" s="880"/>
      <c r="G3" s="880"/>
      <c r="H3" s="880"/>
      <c r="I3" s="880"/>
      <c r="J3" s="880"/>
      <c r="K3" s="880"/>
      <c r="L3" s="880"/>
      <c r="M3" s="880"/>
      <c r="N3" s="880"/>
      <c r="O3" s="107" t="s">
        <v>61</v>
      </c>
      <c r="P3" s="108"/>
      <c r="Q3" s="108"/>
      <c r="R3" s="109"/>
    </row>
    <row r="4" spans="1:20" x14ac:dyDescent="0.2">
      <c r="A4" s="110"/>
      <c r="B4" s="82"/>
      <c r="C4" s="115"/>
      <c r="D4" s="100">
        <v>42826</v>
      </c>
      <c r="E4" s="100">
        <v>42856</v>
      </c>
      <c r="F4" s="100">
        <v>42887</v>
      </c>
      <c r="G4" s="100">
        <v>42917</v>
      </c>
      <c r="H4" s="100">
        <v>42948</v>
      </c>
      <c r="I4" s="100">
        <v>42979</v>
      </c>
      <c r="J4" s="100">
        <v>43009</v>
      </c>
      <c r="K4" s="100">
        <v>43040</v>
      </c>
      <c r="L4" s="100">
        <v>43070</v>
      </c>
      <c r="M4" s="100">
        <v>43101</v>
      </c>
      <c r="N4" s="100">
        <v>43132</v>
      </c>
      <c r="O4" s="100">
        <v>43160</v>
      </c>
      <c r="P4" s="130" t="s">
        <v>87</v>
      </c>
      <c r="Q4" s="456" t="s">
        <v>1493</v>
      </c>
      <c r="R4" s="300" t="s">
        <v>1326</v>
      </c>
    </row>
    <row r="5" spans="1:20" x14ac:dyDescent="0.2">
      <c r="A5" s="111">
        <v>1</v>
      </c>
      <c r="B5" s="57" t="str">
        <f>F21R!B6</f>
        <v>External Sales</v>
      </c>
      <c r="C5" s="750" t="str">
        <f>F21R!C6</f>
        <v>5001 to 5029, 5051 to 5099</v>
      </c>
      <c r="D5" s="101"/>
      <c r="E5" s="54"/>
      <c r="F5" s="56"/>
      <c r="G5" s="54"/>
      <c r="H5" s="55"/>
      <c r="I5" s="54"/>
      <c r="J5" s="54"/>
      <c r="K5" s="54"/>
      <c r="L5" s="55"/>
      <c r="M5" s="55"/>
      <c r="N5" s="55"/>
      <c r="O5" s="55"/>
      <c r="P5" s="396"/>
      <c r="Q5" s="53"/>
      <c r="R5" s="53"/>
    </row>
    <row r="6" spans="1:20" x14ac:dyDescent="0.2">
      <c r="A6" s="111">
        <f>A5+1</f>
        <v>2</v>
      </c>
      <c r="B6" s="57" t="str">
        <f>F21R!B7</f>
        <v>Interco Sales</v>
      </c>
      <c r="C6" s="750" t="str">
        <f>F21R!C7</f>
        <v>5031 to 5049</v>
      </c>
      <c r="D6" s="101"/>
      <c r="E6" s="54"/>
      <c r="F6" s="56"/>
      <c r="G6" s="54"/>
      <c r="H6" s="55"/>
      <c r="I6" s="54"/>
      <c r="J6" s="54"/>
      <c r="K6" s="54"/>
      <c r="L6" s="55"/>
      <c r="M6" s="55"/>
      <c r="N6" s="55"/>
      <c r="O6" s="55"/>
      <c r="P6" s="396"/>
      <c r="Q6" s="53"/>
      <c r="R6" s="53"/>
    </row>
    <row r="7" spans="1:20" s="31" customFormat="1" x14ac:dyDescent="0.2">
      <c r="A7" s="110">
        <f t="shared" ref="A7:A31" si="0">A6+1</f>
        <v>3</v>
      </c>
      <c r="B7" s="41" t="str">
        <f>F21R!B8</f>
        <v>Total Sales</v>
      </c>
      <c r="C7" s="316" t="s">
        <v>52</v>
      </c>
      <c r="D7" s="102"/>
      <c r="E7" s="49"/>
      <c r="F7" s="49"/>
      <c r="G7" s="49"/>
      <c r="H7" s="76"/>
      <c r="I7" s="49"/>
      <c r="J7" s="49"/>
      <c r="K7" s="49"/>
      <c r="L7" s="76"/>
      <c r="M7" s="76"/>
      <c r="N7" s="76"/>
      <c r="O7" s="76"/>
      <c r="P7" s="397"/>
      <c r="Q7" s="48"/>
      <c r="R7" s="48"/>
    </row>
    <row r="8" spans="1:20" x14ac:dyDescent="0.2">
      <c r="A8" s="111">
        <f t="shared" si="0"/>
        <v>4</v>
      </c>
      <c r="B8" s="57" t="str">
        <f>F21R!B9</f>
        <v>Cost of External Sales</v>
      </c>
      <c r="C8" s="750" t="str">
        <f>F21R!C9</f>
        <v>5101 to 5119, 5141 to 5499, 6000 to 6999</v>
      </c>
      <c r="D8" s="101"/>
      <c r="E8" s="54"/>
      <c r="F8" s="56"/>
      <c r="G8" s="54"/>
      <c r="H8" s="55"/>
      <c r="I8" s="54"/>
      <c r="J8" s="54"/>
      <c r="K8" s="54"/>
      <c r="L8" s="55"/>
      <c r="M8" s="55"/>
      <c r="N8" s="55"/>
      <c r="O8" s="55"/>
      <c r="P8" s="396"/>
      <c r="Q8" s="53"/>
      <c r="R8" s="53"/>
    </row>
    <row r="9" spans="1:20" x14ac:dyDescent="0.2">
      <c r="A9" s="111">
        <f t="shared" si="0"/>
        <v>5</v>
      </c>
      <c r="B9" s="57" t="str">
        <f>F21R!B10</f>
        <v>Cost of Interco Sales</v>
      </c>
      <c r="C9" s="750" t="str">
        <f>F21R!C10</f>
        <v>5121 to 5139</v>
      </c>
      <c r="D9" s="101"/>
      <c r="E9" s="54"/>
      <c r="F9" s="56"/>
      <c r="G9" s="54"/>
      <c r="H9" s="55"/>
      <c r="I9" s="54"/>
      <c r="J9" s="54"/>
      <c r="K9" s="54"/>
      <c r="L9" s="55"/>
      <c r="M9" s="55"/>
      <c r="N9" s="55"/>
      <c r="O9" s="55"/>
      <c r="P9" s="396"/>
      <c r="Q9" s="53"/>
      <c r="R9" s="53"/>
    </row>
    <row r="10" spans="1:20" s="31" customFormat="1" x14ac:dyDescent="0.2">
      <c r="A10" s="110">
        <f t="shared" si="0"/>
        <v>6</v>
      </c>
      <c r="B10" s="78" t="str">
        <f>F21R!B11</f>
        <v>Total Cost of Sales</v>
      </c>
      <c r="C10" s="316" t="s">
        <v>48</v>
      </c>
      <c r="D10" s="102"/>
      <c r="E10" s="49"/>
      <c r="F10" s="49"/>
      <c r="G10" s="49"/>
      <c r="H10" s="76"/>
      <c r="I10" s="49"/>
      <c r="J10" s="49"/>
      <c r="K10" s="49"/>
      <c r="L10" s="76"/>
      <c r="M10" s="76"/>
      <c r="N10" s="76"/>
      <c r="O10" s="76"/>
      <c r="P10" s="397"/>
      <c r="Q10" s="48"/>
      <c r="R10" s="48"/>
    </row>
    <row r="11" spans="1:20" s="31" customFormat="1" ht="11.25" customHeight="1" thickBot="1" x14ac:dyDescent="0.25">
      <c r="A11" s="393">
        <f t="shared" si="0"/>
        <v>7</v>
      </c>
      <c r="B11" s="79" t="str">
        <f>F21R!B12</f>
        <v>Gross Profit</v>
      </c>
      <c r="C11" s="321" t="s">
        <v>46</v>
      </c>
      <c r="D11" s="112"/>
      <c r="E11" s="34"/>
      <c r="F11" s="34"/>
      <c r="G11" s="34"/>
      <c r="H11" s="113"/>
      <c r="I11" s="34"/>
      <c r="J11" s="34"/>
      <c r="K11" s="34"/>
      <c r="L11" s="113"/>
      <c r="M11" s="113"/>
      <c r="N11" s="113"/>
      <c r="O11" s="113"/>
      <c r="P11" s="398"/>
      <c r="Q11" s="33"/>
      <c r="R11" s="33"/>
    </row>
    <row r="12" spans="1:20" ht="12" thickTop="1" x14ac:dyDescent="0.2">
      <c r="A12" s="111">
        <f t="shared" si="0"/>
        <v>8</v>
      </c>
      <c r="B12" s="57" t="str">
        <f>F21R!B13</f>
        <v>Commission/Mgt Income</v>
      </c>
      <c r="C12" s="750" t="str">
        <f>F21R!C13</f>
        <v>5501 to 5509</v>
      </c>
      <c r="D12" s="101"/>
      <c r="E12" s="54"/>
      <c r="F12" s="56"/>
      <c r="G12" s="54"/>
      <c r="H12" s="55"/>
      <c r="I12" s="54"/>
      <c r="J12" s="54"/>
      <c r="K12" s="54"/>
      <c r="L12" s="55"/>
      <c r="M12" s="55"/>
      <c r="N12" s="55"/>
      <c r="O12" s="55"/>
      <c r="P12" s="396"/>
      <c r="Q12" s="53"/>
      <c r="R12" s="53"/>
    </row>
    <row r="13" spans="1:20" x14ac:dyDescent="0.2">
      <c r="A13" s="111">
        <f t="shared" si="0"/>
        <v>9</v>
      </c>
      <c r="B13" s="57" t="str">
        <f>F21R!B14</f>
        <v>Gain/(Loss) Disposal of FA</v>
      </c>
      <c r="C13" s="750" t="str">
        <f>F21R!C14</f>
        <v>9101</v>
      </c>
      <c r="D13" s="101"/>
      <c r="E13" s="54"/>
      <c r="F13" s="56"/>
      <c r="G13" s="54"/>
      <c r="H13" s="55"/>
      <c r="I13" s="54"/>
      <c r="J13" s="54"/>
      <c r="K13" s="54"/>
      <c r="L13" s="55"/>
      <c r="M13" s="55"/>
      <c r="N13" s="55"/>
      <c r="O13" s="55"/>
      <c r="P13" s="396"/>
      <c r="Q13" s="53"/>
      <c r="R13" s="53"/>
    </row>
    <row r="14" spans="1:20" x14ac:dyDescent="0.2">
      <c r="A14" s="111">
        <f t="shared" si="0"/>
        <v>10</v>
      </c>
      <c r="B14" s="57" t="str">
        <f>F21R!B15</f>
        <v>Other Op Income</v>
      </c>
      <c r="C14" s="750" t="str">
        <f>F21R!C15</f>
        <v>5511 to 5599, 9001 to 9019, 9041Credit, 9102 to 9109Credit</v>
      </c>
      <c r="D14" s="101"/>
      <c r="E14" s="54"/>
      <c r="F14" s="56"/>
      <c r="G14" s="54"/>
      <c r="H14" s="55"/>
      <c r="I14" s="54"/>
      <c r="J14" s="54"/>
      <c r="K14" s="54"/>
      <c r="L14" s="55"/>
      <c r="M14" s="55"/>
      <c r="N14" s="55"/>
      <c r="O14" s="55"/>
      <c r="P14" s="396"/>
      <c r="Q14" s="53"/>
      <c r="R14" s="53"/>
      <c r="S14" s="1" t="s">
        <v>73</v>
      </c>
    </row>
    <row r="15" spans="1:20" ht="11.25" customHeight="1" x14ac:dyDescent="0.2">
      <c r="A15" s="111">
        <f t="shared" si="0"/>
        <v>11</v>
      </c>
      <c r="B15" s="57" t="str">
        <f>F21R!B16</f>
        <v>Other Op Expense</v>
      </c>
      <c r="C15" s="750" t="str">
        <f>F21R!C16</f>
        <v>5601 to 5999, 9041Debit, 9102 to 9109Debit, 9111 to 9115, 9117 to 9199</v>
      </c>
      <c r="D15" s="101"/>
      <c r="E15" s="54"/>
      <c r="F15" s="56"/>
      <c r="G15" s="54"/>
      <c r="H15" s="114"/>
      <c r="I15" s="54"/>
      <c r="J15" s="54"/>
      <c r="K15" s="54"/>
      <c r="L15" s="55"/>
      <c r="M15" s="55"/>
      <c r="N15" s="55"/>
      <c r="O15" s="55"/>
      <c r="P15" s="396"/>
      <c r="Q15" s="53"/>
      <c r="R15" s="53"/>
    </row>
    <row r="16" spans="1:20" s="31" customFormat="1" ht="11.25" customHeight="1" x14ac:dyDescent="0.2">
      <c r="A16" s="110">
        <f t="shared" si="0"/>
        <v>12</v>
      </c>
      <c r="B16" s="78" t="str">
        <f>F21R!B17</f>
        <v>Total Oth Op Income/ (Exp)</v>
      </c>
      <c r="C16" s="316" t="s">
        <v>1591</v>
      </c>
      <c r="D16" s="102"/>
      <c r="E16" s="49"/>
      <c r="F16" s="49"/>
      <c r="G16" s="49"/>
      <c r="H16" s="76"/>
      <c r="I16" s="49"/>
      <c r="J16" s="49"/>
      <c r="K16" s="49"/>
      <c r="L16" s="76"/>
      <c r="M16" s="76"/>
      <c r="N16" s="76"/>
      <c r="O16" s="76"/>
      <c r="P16" s="397"/>
      <c r="Q16" s="48"/>
      <c r="R16" s="48"/>
    </row>
    <row r="17" spans="1:18" x14ac:dyDescent="0.2">
      <c r="A17" s="111">
        <f t="shared" si="0"/>
        <v>13</v>
      </c>
      <c r="B17" s="115" t="s">
        <v>89</v>
      </c>
      <c r="C17" s="752" t="s">
        <v>1587</v>
      </c>
      <c r="D17" s="116"/>
      <c r="E17" s="117"/>
      <c r="F17" s="118"/>
      <c r="G17" s="117"/>
      <c r="H17" s="119"/>
      <c r="I17" s="117"/>
      <c r="J17" s="117"/>
      <c r="K17" s="117"/>
      <c r="L17" s="119"/>
      <c r="M17" s="119"/>
      <c r="N17" s="119"/>
      <c r="O17" s="119"/>
      <c r="P17" s="399"/>
      <c r="Q17" s="120"/>
      <c r="R17" s="120"/>
    </row>
    <row r="18" spans="1:18" x14ac:dyDescent="0.2">
      <c r="A18" s="111">
        <f t="shared" si="0"/>
        <v>14</v>
      </c>
      <c r="B18" s="5" t="s">
        <v>697</v>
      </c>
      <c r="C18" s="729" t="s">
        <v>1588</v>
      </c>
      <c r="D18" s="101"/>
      <c r="E18" s="54"/>
      <c r="F18" s="56"/>
      <c r="G18" s="54"/>
      <c r="H18" s="55"/>
      <c r="I18" s="54"/>
      <c r="J18" s="54"/>
      <c r="K18" s="54"/>
      <c r="L18" s="55"/>
      <c r="M18" s="55"/>
      <c r="N18" s="55"/>
      <c r="O18" s="55"/>
      <c r="P18" s="396"/>
      <c r="Q18" s="53"/>
      <c r="R18" s="53"/>
    </row>
    <row r="19" spans="1:18" x14ac:dyDescent="0.2">
      <c r="A19" s="111">
        <f t="shared" si="0"/>
        <v>15</v>
      </c>
      <c r="B19" s="5" t="s">
        <v>700</v>
      </c>
      <c r="C19" s="729" t="s">
        <v>1589</v>
      </c>
      <c r="D19" s="101"/>
      <c r="E19" s="54"/>
      <c r="F19" s="56"/>
      <c r="G19" s="54"/>
      <c r="H19" s="55"/>
      <c r="I19" s="54"/>
      <c r="J19" s="54"/>
      <c r="K19" s="54"/>
      <c r="L19" s="55"/>
      <c r="M19" s="55"/>
      <c r="N19" s="55"/>
      <c r="O19" s="55"/>
      <c r="P19" s="396"/>
      <c r="Q19" s="53"/>
      <c r="R19" s="53"/>
    </row>
    <row r="20" spans="1:18" ht="12" thickBot="1" x14ac:dyDescent="0.25">
      <c r="A20" s="393">
        <f t="shared" si="0"/>
        <v>16</v>
      </c>
      <c r="B20" s="79" t="str">
        <f>F21R!B49</f>
        <v>Profit from Operations</v>
      </c>
      <c r="C20" s="316" t="s">
        <v>1590</v>
      </c>
      <c r="D20" s="112"/>
      <c r="E20" s="34"/>
      <c r="F20" s="121"/>
      <c r="G20" s="34"/>
      <c r="H20" s="113"/>
      <c r="I20" s="34"/>
      <c r="J20" s="34"/>
      <c r="K20" s="34"/>
      <c r="L20" s="113"/>
      <c r="M20" s="113"/>
      <c r="N20" s="113"/>
      <c r="O20" s="113"/>
      <c r="P20" s="398"/>
      <c r="Q20" s="33"/>
      <c r="R20" s="33"/>
    </row>
    <row r="21" spans="1:18" ht="12" thickTop="1" x14ac:dyDescent="0.2">
      <c r="A21" s="111">
        <f t="shared" si="0"/>
        <v>17</v>
      </c>
      <c r="B21" s="64" t="str">
        <f>F21R!B50</f>
        <v>Interest Income</v>
      </c>
      <c r="C21" s="750" t="str">
        <f>F21R!C50</f>
        <v>9023</v>
      </c>
      <c r="D21" s="116"/>
      <c r="E21" s="117"/>
      <c r="F21" s="118"/>
      <c r="G21" s="117"/>
      <c r="H21" s="119"/>
      <c r="I21" s="117"/>
      <c r="J21" s="117"/>
      <c r="K21" s="117"/>
      <c r="L21" s="119"/>
      <c r="M21" s="119"/>
      <c r="N21" s="119"/>
      <c r="O21" s="119"/>
      <c r="P21" s="399"/>
      <c r="Q21" s="120"/>
      <c r="R21" s="120"/>
    </row>
    <row r="22" spans="1:18" x14ac:dyDescent="0.2">
      <c r="A22" s="111">
        <f t="shared" si="0"/>
        <v>18</v>
      </c>
      <c r="B22" s="57" t="str">
        <f>F21R!B51</f>
        <v>Interest (Expense)</v>
      </c>
      <c r="C22" s="750" t="str">
        <f>F21R!C51</f>
        <v>8801 to 8809</v>
      </c>
      <c r="D22" s="101"/>
      <c r="E22" s="54"/>
      <c r="F22" s="56"/>
      <c r="G22" s="54"/>
      <c r="H22" s="55"/>
      <c r="I22" s="54"/>
      <c r="J22" s="54"/>
      <c r="K22" s="54"/>
      <c r="L22" s="55"/>
      <c r="M22" s="55"/>
      <c r="N22" s="55"/>
      <c r="O22" s="55"/>
      <c r="P22" s="396"/>
      <c r="Q22" s="53"/>
      <c r="R22" s="53"/>
    </row>
    <row r="23" spans="1:18" x14ac:dyDescent="0.2">
      <c r="A23" s="111">
        <f t="shared" si="0"/>
        <v>19</v>
      </c>
      <c r="B23" s="57" t="str">
        <f>F21R!B52</f>
        <v>Derivatives Gain/(Loss)</v>
      </c>
      <c r="C23" s="750" t="str">
        <f>F21R!C52</f>
        <v>8821 to 8822</v>
      </c>
      <c r="D23" s="101"/>
      <c r="E23" s="54"/>
      <c r="F23" s="56"/>
      <c r="G23" s="54"/>
      <c r="H23" s="55"/>
      <c r="I23" s="54"/>
      <c r="J23" s="54"/>
      <c r="K23" s="54"/>
      <c r="L23" s="55"/>
      <c r="M23" s="55"/>
      <c r="N23" s="55"/>
      <c r="O23" s="55"/>
      <c r="P23" s="396"/>
      <c r="Q23" s="53"/>
      <c r="R23" s="53"/>
    </row>
    <row r="24" spans="1:18" x14ac:dyDescent="0.2">
      <c r="A24" s="111">
        <f t="shared" si="0"/>
        <v>20</v>
      </c>
      <c r="B24" s="57" t="str">
        <f>F21R!B53</f>
        <v>Forex Gain/(Loss)</v>
      </c>
      <c r="C24" s="750" t="str">
        <f>F21R!C53</f>
        <v>8831 to 8832</v>
      </c>
      <c r="D24" s="101"/>
      <c r="E24" s="54"/>
      <c r="F24" s="56"/>
      <c r="G24" s="54"/>
      <c r="H24" s="55"/>
      <c r="I24" s="54"/>
      <c r="J24" s="54"/>
      <c r="K24" s="54"/>
      <c r="L24" s="55"/>
      <c r="M24" s="55"/>
      <c r="N24" s="55"/>
      <c r="O24" s="55"/>
      <c r="P24" s="396"/>
      <c r="Q24" s="53"/>
      <c r="R24" s="53"/>
    </row>
    <row r="25" spans="1:18" x14ac:dyDescent="0.2">
      <c r="A25" s="111">
        <f t="shared" si="0"/>
        <v>21</v>
      </c>
      <c r="B25" s="57" t="str">
        <f>F21R!B54</f>
        <v>Dividend Income</v>
      </c>
      <c r="C25" s="750" t="str">
        <f>F21R!C54</f>
        <v>9021</v>
      </c>
      <c r="D25" s="101"/>
      <c r="E25" s="54"/>
      <c r="F25" s="56"/>
      <c r="G25" s="54"/>
      <c r="H25" s="55"/>
      <c r="I25" s="54"/>
      <c r="J25" s="54"/>
      <c r="K25" s="54"/>
      <c r="L25" s="55"/>
      <c r="M25" s="55"/>
      <c r="N25" s="55"/>
      <c r="O25" s="55"/>
      <c r="P25" s="396"/>
      <c r="Q25" s="53"/>
      <c r="R25" s="53"/>
    </row>
    <row r="26" spans="1:18" x14ac:dyDescent="0.2">
      <c r="A26" s="111">
        <f t="shared" si="0"/>
        <v>22</v>
      </c>
      <c r="B26" s="57" t="str">
        <f>F21R!B55</f>
        <v>Other Non-Op Income/(Exp)</v>
      </c>
      <c r="C26" s="750" t="str">
        <f>F21R!C55</f>
        <v>9031, 9116, 9200 to 9211</v>
      </c>
      <c r="D26" s="101"/>
      <c r="E26" s="54"/>
      <c r="F26" s="56"/>
      <c r="G26" s="54"/>
      <c r="H26" s="55"/>
      <c r="I26" s="54"/>
      <c r="J26" s="54"/>
      <c r="K26" s="54"/>
      <c r="L26" s="55"/>
      <c r="M26" s="55"/>
      <c r="N26" s="55"/>
      <c r="O26" s="55"/>
      <c r="P26" s="396"/>
      <c r="Q26" s="53"/>
      <c r="R26" s="53"/>
    </row>
    <row r="27" spans="1:18" x14ac:dyDescent="0.2">
      <c r="A27" s="110">
        <f t="shared" si="0"/>
        <v>23</v>
      </c>
      <c r="B27" s="52" t="str">
        <f>F21R!B56</f>
        <v>Total Non-Op Income/(Exp)</v>
      </c>
      <c r="C27" s="753" t="str">
        <f>F21R!C56</f>
        <v>=SUM(C50:C55)</v>
      </c>
      <c r="D27" s="102"/>
      <c r="E27" s="49"/>
      <c r="F27" s="50"/>
      <c r="G27" s="49"/>
      <c r="H27" s="76"/>
      <c r="I27" s="49"/>
      <c r="J27" s="49"/>
      <c r="K27" s="49"/>
      <c r="L27" s="76"/>
      <c r="M27" s="76"/>
      <c r="N27" s="76"/>
      <c r="O27" s="76"/>
      <c r="P27" s="397"/>
      <c r="Q27" s="48"/>
      <c r="R27" s="48"/>
    </row>
    <row r="28" spans="1:18" x14ac:dyDescent="0.2">
      <c r="A28" s="110">
        <f t="shared" si="0"/>
        <v>24</v>
      </c>
      <c r="B28" s="47" t="str">
        <f>F21R!B57</f>
        <v>Profit Before Taxation</v>
      </c>
      <c r="C28" s="754" t="str">
        <f>F21R!C57</f>
        <v>=C49+C56</v>
      </c>
      <c r="D28" s="122"/>
      <c r="E28" s="45"/>
      <c r="F28" s="44"/>
      <c r="G28" s="43"/>
      <c r="H28" s="60"/>
      <c r="I28" s="43"/>
      <c r="J28" s="43"/>
      <c r="K28" s="43"/>
      <c r="L28" s="60"/>
      <c r="M28" s="60"/>
      <c r="N28" s="60"/>
      <c r="O28" s="60"/>
      <c r="P28" s="400"/>
      <c r="Q28" s="42"/>
      <c r="R28" s="42"/>
    </row>
    <row r="29" spans="1:18" x14ac:dyDescent="0.2">
      <c r="A29" s="111">
        <f t="shared" si="0"/>
        <v>25</v>
      </c>
      <c r="B29" s="41" t="str">
        <f>F21R!B58</f>
        <v>Less: Taxation</v>
      </c>
      <c r="C29" s="751" t="str">
        <f>F21R!C58</f>
        <v xml:space="preserve">9400 to 9999 </v>
      </c>
      <c r="D29" s="104"/>
      <c r="E29" s="39"/>
      <c r="F29" s="40"/>
      <c r="G29" s="39"/>
      <c r="H29" s="103"/>
      <c r="I29" s="39"/>
      <c r="J29" s="39"/>
      <c r="K29" s="39"/>
      <c r="L29" s="103"/>
      <c r="M29" s="103"/>
      <c r="N29" s="103"/>
      <c r="O29" s="103"/>
      <c r="P29" s="401"/>
      <c r="Q29" s="38"/>
      <c r="R29" s="38"/>
    </row>
    <row r="30" spans="1:18" ht="12" thickBot="1" x14ac:dyDescent="0.25">
      <c r="A30" s="393">
        <f t="shared" si="0"/>
        <v>26</v>
      </c>
      <c r="B30" s="36" t="str">
        <f>F21R!B59</f>
        <v>Profits After Taxation</v>
      </c>
      <c r="C30" s="755" t="str">
        <f>F21R!C59</f>
        <v>=C57+C58</v>
      </c>
      <c r="D30" s="112"/>
      <c r="E30" s="34"/>
      <c r="F30" s="34"/>
      <c r="G30" s="34"/>
      <c r="H30" s="113"/>
      <c r="I30" s="34"/>
      <c r="J30" s="34"/>
      <c r="K30" s="34"/>
      <c r="L30" s="113"/>
      <c r="M30" s="113"/>
      <c r="N30" s="113"/>
      <c r="O30" s="113"/>
      <c r="P30" s="398"/>
      <c r="Q30" s="33"/>
      <c r="R30" s="33"/>
    </row>
    <row r="31" spans="1:18" s="31" customFormat="1" ht="12" thickTop="1" x14ac:dyDescent="0.2">
      <c r="A31" s="414">
        <f t="shared" si="0"/>
        <v>27</v>
      </c>
      <c r="B31" s="485" t="str">
        <f>F21R!B60</f>
        <v>Dividend Declared</v>
      </c>
      <c r="C31" s="756" t="str">
        <f>F21R!C60</f>
        <v>4902</v>
      </c>
      <c r="D31" s="481"/>
      <c r="E31" s="482"/>
      <c r="F31" s="482"/>
      <c r="G31" s="482"/>
      <c r="H31" s="482"/>
      <c r="I31" s="482"/>
      <c r="J31" s="482"/>
      <c r="K31" s="482"/>
      <c r="L31" s="482"/>
      <c r="M31" s="482"/>
      <c r="N31" s="482"/>
      <c r="O31" s="483"/>
      <c r="P31" s="483"/>
      <c r="Q31" s="483"/>
      <c r="R31" s="483"/>
    </row>
    <row r="32" spans="1:18" x14ac:dyDescent="0.2">
      <c r="A32" s="269"/>
      <c r="B32" s="442" t="s">
        <v>19</v>
      </c>
      <c r="C32" s="757"/>
      <c r="D32" s="270">
        <v>42826</v>
      </c>
      <c r="E32" s="270">
        <v>42856</v>
      </c>
      <c r="F32" s="270">
        <v>42887</v>
      </c>
      <c r="G32" s="270">
        <v>42917</v>
      </c>
      <c r="H32" s="270">
        <v>42948</v>
      </c>
      <c r="I32" s="270">
        <v>42979</v>
      </c>
      <c r="J32" s="270">
        <v>43009</v>
      </c>
      <c r="K32" s="270">
        <v>43040</v>
      </c>
      <c r="L32" s="270">
        <v>43070</v>
      </c>
      <c r="M32" s="270">
        <v>43101</v>
      </c>
      <c r="N32" s="270">
        <v>43132</v>
      </c>
      <c r="O32" s="270">
        <v>43160</v>
      </c>
      <c r="P32" s="271" t="s">
        <v>87</v>
      </c>
      <c r="Q32" s="579" t="s">
        <v>1493</v>
      </c>
      <c r="R32" s="307" t="s">
        <v>1326</v>
      </c>
    </row>
    <row r="33" spans="1:18" x14ac:dyDescent="0.2">
      <c r="A33" s="111">
        <f t="shared" ref="A33" si="1">A32+1</f>
        <v>1</v>
      </c>
      <c r="B33" s="22" t="s">
        <v>13</v>
      </c>
      <c r="C33" s="720" t="str">
        <f>F21R!C62</f>
        <v>Gross Profits/Total Sales</v>
      </c>
      <c r="D33" s="12"/>
      <c r="E33" s="12"/>
      <c r="F33" s="12"/>
      <c r="G33" s="23"/>
      <c r="H33" s="16"/>
      <c r="I33" s="12"/>
      <c r="J33" s="12"/>
      <c r="K33" s="12"/>
      <c r="L33" s="12"/>
      <c r="M33" s="12"/>
      <c r="N33" s="12"/>
      <c r="O33" s="12"/>
      <c r="P33" s="402"/>
      <c r="Q33" s="20"/>
      <c r="R33" s="15"/>
    </row>
    <row r="34" spans="1:18" x14ac:dyDescent="0.2">
      <c r="A34" s="19">
        <f>A33+1</f>
        <v>2</v>
      </c>
      <c r="B34" s="22" t="s">
        <v>11</v>
      </c>
      <c r="C34" s="720" t="str">
        <f>F21R!C63</f>
        <v>(External Sales - Cost of External Sales)/External Sales</v>
      </c>
      <c r="D34" s="12"/>
      <c r="E34" s="12"/>
      <c r="F34" s="12"/>
      <c r="G34" s="23"/>
      <c r="H34" s="16"/>
      <c r="I34" s="12"/>
      <c r="J34" s="12"/>
      <c r="K34" s="12"/>
      <c r="L34" s="12"/>
      <c r="M34" s="12"/>
      <c r="N34" s="12"/>
      <c r="O34" s="12"/>
      <c r="P34" s="402"/>
      <c r="Q34" s="20"/>
      <c r="R34" s="15"/>
    </row>
    <row r="35" spans="1:18" x14ac:dyDescent="0.2">
      <c r="A35" s="19">
        <f t="shared" ref="A35:A41" si="2">A34+1</f>
        <v>3</v>
      </c>
      <c r="B35" s="24" t="s">
        <v>9</v>
      </c>
      <c r="C35" s="721" t="str">
        <f>F21R!C64</f>
        <v>(Interco Sales - Cost of Interco Sales)/Interco Sales</v>
      </c>
      <c r="D35" s="12"/>
      <c r="E35" s="12"/>
      <c r="F35" s="12"/>
      <c r="G35" s="23"/>
      <c r="H35" s="16"/>
      <c r="I35" s="12"/>
      <c r="J35" s="12"/>
      <c r="K35" s="12"/>
      <c r="L35" s="12"/>
      <c r="M35" s="12"/>
      <c r="N35" s="12"/>
      <c r="O35" s="12"/>
      <c r="P35" s="402"/>
      <c r="Q35" s="20"/>
      <c r="R35" s="15"/>
    </row>
    <row r="36" spans="1:18" x14ac:dyDescent="0.2">
      <c r="A36" s="19">
        <f t="shared" si="2"/>
        <v>4</v>
      </c>
      <c r="B36" s="24" t="s">
        <v>7</v>
      </c>
      <c r="C36" s="721" t="str">
        <f>F21R!C65</f>
        <v>-Total S&amp;D Exps/Total Sales</v>
      </c>
      <c r="D36" s="12"/>
      <c r="E36" s="12"/>
      <c r="F36" s="12"/>
      <c r="G36" s="23"/>
      <c r="H36" s="16"/>
      <c r="I36" s="12"/>
      <c r="J36" s="12"/>
      <c r="K36" s="12"/>
      <c r="L36" s="12"/>
      <c r="M36" s="12"/>
      <c r="N36" s="12"/>
      <c r="O36" s="12"/>
      <c r="P36" s="402"/>
      <c r="Q36" s="20"/>
      <c r="R36" s="15"/>
    </row>
    <row r="37" spans="1:18" x14ac:dyDescent="0.2">
      <c r="A37" s="19">
        <f t="shared" si="2"/>
        <v>5</v>
      </c>
      <c r="B37" s="18" t="s">
        <v>6</v>
      </c>
      <c r="C37" s="722" t="str">
        <f>F21R!C66</f>
        <v>-Total Direct A&amp;G Exps/Total Sales</v>
      </c>
      <c r="D37" s="12"/>
      <c r="E37" s="12"/>
      <c r="F37" s="12"/>
      <c r="G37" s="12"/>
      <c r="H37" s="16"/>
      <c r="I37" s="12"/>
      <c r="J37" s="12"/>
      <c r="K37" s="12"/>
      <c r="L37" s="12"/>
      <c r="M37" s="12"/>
      <c r="N37" s="12"/>
      <c r="O37" s="12"/>
      <c r="P37" s="402"/>
      <c r="Q37" s="20"/>
      <c r="R37" s="15"/>
    </row>
    <row r="38" spans="1:18" x14ac:dyDescent="0.2">
      <c r="A38" s="19">
        <f t="shared" si="2"/>
        <v>6</v>
      </c>
      <c r="B38" s="18" t="s">
        <v>5</v>
      </c>
      <c r="C38" s="722" t="str">
        <f>F21R!C67</f>
        <v>-Total A&amp;G Exps/Total Sales</v>
      </c>
      <c r="D38" s="12"/>
      <c r="E38" s="12"/>
      <c r="F38" s="12"/>
      <c r="G38" s="12"/>
      <c r="H38" s="16"/>
      <c r="I38" s="12"/>
      <c r="J38" s="12"/>
      <c r="K38" s="12"/>
      <c r="L38" s="12"/>
      <c r="M38" s="12"/>
      <c r="N38" s="12"/>
      <c r="O38" s="12"/>
      <c r="P38" s="402"/>
      <c r="Q38" s="20"/>
      <c r="R38" s="15"/>
    </row>
    <row r="39" spans="1:18" x14ac:dyDescent="0.2">
      <c r="A39" s="19">
        <f t="shared" si="2"/>
        <v>7</v>
      </c>
      <c r="B39" s="22" t="s">
        <v>90</v>
      </c>
      <c r="C39" s="720" t="str">
        <f>F21R!C68</f>
        <v>Profits from Operations/Total Sales</v>
      </c>
      <c r="D39" s="12"/>
      <c r="E39" s="12"/>
      <c r="F39" s="12"/>
      <c r="G39" s="12"/>
      <c r="H39" s="16"/>
      <c r="I39" s="12"/>
      <c r="J39" s="12"/>
      <c r="K39" s="12"/>
      <c r="L39" s="12"/>
      <c r="M39" s="12"/>
      <c r="N39" s="12"/>
      <c r="O39" s="12"/>
      <c r="P39" s="402"/>
      <c r="Q39" s="20"/>
      <c r="R39" s="15"/>
    </row>
    <row r="40" spans="1:18" x14ac:dyDescent="0.2">
      <c r="A40" s="19">
        <f t="shared" si="2"/>
        <v>8</v>
      </c>
      <c r="B40" s="21" t="s">
        <v>91</v>
      </c>
      <c r="C40" s="723" t="str">
        <f>F21R!C69</f>
        <v>Profits Before Taxation/Total Sales</v>
      </c>
      <c r="D40" s="12"/>
      <c r="E40" s="12"/>
      <c r="F40" s="12"/>
      <c r="G40" s="12"/>
      <c r="H40" s="12"/>
      <c r="I40" s="12"/>
      <c r="J40" s="12"/>
      <c r="K40" s="12"/>
      <c r="L40" s="12"/>
      <c r="M40" s="12"/>
      <c r="N40" s="12"/>
      <c r="O40" s="12"/>
      <c r="P40" s="402"/>
      <c r="Q40" s="20"/>
      <c r="R40" s="20"/>
    </row>
    <row r="41" spans="1:18" x14ac:dyDescent="0.2">
      <c r="A41" s="14">
        <f t="shared" si="2"/>
        <v>9</v>
      </c>
      <c r="B41" s="105" t="s">
        <v>0</v>
      </c>
      <c r="C41" s="724" t="str">
        <f>F21R!C70</f>
        <v>Profits after Taxation/Total Sales</v>
      </c>
      <c r="D41" s="11"/>
      <c r="E41" s="11"/>
      <c r="F41" s="11"/>
      <c r="G41" s="11"/>
      <c r="H41" s="123"/>
      <c r="I41" s="11"/>
      <c r="J41" s="11"/>
      <c r="K41" s="11"/>
      <c r="L41" s="11"/>
      <c r="M41" s="11"/>
      <c r="N41" s="11"/>
      <c r="O41" s="11"/>
      <c r="P41" s="403"/>
      <c r="Q41" s="10"/>
      <c r="R41" s="124"/>
    </row>
    <row r="42" spans="1:18" ht="12.75" x14ac:dyDescent="0.2">
      <c r="F42" s="464"/>
      <c r="G42" s="465"/>
      <c r="H42" s="242"/>
      <c r="I42" s="466"/>
      <c r="J42" s="466"/>
      <c r="K42" s="466"/>
      <c r="L42" s="242"/>
    </row>
    <row r="43" spans="1:18" ht="12.75" x14ac:dyDescent="0.2">
      <c r="F43" s="464"/>
      <c r="G43" s="465"/>
      <c r="H43" s="242"/>
      <c r="I43" s="466"/>
      <c r="J43" s="466"/>
      <c r="K43" s="466"/>
      <c r="L43" s="242"/>
    </row>
    <row r="44" spans="1:18" ht="12.75" x14ac:dyDescent="0.2">
      <c r="F44" s="464"/>
      <c r="G44" s="465"/>
      <c r="H44" s="242"/>
      <c r="I44" s="466"/>
      <c r="J44" s="466"/>
      <c r="K44" s="466"/>
      <c r="L44" s="242"/>
    </row>
    <row r="45" spans="1:18" ht="12.75" x14ac:dyDescent="0.2">
      <c r="F45" s="464"/>
      <c r="G45" s="465"/>
      <c r="H45" s="242"/>
      <c r="I45" s="466"/>
      <c r="J45" s="466"/>
      <c r="K45" s="466"/>
      <c r="L45" s="242"/>
    </row>
    <row r="46" spans="1:18" ht="12.75" x14ac:dyDescent="0.2">
      <c r="F46" s="464"/>
      <c r="G46" s="465"/>
      <c r="H46" s="242"/>
      <c r="I46" s="466"/>
      <c r="J46" s="466"/>
      <c r="K46" s="466"/>
      <c r="L46" s="242"/>
    </row>
    <row r="47" spans="1:18" ht="12.75" x14ac:dyDescent="0.2">
      <c r="F47" s="464"/>
      <c r="G47" s="465"/>
      <c r="H47" s="242"/>
      <c r="I47" s="466"/>
      <c r="J47" s="466"/>
      <c r="K47" s="466"/>
      <c r="L47" s="242"/>
    </row>
    <row r="48" spans="1:18" ht="12.75" x14ac:dyDescent="0.2">
      <c r="F48" s="464"/>
      <c r="G48" s="465"/>
      <c r="H48" s="242"/>
      <c r="I48" s="466"/>
      <c r="J48" s="466"/>
      <c r="K48" s="466"/>
      <c r="L48" s="242"/>
    </row>
    <row r="49" spans="6:12" ht="12.75" x14ac:dyDescent="0.2">
      <c r="F49" s="464"/>
      <c r="G49" s="465"/>
      <c r="H49" s="242"/>
      <c r="I49" s="466"/>
      <c r="J49" s="466"/>
      <c r="K49" s="466"/>
      <c r="L49" s="242"/>
    </row>
    <row r="50" spans="6:12" ht="12.75" x14ac:dyDescent="0.2">
      <c r="F50" s="464"/>
      <c r="G50" s="465"/>
      <c r="H50" s="242"/>
      <c r="I50" s="466"/>
      <c r="J50" s="466"/>
      <c r="K50" s="466"/>
      <c r="L50" s="242"/>
    </row>
    <row r="51" spans="6:12" ht="12.75" x14ac:dyDescent="0.2">
      <c r="F51" s="464"/>
      <c r="G51" s="465"/>
      <c r="H51" s="242"/>
      <c r="I51" s="466"/>
      <c r="J51" s="466"/>
      <c r="K51" s="466"/>
      <c r="L51" s="242"/>
    </row>
    <row r="52" spans="6:12" ht="12.75" x14ac:dyDescent="0.2">
      <c r="F52" s="464"/>
      <c r="G52" s="465"/>
      <c r="H52" s="242"/>
      <c r="I52" s="466"/>
      <c r="J52" s="466"/>
      <c r="K52" s="466"/>
      <c r="L52" s="242"/>
    </row>
    <row r="53" spans="6:12" ht="12.75" x14ac:dyDescent="0.2">
      <c r="F53" s="464"/>
      <c r="G53" s="465"/>
      <c r="H53" s="242"/>
      <c r="I53" s="466"/>
      <c r="J53" s="466"/>
      <c r="K53" s="466"/>
      <c r="L53" s="242"/>
    </row>
    <row r="54" spans="6:12" ht="12.75" x14ac:dyDescent="0.2">
      <c r="F54" s="464"/>
      <c r="G54" s="465"/>
      <c r="H54" s="242"/>
      <c r="I54" s="466"/>
      <c r="J54" s="466"/>
      <c r="K54" s="466"/>
      <c r="L54" s="242"/>
    </row>
    <row r="55" spans="6:12" ht="12.75" x14ac:dyDescent="0.2">
      <c r="F55" s="464"/>
      <c r="G55" s="465"/>
      <c r="H55" s="242"/>
      <c r="I55" s="466"/>
      <c r="J55" s="466"/>
      <c r="K55" s="466"/>
      <c r="L55" s="242"/>
    </row>
    <row r="56" spans="6:12" ht="12.75" x14ac:dyDescent="0.2">
      <c r="F56" s="464"/>
      <c r="G56" s="465"/>
      <c r="H56" s="242"/>
      <c r="I56" s="466"/>
      <c r="J56" s="466"/>
      <c r="K56" s="466"/>
      <c r="L56" s="242"/>
    </row>
    <row r="57" spans="6:12" ht="12.75" x14ac:dyDescent="0.2">
      <c r="F57" s="464"/>
      <c r="G57" s="465"/>
      <c r="H57" s="242"/>
      <c r="I57" s="466"/>
      <c r="J57" s="466"/>
      <c r="K57" s="466"/>
      <c r="L57" s="242"/>
    </row>
    <row r="58" spans="6:12" ht="12.75" x14ac:dyDescent="0.2">
      <c r="F58" s="464"/>
      <c r="G58" s="465"/>
      <c r="H58" s="242"/>
      <c r="I58" s="466"/>
      <c r="J58" s="466"/>
      <c r="K58" s="466"/>
      <c r="L58" s="242"/>
    </row>
    <row r="59" spans="6:12" ht="12.75" x14ac:dyDescent="0.2">
      <c r="F59" s="464"/>
      <c r="G59" s="465"/>
      <c r="H59" s="242"/>
      <c r="I59" s="466"/>
      <c r="J59" s="466"/>
      <c r="K59" s="466"/>
      <c r="L59" s="242"/>
    </row>
    <row r="60" spans="6:12" ht="12.75" x14ac:dyDescent="0.2">
      <c r="F60" s="464"/>
      <c r="G60" s="465"/>
      <c r="H60" s="242"/>
      <c r="I60" s="466"/>
      <c r="J60" s="466"/>
      <c r="K60" s="466"/>
      <c r="L60" s="242"/>
    </row>
    <row r="61" spans="6:12" ht="12.75" x14ac:dyDescent="0.2">
      <c r="F61" s="464"/>
      <c r="G61" s="465"/>
      <c r="H61" s="242"/>
      <c r="I61" s="466"/>
      <c r="J61" s="466"/>
      <c r="K61" s="466"/>
      <c r="L61" s="242"/>
    </row>
    <row r="62" spans="6:12" ht="12.75" x14ac:dyDescent="0.2">
      <c r="F62" s="464"/>
      <c r="G62" s="465"/>
      <c r="H62" s="242"/>
      <c r="I62" s="466"/>
      <c r="J62" s="466"/>
      <c r="K62" s="466"/>
      <c r="L62" s="242"/>
    </row>
    <row r="63" spans="6:12" ht="12.75" x14ac:dyDescent="0.2">
      <c r="F63" s="464"/>
      <c r="G63" s="465"/>
      <c r="H63" s="242"/>
      <c r="I63" s="466"/>
      <c r="J63" s="466"/>
      <c r="K63" s="466"/>
      <c r="L63" s="242"/>
    </row>
    <row r="64" spans="6:12" ht="12.75" x14ac:dyDescent="0.2">
      <c r="F64" s="464"/>
      <c r="G64" s="465"/>
      <c r="H64" s="242"/>
      <c r="I64" s="466"/>
      <c r="J64" s="466"/>
      <c r="K64" s="466"/>
      <c r="L64" s="242"/>
    </row>
    <row r="65" spans="6:12" ht="12.75" x14ac:dyDescent="0.2">
      <c r="F65" s="464"/>
      <c r="G65" s="465"/>
      <c r="H65" s="242"/>
      <c r="I65" s="466"/>
      <c r="J65" s="466"/>
      <c r="K65" s="466"/>
      <c r="L65" s="242"/>
    </row>
    <row r="66" spans="6:12" ht="12.75" x14ac:dyDescent="0.2">
      <c r="F66" s="464"/>
      <c r="G66" s="465"/>
      <c r="H66" s="242"/>
      <c r="I66" s="466"/>
      <c r="J66" s="466"/>
      <c r="K66" s="466"/>
      <c r="L66" s="242"/>
    </row>
    <row r="67" spans="6:12" ht="12.75" x14ac:dyDescent="0.2">
      <c r="F67" s="464"/>
      <c r="G67" s="465"/>
      <c r="H67" s="242"/>
      <c r="I67" s="466"/>
      <c r="J67" s="466"/>
      <c r="K67" s="466"/>
      <c r="L67" s="242"/>
    </row>
    <row r="68" spans="6:12" ht="12.75" x14ac:dyDescent="0.2">
      <c r="F68" s="464"/>
      <c r="G68" s="465"/>
      <c r="H68" s="242"/>
      <c r="I68" s="466"/>
      <c r="J68" s="466"/>
      <c r="K68" s="466"/>
      <c r="L68" s="242"/>
    </row>
    <row r="69" spans="6:12" ht="12.75" x14ac:dyDescent="0.2">
      <c r="F69" s="464"/>
      <c r="G69" s="465"/>
      <c r="H69" s="242"/>
      <c r="I69" s="466"/>
      <c r="J69" s="466"/>
      <c r="K69" s="466"/>
      <c r="L69" s="242"/>
    </row>
    <row r="70" spans="6:12" ht="12.75" x14ac:dyDescent="0.2">
      <c r="F70" s="464"/>
      <c r="G70" s="465"/>
      <c r="H70" s="242"/>
      <c r="I70" s="466"/>
      <c r="J70" s="466"/>
      <c r="K70" s="466"/>
      <c r="L70" s="242"/>
    </row>
    <row r="71" spans="6:12" ht="12.75" x14ac:dyDescent="0.2">
      <c r="F71" s="464"/>
      <c r="G71" s="465"/>
      <c r="H71" s="242"/>
      <c r="I71" s="466"/>
      <c r="J71" s="466"/>
      <c r="K71" s="466"/>
      <c r="L71" s="242"/>
    </row>
    <row r="72" spans="6:12" ht="12.75" x14ac:dyDescent="0.2">
      <c r="F72" s="464"/>
      <c r="G72" s="465"/>
      <c r="H72" s="242"/>
      <c r="I72" s="466"/>
      <c r="J72" s="466"/>
      <c r="K72" s="466"/>
      <c r="L72" s="242"/>
    </row>
    <row r="73" spans="6:12" ht="12.75" x14ac:dyDescent="0.2">
      <c r="F73" s="464"/>
      <c r="G73" s="465"/>
      <c r="H73" s="242"/>
      <c r="I73" s="466"/>
      <c r="J73" s="466"/>
      <c r="K73" s="466"/>
      <c r="L73" s="242"/>
    </row>
    <row r="74" spans="6:12" ht="12.75" x14ac:dyDescent="0.2">
      <c r="F74" s="464"/>
      <c r="G74" s="465"/>
      <c r="H74" s="242"/>
      <c r="I74" s="466"/>
      <c r="J74" s="466"/>
      <c r="K74" s="466"/>
      <c r="L74" s="242"/>
    </row>
    <row r="75" spans="6:12" ht="12.75" x14ac:dyDescent="0.2">
      <c r="F75" s="464"/>
      <c r="G75" s="465"/>
      <c r="H75" s="242"/>
      <c r="I75" s="466"/>
      <c r="J75" s="466"/>
      <c r="K75" s="466"/>
      <c r="L75" s="242"/>
    </row>
    <row r="76" spans="6:12" ht="12.75" x14ac:dyDescent="0.2">
      <c r="F76" s="464"/>
      <c r="G76" s="465"/>
      <c r="H76" s="242"/>
      <c r="I76" s="466"/>
      <c r="J76" s="466"/>
      <c r="K76" s="466"/>
      <c r="L76" s="242"/>
    </row>
    <row r="77" spans="6:12" ht="12.75" x14ac:dyDescent="0.2">
      <c r="F77" s="464"/>
      <c r="G77" s="465"/>
      <c r="H77" s="242"/>
      <c r="I77" s="466"/>
      <c r="J77" s="466"/>
      <c r="K77" s="466"/>
      <c r="L77" s="242"/>
    </row>
    <row r="78" spans="6:12" ht="12.75" x14ac:dyDescent="0.2">
      <c r="F78" s="464"/>
      <c r="G78" s="465"/>
      <c r="H78" s="242"/>
      <c r="I78" s="466"/>
      <c r="J78" s="466"/>
      <c r="K78" s="466"/>
      <c r="L78" s="242"/>
    </row>
    <row r="79" spans="6:12" ht="12.75" x14ac:dyDescent="0.2">
      <c r="F79" s="464"/>
      <c r="G79" s="465"/>
      <c r="H79" s="242"/>
      <c r="I79" s="466"/>
      <c r="J79" s="466"/>
      <c r="K79" s="466"/>
      <c r="L79" s="242"/>
    </row>
    <row r="80" spans="6:12" ht="12.75" x14ac:dyDescent="0.2">
      <c r="F80" s="464"/>
      <c r="G80" s="465"/>
      <c r="H80" s="242"/>
      <c r="I80" s="466"/>
      <c r="J80" s="466"/>
      <c r="K80" s="466"/>
      <c r="L80" s="242"/>
    </row>
    <row r="81" spans="1:12" ht="12.75" x14ac:dyDescent="0.2">
      <c r="F81" s="464"/>
      <c r="G81" s="465"/>
      <c r="H81" s="242"/>
      <c r="I81" s="466"/>
      <c r="J81" s="466"/>
      <c r="K81" s="466"/>
      <c r="L81" s="242"/>
    </row>
    <row r="82" spans="1:12" ht="12.75" x14ac:dyDescent="0.2">
      <c r="F82" s="464"/>
      <c r="G82" s="465"/>
      <c r="H82" s="242"/>
      <c r="I82" s="466"/>
      <c r="J82" s="466"/>
      <c r="K82" s="466"/>
      <c r="L82" s="242"/>
    </row>
    <row r="83" spans="1:12" ht="12.75" x14ac:dyDescent="0.2">
      <c r="F83" s="464"/>
      <c r="G83" s="465"/>
      <c r="H83" s="242"/>
      <c r="I83" s="466"/>
      <c r="J83" s="466"/>
      <c r="K83" s="466"/>
      <c r="L83" s="242"/>
    </row>
    <row r="84" spans="1:12" ht="12.75" x14ac:dyDescent="0.2">
      <c r="F84" s="464"/>
      <c r="G84" s="465"/>
      <c r="H84" s="242"/>
      <c r="I84" s="466"/>
      <c r="J84" s="466"/>
      <c r="K84" s="466"/>
      <c r="L84" s="242"/>
    </row>
    <row r="85" spans="1:12" ht="12.75" x14ac:dyDescent="0.2">
      <c r="F85" s="464"/>
      <c r="G85" s="465"/>
      <c r="H85" s="242"/>
      <c r="I85" s="466"/>
      <c r="J85" s="466"/>
      <c r="K85" s="466"/>
      <c r="L85" s="242"/>
    </row>
    <row r="86" spans="1:12" ht="12.75" x14ac:dyDescent="0.2">
      <c r="F86" s="464"/>
      <c r="G86" s="465"/>
      <c r="H86" s="242"/>
      <c r="I86" s="466"/>
      <c r="J86" s="466"/>
      <c r="K86" s="466"/>
      <c r="L86" s="242"/>
    </row>
    <row r="87" spans="1:12" ht="12.75" x14ac:dyDescent="0.2">
      <c r="F87" s="464"/>
      <c r="G87" s="465"/>
      <c r="H87" s="242"/>
      <c r="I87" s="466"/>
      <c r="J87" s="466"/>
      <c r="K87" s="466"/>
      <c r="L87" s="242"/>
    </row>
    <row r="88" spans="1:12" ht="12.75" x14ac:dyDescent="0.2">
      <c r="F88" s="464"/>
      <c r="G88" s="465"/>
      <c r="H88" s="242"/>
      <c r="I88" s="466"/>
      <c r="J88" s="466"/>
      <c r="K88" s="466"/>
      <c r="L88" s="242"/>
    </row>
    <row r="89" spans="1:12" ht="12.75" x14ac:dyDescent="0.2">
      <c r="F89" s="464"/>
      <c r="G89" s="465"/>
      <c r="H89" s="242"/>
      <c r="I89" s="466"/>
      <c r="J89" s="466"/>
      <c r="K89" s="466"/>
      <c r="L89" s="242"/>
    </row>
    <row r="90" spans="1:12" ht="12.75" x14ac:dyDescent="0.2">
      <c r="F90" s="464"/>
      <c r="G90" s="465"/>
      <c r="H90" s="242"/>
      <c r="I90" s="466"/>
      <c r="J90" s="466"/>
      <c r="K90" s="466"/>
      <c r="L90" s="242"/>
    </row>
    <row r="91" spans="1:12" ht="12.75" x14ac:dyDescent="0.2">
      <c r="F91" s="464"/>
      <c r="G91" s="465"/>
      <c r="H91" s="242"/>
      <c r="I91" s="466"/>
      <c r="J91" s="466"/>
      <c r="K91" s="466"/>
      <c r="L91" s="242"/>
    </row>
    <row r="92" spans="1:12" ht="13.5" thickBot="1" x14ac:dyDescent="0.25">
      <c r="A92" s="126"/>
      <c r="B92" s="127"/>
      <c r="C92" s="127"/>
      <c r="D92" s="127"/>
      <c r="E92" s="127"/>
      <c r="F92" s="467"/>
      <c r="G92" s="468"/>
      <c r="H92" s="469"/>
      <c r="I92" s="466"/>
      <c r="J92" s="466"/>
      <c r="K92" s="466"/>
      <c r="L92" s="242"/>
    </row>
    <row r="93" spans="1:12" ht="13.5" thickTop="1" x14ac:dyDescent="0.2">
      <c r="F93" s="464"/>
      <c r="G93" s="465"/>
      <c r="H93" s="242"/>
      <c r="I93" s="466"/>
      <c r="J93" s="466"/>
      <c r="K93" s="466"/>
      <c r="L93" s="242"/>
    </row>
    <row r="94" spans="1:12" ht="12.75" x14ac:dyDescent="0.2">
      <c r="F94" s="464"/>
      <c r="G94" s="465"/>
      <c r="H94" s="242"/>
      <c r="I94" s="466"/>
      <c r="J94" s="466"/>
      <c r="K94" s="466"/>
      <c r="L94" s="242"/>
    </row>
    <row r="95" spans="1:12" ht="12.75" x14ac:dyDescent="0.2">
      <c r="F95" s="464"/>
      <c r="G95" s="465"/>
      <c r="H95" s="242"/>
      <c r="I95" s="466"/>
      <c r="J95" s="466"/>
      <c r="K95" s="466"/>
      <c r="L95" s="242"/>
    </row>
    <row r="96" spans="1:12" ht="12.75" x14ac:dyDescent="0.2">
      <c r="F96" s="464"/>
      <c r="G96" s="465"/>
      <c r="H96" s="242"/>
      <c r="I96" s="466"/>
      <c r="J96" s="466"/>
      <c r="K96" s="466"/>
      <c r="L96" s="242"/>
    </row>
    <row r="97" spans="6:12" ht="12.75" x14ac:dyDescent="0.2">
      <c r="F97" s="464"/>
      <c r="G97" s="465"/>
      <c r="H97" s="242"/>
      <c r="I97" s="466"/>
      <c r="J97" s="466"/>
      <c r="K97" s="466"/>
      <c r="L97" s="242"/>
    </row>
    <row r="98" spans="6:12" ht="12.75" x14ac:dyDescent="0.2">
      <c r="F98" s="464"/>
      <c r="G98" s="465"/>
      <c r="H98" s="242"/>
      <c r="I98" s="466"/>
      <c r="J98" s="466"/>
      <c r="K98" s="466"/>
      <c r="L98" s="242"/>
    </row>
    <row r="99" spans="6:12" ht="12.75" x14ac:dyDescent="0.2">
      <c r="F99" s="464"/>
      <c r="G99" s="465"/>
      <c r="H99" s="242"/>
      <c r="I99" s="466"/>
      <c r="J99" s="466"/>
      <c r="K99" s="466"/>
      <c r="L99" s="242"/>
    </row>
    <row r="100" spans="6:12" ht="12.75" x14ac:dyDescent="0.2">
      <c r="F100" s="464"/>
      <c r="G100" s="465"/>
      <c r="H100" s="242"/>
      <c r="I100" s="466"/>
      <c r="J100" s="466"/>
      <c r="K100" s="466"/>
      <c r="L100" s="242"/>
    </row>
    <row r="101" spans="6:12" ht="12.75" x14ac:dyDescent="0.2">
      <c r="F101" s="464"/>
      <c r="G101" s="465"/>
      <c r="H101" s="242"/>
      <c r="I101" s="466"/>
      <c r="J101" s="466"/>
      <c r="K101" s="466"/>
      <c r="L101" s="242"/>
    </row>
    <row r="102" spans="6:12" ht="12.75" x14ac:dyDescent="0.2">
      <c r="F102" s="464"/>
      <c r="G102" s="465"/>
      <c r="H102" s="242"/>
      <c r="I102" s="466"/>
      <c r="J102" s="466"/>
      <c r="K102" s="466"/>
      <c r="L102" s="242"/>
    </row>
    <row r="103" spans="6:12" ht="12.75" x14ac:dyDescent="0.2">
      <c r="F103" s="464"/>
      <c r="G103" s="465"/>
      <c r="H103" s="242"/>
      <c r="I103" s="466"/>
      <c r="J103" s="466"/>
      <c r="K103" s="466"/>
      <c r="L103" s="242"/>
    </row>
    <row r="104" spans="6:12" ht="12.75" x14ac:dyDescent="0.2">
      <c r="F104" s="464"/>
      <c r="G104" s="465"/>
      <c r="H104" s="242"/>
      <c r="I104" s="466"/>
      <c r="J104" s="466"/>
      <c r="K104" s="466"/>
      <c r="L104" s="242"/>
    </row>
    <row r="105" spans="6:12" ht="12.75" x14ac:dyDescent="0.2">
      <c r="F105" s="464"/>
      <c r="G105" s="465"/>
      <c r="H105" s="242"/>
      <c r="I105" s="466"/>
      <c r="J105" s="466"/>
      <c r="K105" s="466"/>
      <c r="L105" s="242"/>
    </row>
    <row r="106" spans="6:12" ht="12.75" x14ac:dyDescent="0.2">
      <c r="F106" s="464"/>
      <c r="G106" s="465"/>
      <c r="H106" s="242"/>
      <c r="I106" s="466"/>
      <c r="J106" s="466"/>
      <c r="K106" s="466"/>
      <c r="L106" s="242"/>
    </row>
    <row r="107" spans="6:12" ht="12.75" x14ac:dyDescent="0.2">
      <c r="F107" s="464"/>
      <c r="G107" s="465"/>
      <c r="H107" s="242"/>
      <c r="I107" s="466"/>
      <c r="J107" s="466"/>
      <c r="K107" s="466"/>
      <c r="L107" s="242"/>
    </row>
    <row r="108" spans="6:12" ht="12.75" x14ac:dyDescent="0.2">
      <c r="F108" s="464"/>
      <c r="G108" s="465"/>
      <c r="H108" s="242"/>
      <c r="I108" s="466"/>
      <c r="J108" s="466"/>
      <c r="K108" s="466"/>
      <c r="L108" s="242"/>
    </row>
    <row r="109" spans="6:12" ht="12.75" x14ac:dyDescent="0.2">
      <c r="F109" s="464"/>
      <c r="G109" s="465"/>
      <c r="H109" s="242"/>
      <c r="I109" s="466"/>
      <c r="J109" s="466"/>
      <c r="K109" s="466"/>
      <c r="L109" s="242"/>
    </row>
    <row r="110" spans="6:12" ht="12.75" x14ac:dyDescent="0.2">
      <c r="F110" s="464"/>
      <c r="G110" s="465"/>
      <c r="H110" s="242"/>
      <c r="I110" s="466"/>
      <c r="J110" s="466"/>
      <c r="K110" s="466"/>
      <c r="L110" s="242"/>
    </row>
    <row r="111" spans="6:12" ht="12.75" x14ac:dyDescent="0.2">
      <c r="F111" s="464"/>
      <c r="G111" s="465"/>
      <c r="H111" s="242"/>
      <c r="I111" s="466"/>
      <c r="J111" s="466"/>
      <c r="K111" s="466"/>
      <c r="L111" s="242"/>
    </row>
    <row r="112" spans="6:12" ht="12.75" x14ac:dyDescent="0.2">
      <c r="F112" s="464"/>
      <c r="G112" s="465"/>
      <c r="H112" s="242"/>
      <c r="I112" s="466"/>
      <c r="J112" s="466"/>
      <c r="K112" s="466"/>
      <c r="L112" s="242"/>
    </row>
    <row r="113" spans="6:12" ht="12.75" x14ac:dyDescent="0.2">
      <c r="F113" s="464"/>
      <c r="G113" s="465"/>
      <c r="H113" s="242"/>
      <c r="I113" s="466"/>
      <c r="J113" s="466"/>
      <c r="K113" s="466"/>
      <c r="L113" s="242"/>
    </row>
    <row r="114" spans="6:12" ht="12.75" x14ac:dyDescent="0.2">
      <c r="F114" s="464"/>
      <c r="G114" s="465"/>
      <c r="H114" s="242"/>
      <c r="I114" s="466"/>
      <c r="J114" s="466"/>
      <c r="K114" s="466"/>
      <c r="L114" s="242"/>
    </row>
    <row r="115" spans="6:12" ht="12.75" x14ac:dyDescent="0.2">
      <c r="F115" s="464"/>
      <c r="G115" s="465"/>
      <c r="H115" s="242"/>
      <c r="I115" s="466"/>
      <c r="J115" s="466"/>
      <c r="K115" s="466"/>
      <c r="L115" s="242"/>
    </row>
    <row r="116" spans="6:12" ht="12.75" x14ac:dyDescent="0.2">
      <c r="F116" s="464"/>
      <c r="G116" s="465"/>
      <c r="H116" s="242"/>
      <c r="I116" s="466"/>
      <c r="J116" s="466"/>
      <c r="K116" s="466"/>
      <c r="L116" s="242"/>
    </row>
    <row r="117" spans="6:12" ht="12.75" x14ac:dyDescent="0.2">
      <c r="F117" s="464"/>
      <c r="G117" s="465"/>
      <c r="H117" s="242"/>
      <c r="I117" s="466"/>
      <c r="J117" s="466"/>
      <c r="K117" s="466"/>
      <c r="L117" s="242"/>
    </row>
    <row r="118" spans="6:12" ht="12.75" x14ac:dyDescent="0.2">
      <c r="F118" s="464"/>
      <c r="G118" s="465"/>
      <c r="H118" s="242"/>
      <c r="I118" s="466"/>
      <c r="J118" s="466"/>
      <c r="K118" s="466"/>
      <c r="L118" s="242"/>
    </row>
    <row r="119" spans="6:12" ht="12.75" x14ac:dyDescent="0.2">
      <c r="F119" s="464"/>
      <c r="G119" s="465"/>
      <c r="H119" s="242"/>
      <c r="I119" s="466"/>
      <c r="J119" s="466"/>
      <c r="K119" s="466"/>
      <c r="L119" s="242"/>
    </row>
    <row r="120" spans="6:12" ht="12.75" x14ac:dyDescent="0.2">
      <c r="F120" s="464"/>
      <c r="G120" s="465"/>
      <c r="H120" s="242"/>
      <c r="I120" s="466"/>
      <c r="J120" s="466"/>
      <c r="K120" s="466"/>
      <c r="L120" s="242"/>
    </row>
    <row r="121" spans="6:12" ht="12.75" x14ac:dyDescent="0.2">
      <c r="F121" s="464"/>
      <c r="G121" s="465"/>
      <c r="H121" s="242"/>
      <c r="I121" s="466"/>
      <c r="J121" s="466"/>
      <c r="K121" s="466"/>
      <c r="L121" s="242"/>
    </row>
    <row r="122" spans="6:12" ht="12.75" x14ac:dyDescent="0.2">
      <c r="F122" s="464"/>
      <c r="G122" s="465"/>
      <c r="H122" s="242"/>
      <c r="I122" s="466"/>
      <c r="J122" s="466"/>
      <c r="K122" s="466"/>
      <c r="L122" s="242"/>
    </row>
    <row r="123" spans="6:12" ht="12.75" x14ac:dyDescent="0.2">
      <c r="F123" s="464"/>
      <c r="G123" s="465"/>
      <c r="H123" s="242"/>
      <c r="I123" s="466"/>
      <c r="J123" s="466"/>
      <c r="K123" s="466"/>
      <c r="L123" s="242"/>
    </row>
    <row r="124" spans="6:12" ht="12.75" x14ac:dyDescent="0.2">
      <c r="F124" s="464"/>
      <c r="G124" s="465"/>
      <c r="H124" s="242"/>
      <c r="I124" s="466"/>
      <c r="J124" s="466"/>
      <c r="K124" s="466"/>
      <c r="L124" s="242"/>
    </row>
    <row r="125" spans="6:12" ht="12.75" x14ac:dyDescent="0.2">
      <c r="F125" s="464"/>
      <c r="G125" s="465"/>
      <c r="H125" s="242"/>
      <c r="I125" s="466"/>
      <c r="J125" s="466"/>
      <c r="K125" s="466"/>
      <c r="L125" s="242"/>
    </row>
    <row r="126" spans="6:12" ht="12.75" x14ac:dyDescent="0.2">
      <c r="F126" s="464"/>
      <c r="G126" s="465"/>
      <c r="H126" s="242"/>
      <c r="I126" s="466"/>
      <c r="J126" s="466"/>
      <c r="K126" s="466"/>
      <c r="L126" s="242"/>
    </row>
    <row r="127" spans="6:12" ht="12.75" x14ac:dyDescent="0.2">
      <c r="F127" s="464"/>
      <c r="G127" s="465"/>
      <c r="H127" s="242"/>
      <c r="I127" s="466"/>
      <c r="J127" s="466"/>
      <c r="K127" s="466"/>
      <c r="L127" s="242"/>
    </row>
  </sheetData>
  <mergeCells count="3">
    <mergeCell ref="D1:N1"/>
    <mergeCell ref="A2:B2"/>
    <mergeCell ref="D3:N3"/>
  </mergeCells>
  <printOptions horizontalCentered="1" gridLines="1"/>
  <pageMargins left="0.25" right="0.25" top="0.5" bottom="0.25" header="0.5" footer="0"/>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6"/>
  <sheetViews>
    <sheetView view="pageBreakPreview" zoomScale="110" zoomScaleNormal="100" zoomScaleSheetLayoutView="110" workbookViewId="0">
      <selection activeCell="C29" sqref="C29"/>
    </sheetView>
  </sheetViews>
  <sheetFormatPr defaultRowHeight="11.25" x14ac:dyDescent="0.2"/>
  <cols>
    <col min="1" max="1" width="3.28515625" style="125" customWidth="1"/>
    <col min="2" max="2" width="23.28515625" style="4" bestFit="1" customWidth="1"/>
    <col min="3" max="3" width="53.85546875" style="348" customWidth="1"/>
    <col min="4" max="7" width="7.28515625" style="1" customWidth="1"/>
    <col min="8" max="8" width="7.28515625" style="3" customWidth="1"/>
    <col min="9" max="11" width="7.28515625" style="1" customWidth="1"/>
    <col min="12" max="12" width="7.28515625" style="128" customWidth="1"/>
    <col min="13" max="16" width="7.28515625" style="1" customWidth="1"/>
    <col min="17" max="17" width="8.28515625" style="1" customWidth="1"/>
    <col min="18" max="18" width="9.42578125" style="4" customWidth="1"/>
    <col min="19" max="16384" width="9.140625" style="1"/>
  </cols>
  <sheetData>
    <row r="1" spans="1:20" ht="12.75" customHeight="1" x14ac:dyDescent="0.2">
      <c r="A1" s="205" t="s">
        <v>66</v>
      </c>
      <c r="B1" s="206"/>
      <c r="C1" s="349"/>
      <c r="D1" s="875" t="str">
        <f>'F22'!D1:N1</f>
        <v>AS OF: 11-Oct-2017</v>
      </c>
      <c r="E1" s="876"/>
      <c r="F1" s="876"/>
      <c r="G1" s="876"/>
      <c r="H1" s="876"/>
      <c r="I1" s="876"/>
      <c r="J1" s="876"/>
      <c r="K1" s="876"/>
      <c r="L1" s="876"/>
      <c r="M1" s="876"/>
      <c r="N1" s="876"/>
      <c r="O1" s="308" t="str">
        <f>'F22'!O1</f>
        <v>FOR THE YEAR OF:   2018</v>
      </c>
      <c r="P1" s="308"/>
      <c r="Q1" s="308"/>
      <c r="R1" s="309"/>
    </row>
    <row r="2" spans="1:20" ht="12.75" customHeight="1" x14ac:dyDescent="0.2">
      <c r="A2" s="877" t="s">
        <v>65</v>
      </c>
      <c r="B2" s="878"/>
      <c r="C2" s="360"/>
      <c r="D2" s="285" t="s">
        <v>64</v>
      </c>
      <c r="E2" s="4"/>
      <c r="F2" s="461"/>
      <c r="G2" s="461"/>
      <c r="H2" s="461"/>
      <c r="I2" s="461"/>
      <c r="J2" s="461"/>
      <c r="K2" s="4"/>
      <c r="L2" s="4"/>
      <c r="M2" s="4"/>
      <c r="N2" s="4"/>
      <c r="O2" s="462" t="s">
        <v>63</v>
      </c>
      <c r="P2" s="462"/>
      <c r="Q2" s="572"/>
      <c r="R2" s="83"/>
      <c r="S2" s="462"/>
      <c r="T2" s="4"/>
    </row>
    <row r="3" spans="1:20" ht="12.75" customHeight="1" x14ac:dyDescent="0.2">
      <c r="A3" s="284" t="s">
        <v>1476</v>
      </c>
      <c r="B3" s="106"/>
      <c r="C3" s="350"/>
      <c r="D3" s="866" t="s">
        <v>62</v>
      </c>
      <c r="E3" s="867"/>
      <c r="F3" s="867"/>
      <c r="G3" s="867"/>
      <c r="H3" s="867"/>
      <c r="I3" s="867"/>
      <c r="J3" s="867"/>
      <c r="K3" s="867"/>
      <c r="L3" s="867"/>
      <c r="M3" s="867"/>
      <c r="N3" s="867"/>
      <c r="O3" s="107" t="s">
        <v>61</v>
      </c>
      <c r="P3" s="108"/>
      <c r="Q3" s="108"/>
      <c r="R3" s="109"/>
    </row>
    <row r="4" spans="1:20" x14ac:dyDescent="0.2">
      <c r="A4" s="110"/>
      <c r="B4" s="82"/>
      <c r="C4" s="463"/>
      <c r="D4" s="100">
        <v>42826</v>
      </c>
      <c r="E4" s="100">
        <v>42856</v>
      </c>
      <c r="F4" s="100">
        <v>42887</v>
      </c>
      <c r="G4" s="100">
        <v>42917</v>
      </c>
      <c r="H4" s="100">
        <v>42948</v>
      </c>
      <c r="I4" s="100">
        <v>42979</v>
      </c>
      <c r="J4" s="100">
        <v>43009</v>
      </c>
      <c r="K4" s="100">
        <v>43040</v>
      </c>
      <c r="L4" s="100">
        <v>43070</v>
      </c>
      <c r="M4" s="100">
        <v>43101</v>
      </c>
      <c r="N4" s="100">
        <v>43132</v>
      </c>
      <c r="O4" s="100">
        <v>43160</v>
      </c>
      <c r="P4" s="130" t="s">
        <v>87</v>
      </c>
      <c r="Q4" s="456" t="s">
        <v>1493</v>
      </c>
      <c r="R4" s="300" t="s">
        <v>1326</v>
      </c>
    </row>
    <row r="5" spans="1:20" x14ac:dyDescent="0.2">
      <c r="A5" s="111">
        <v>1</v>
      </c>
      <c r="B5" s="57" t="str">
        <f>'F22'!B5</f>
        <v>External Sales</v>
      </c>
      <c r="C5" s="758" t="str">
        <f>'F22'!C5</f>
        <v>5001 to 5029, 5051 to 5099</v>
      </c>
      <c r="D5" s="101"/>
      <c r="E5" s="54"/>
      <c r="F5" s="56"/>
      <c r="G5" s="54"/>
      <c r="H5" s="55"/>
      <c r="I5" s="54"/>
      <c r="J5" s="54"/>
      <c r="K5" s="54"/>
      <c r="L5" s="55"/>
      <c r="M5" s="55"/>
      <c r="N5" s="55"/>
      <c r="O5" s="55"/>
      <c r="P5" s="396"/>
      <c r="Q5" s="53"/>
      <c r="R5" s="53"/>
    </row>
    <row r="6" spans="1:20" x14ac:dyDescent="0.2">
      <c r="A6" s="111">
        <f>A5+1</f>
        <v>2</v>
      </c>
      <c r="B6" s="57" t="str">
        <f>'F22'!B6</f>
        <v>Interco Sales</v>
      </c>
      <c r="C6" s="348" t="str">
        <f>'F22'!C6</f>
        <v>5031 to 5049</v>
      </c>
      <c r="D6" s="101"/>
      <c r="E6" s="54"/>
      <c r="F6" s="56"/>
      <c r="G6" s="54"/>
      <c r="H6" s="55"/>
      <c r="I6" s="54"/>
      <c r="J6" s="54"/>
      <c r="K6" s="54"/>
      <c r="L6" s="55"/>
      <c r="M6" s="55"/>
      <c r="N6" s="55"/>
      <c r="O6" s="55"/>
      <c r="P6" s="396"/>
      <c r="Q6" s="53"/>
      <c r="R6" s="53"/>
    </row>
    <row r="7" spans="1:20" s="31" customFormat="1" x14ac:dyDescent="0.2">
      <c r="A7" s="110">
        <f t="shared" ref="A7:A31" si="0">A6+1</f>
        <v>3</v>
      </c>
      <c r="B7" s="41" t="str">
        <f>'F22'!B7</f>
        <v>Total Sales</v>
      </c>
      <c r="C7" s="351" t="str">
        <f>'F22'!C7</f>
        <v>=SUM(C5:C6)</v>
      </c>
      <c r="D7" s="102"/>
      <c r="E7" s="49"/>
      <c r="F7" s="49"/>
      <c r="G7" s="49"/>
      <c r="H7" s="76"/>
      <c r="I7" s="49"/>
      <c r="J7" s="49"/>
      <c r="K7" s="49"/>
      <c r="L7" s="76"/>
      <c r="M7" s="76"/>
      <c r="N7" s="76"/>
      <c r="O7" s="76"/>
      <c r="P7" s="397"/>
      <c r="Q7" s="48"/>
      <c r="R7" s="48"/>
    </row>
    <row r="8" spans="1:20" x14ac:dyDescent="0.2">
      <c r="A8" s="111">
        <f t="shared" si="0"/>
        <v>4</v>
      </c>
      <c r="B8" s="57" t="str">
        <f>'F22'!B8</f>
        <v>Cost of External Sales</v>
      </c>
      <c r="C8" s="348" t="str">
        <f>'F22'!C8</f>
        <v>5101 to 5119, 5141 to 5499, 6000 to 6999</v>
      </c>
      <c r="D8" s="101"/>
      <c r="E8" s="54"/>
      <c r="F8" s="56"/>
      <c r="G8" s="54"/>
      <c r="H8" s="55"/>
      <c r="I8" s="54"/>
      <c r="J8" s="54"/>
      <c r="K8" s="54"/>
      <c r="L8" s="55"/>
      <c r="M8" s="55"/>
      <c r="N8" s="55"/>
      <c r="O8" s="55"/>
      <c r="P8" s="396"/>
      <c r="Q8" s="53"/>
      <c r="R8" s="53"/>
    </row>
    <row r="9" spans="1:20" x14ac:dyDescent="0.2">
      <c r="A9" s="111">
        <f t="shared" si="0"/>
        <v>5</v>
      </c>
      <c r="B9" s="57" t="str">
        <f>'F22'!B9</f>
        <v>Cost of Interco Sales</v>
      </c>
      <c r="C9" s="348" t="str">
        <f>'F22'!C9</f>
        <v>5121 to 5139</v>
      </c>
      <c r="D9" s="101"/>
      <c r="E9" s="54"/>
      <c r="F9" s="56"/>
      <c r="G9" s="54"/>
      <c r="H9" s="55"/>
      <c r="I9" s="54"/>
      <c r="J9" s="54"/>
      <c r="K9" s="54"/>
      <c r="L9" s="55"/>
      <c r="M9" s="55"/>
      <c r="N9" s="55"/>
      <c r="O9" s="55"/>
      <c r="P9" s="396"/>
      <c r="Q9" s="53"/>
      <c r="R9" s="53"/>
    </row>
    <row r="10" spans="1:20" s="31" customFormat="1" x14ac:dyDescent="0.2">
      <c r="A10" s="110">
        <f t="shared" si="0"/>
        <v>6</v>
      </c>
      <c r="B10" s="78" t="str">
        <f>'F22'!B10</f>
        <v>Total Cost of Sales</v>
      </c>
      <c r="C10" s="351" t="str">
        <f>'F22'!C10</f>
        <v>=SUM(C8:C9)</v>
      </c>
      <c r="D10" s="102"/>
      <c r="E10" s="49"/>
      <c r="F10" s="49"/>
      <c r="G10" s="49"/>
      <c r="H10" s="76"/>
      <c r="I10" s="49"/>
      <c r="J10" s="49"/>
      <c r="K10" s="49"/>
      <c r="L10" s="76"/>
      <c r="M10" s="76"/>
      <c r="N10" s="76"/>
      <c r="O10" s="76"/>
      <c r="P10" s="397"/>
      <c r="Q10" s="48"/>
      <c r="R10" s="48"/>
    </row>
    <row r="11" spans="1:20" s="31" customFormat="1" ht="11.25" customHeight="1" thickBot="1" x14ac:dyDescent="0.25">
      <c r="A11" s="393">
        <f t="shared" si="0"/>
        <v>7</v>
      </c>
      <c r="B11" s="79" t="str">
        <f>'F22'!B11</f>
        <v>Gross Profit</v>
      </c>
      <c r="C11" s="352" t="str">
        <f>'F22'!C11</f>
        <v>=C7+C10</v>
      </c>
      <c r="D11" s="112"/>
      <c r="E11" s="34"/>
      <c r="F11" s="34"/>
      <c r="G11" s="34"/>
      <c r="H11" s="113"/>
      <c r="I11" s="34"/>
      <c r="J11" s="34"/>
      <c r="K11" s="34"/>
      <c r="L11" s="113"/>
      <c r="M11" s="113"/>
      <c r="N11" s="113"/>
      <c r="O11" s="113"/>
      <c r="P11" s="398"/>
      <c r="Q11" s="33"/>
      <c r="R11" s="33"/>
    </row>
    <row r="12" spans="1:20" ht="12" thickTop="1" x14ac:dyDescent="0.2">
      <c r="A12" s="111">
        <f t="shared" si="0"/>
        <v>8</v>
      </c>
      <c r="B12" s="57" t="str">
        <f>'F22'!B12</f>
        <v>Commission/Mgt Income</v>
      </c>
      <c r="C12" s="348" t="str">
        <f>'F22'!C12</f>
        <v>5501 to 5509</v>
      </c>
      <c r="D12" s="101"/>
      <c r="E12" s="54"/>
      <c r="F12" s="56"/>
      <c r="G12" s="54"/>
      <c r="H12" s="55"/>
      <c r="I12" s="54"/>
      <c r="J12" s="54"/>
      <c r="K12" s="54"/>
      <c r="L12" s="55"/>
      <c r="M12" s="55"/>
      <c r="N12" s="55"/>
      <c r="O12" s="55"/>
      <c r="P12" s="396"/>
      <c r="Q12" s="53"/>
      <c r="R12" s="53"/>
    </row>
    <row r="13" spans="1:20" x14ac:dyDescent="0.2">
      <c r="A13" s="111">
        <f t="shared" si="0"/>
        <v>9</v>
      </c>
      <c r="B13" s="57" t="str">
        <f>'F22'!B13</f>
        <v>Gain/(Loss) Disposal of FA</v>
      </c>
      <c r="C13" s="348" t="str">
        <f>'F22'!C13</f>
        <v>9101</v>
      </c>
      <c r="D13" s="101"/>
      <c r="E13" s="54"/>
      <c r="F13" s="56"/>
      <c r="G13" s="54"/>
      <c r="H13" s="55"/>
      <c r="I13" s="54"/>
      <c r="J13" s="54"/>
      <c r="K13" s="54"/>
      <c r="L13" s="55"/>
      <c r="M13" s="55"/>
      <c r="N13" s="55"/>
      <c r="O13" s="55"/>
      <c r="P13" s="396"/>
      <c r="Q13" s="53"/>
      <c r="R13" s="53"/>
    </row>
    <row r="14" spans="1:20" x14ac:dyDescent="0.2">
      <c r="A14" s="111">
        <f t="shared" si="0"/>
        <v>10</v>
      </c>
      <c r="B14" s="57" t="str">
        <f>'F22'!B14</f>
        <v>Other Op Income</v>
      </c>
      <c r="C14" s="347" t="str">
        <f>'F22'!C14</f>
        <v>5511 to 5599, 9001 to 9019, 9041Credit, 9102 to 9109Credit</v>
      </c>
      <c r="D14" s="101"/>
      <c r="E14" s="54"/>
      <c r="F14" s="56"/>
      <c r="G14" s="54"/>
      <c r="H14" s="55"/>
      <c r="I14" s="54"/>
      <c r="J14" s="54"/>
      <c r="K14" s="54"/>
      <c r="L14" s="55"/>
      <c r="M14" s="55"/>
      <c r="N14" s="55"/>
      <c r="O14" s="55"/>
      <c r="P14" s="396"/>
      <c r="Q14" s="53"/>
      <c r="R14" s="53"/>
    </row>
    <row r="15" spans="1:20" ht="11.25" customHeight="1" x14ac:dyDescent="0.2">
      <c r="A15" s="111">
        <f t="shared" si="0"/>
        <v>11</v>
      </c>
      <c r="B15" s="57" t="str">
        <f>'F22'!B15</f>
        <v>Other Op Expense</v>
      </c>
      <c r="C15" s="348" t="str">
        <f>'F22'!C15</f>
        <v>5601 to 5999, 9041Debit, 9102 to 9109Debit, 9111 to 9115, 9117 to 9199</v>
      </c>
      <c r="D15" s="101"/>
      <c r="E15" s="54"/>
      <c r="F15" s="56"/>
      <c r="G15" s="54"/>
      <c r="H15" s="114"/>
      <c r="I15" s="54"/>
      <c r="J15" s="54"/>
      <c r="K15" s="54"/>
      <c r="L15" s="55"/>
      <c r="M15" s="55"/>
      <c r="N15" s="55"/>
      <c r="O15" s="55"/>
      <c r="P15" s="396"/>
      <c r="Q15" s="53"/>
      <c r="R15" s="53"/>
    </row>
    <row r="16" spans="1:20" s="31" customFormat="1" ht="11.25" customHeight="1" x14ac:dyDescent="0.2">
      <c r="A16" s="110">
        <f t="shared" si="0"/>
        <v>12</v>
      </c>
      <c r="B16" s="78" t="str">
        <f>'F22'!B16</f>
        <v>Total Oth Op Income/ (Exp)</v>
      </c>
      <c r="C16" s="351" t="str">
        <f>'F22'!C16</f>
        <v>=SUM(C12:C15)</v>
      </c>
      <c r="D16" s="102"/>
      <c r="E16" s="49"/>
      <c r="F16" s="49"/>
      <c r="G16" s="49"/>
      <c r="H16" s="76"/>
      <c r="I16" s="49"/>
      <c r="J16" s="49"/>
      <c r="K16" s="49"/>
      <c r="L16" s="76"/>
      <c r="M16" s="76"/>
      <c r="N16" s="76"/>
      <c r="O16" s="76"/>
      <c r="P16" s="397"/>
      <c r="Q16" s="48"/>
      <c r="R16" s="48"/>
    </row>
    <row r="17" spans="1:18" x14ac:dyDescent="0.2">
      <c r="A17" s="111">
        <f t="shared" si="0"/>
        <v>13</v>
      </c>
      <c r="B17" s="115" t="str">
        <f>'F22'!B17</f>
        <v>Selling &amp; Distribution</v>
      </c>
      <c r="C17" s="353" t="str">
        <f>'F22'!C17</f>
        <v>7000 to 7999</v>
      </c>
      <c r="D17" s="116"/>
      <c r="E17" s="117"/>
      <c r="F17" s="118"/>
      <c r="G17" s="117"/>
      <c r="H17" s="119"/>
      <c r="I17" s="117"/>
      <c r="J17" s="117"/>
      <c r="K17" s="117"/>
      <c r="L17" s="119"/>
      <c r="M17" s="119"/>
      <c r="N17" s="119"/>
      <c r="O17" s="119"/>
      <c r="P17" s="399"/>
      <c r="Q17" s="120"/>
      <c r="R17" s="120"/>
    </row>
    <row r="18" spans="1:18" x14ac:dyDescent="0.2">
      <c r="A18" s="111">
        <f t="shared" si="0"/>
        <v>14</v>
      </c>
      <c r="B18" s="5" t="str">
        <f>'F22'!B18</f>
        <v>A&amp;G Direct Expenses</v>
      </c>
      <c r="C18" s="348" t="str">
        <f>'F22'!C18</f>
        <v>8000 to 8699</v>
      </c>
      <c r="D18" s="101"/>
      <c r="E18" s="54"/>
      <c r="F18" s="56"/>
      <c r="G18" s="54"/>
      <c r="H18" s="55"/>
      <c r="I18" s="54"/>
      <c r="J18" s="54"/>
      <c r="K18" s="54"/>
      <c r="L18" s="55"/>
      <c r="M18" s="55"/>
      <c r="N18" s="55"/>
      <c r="O18" s="55"/>
      <c r="P18" s="396"/>
      <c r="Q18" s="53"/>
      <c r="R18" s="53"/>
    </row>
    <row r="19" spans="1:18" x14ac:dyDescent="0.2">
      <c r="A19" s="111">
        <f t="shared" si="0"/>
        <v>15</v>
      </c>
      <c r="B19" s="129" t="str">
        <f>'F22'!B19</f>
        <v xml:space="preserve">A&amp;G Other Expenses </v>
      </c>
      <c r="C19" s="361" t="str">
        <f>'F22'!C19</f>
        <v>8700 to 8799</v>
      </c>
      <c r="D19" s="54"/>
      <c r="E19" s="54"/>
      <c r="F19" s="56"/>
      <c r="G19" s="54"/>
      <c r="H19" s="55"/>
      <c r="I19" s="54"/>
      <c r="J19" s="54"/>
      <c r="K19" s="54"/>
      <c r="L19" s="55"/>
      <c r="M19" s="55"/>
      <c r="N19" s="55"/>
      <c r="O19" s="55"/>
      <c r="P19" s="396"/>
      <c r="Q19" s="53"/>
      <c r="R19" s="53"/>
    </row>
    <row r="20" spans="1:18" ht="12" thickBot="1" x14ac:dyDescent="0.25">
      <c r="A20" s="413">
        <f t="shared" si="0"/>
        <v>16</v>
      </c>
      <c r="B20" s="79" t="str">
        <f>'F22'!B20</f>
        <v>Profit from Operations</v>
      </c>
      <c r="C20" s="352" t="str">
        <f>'F22'!C20</f>
        <v>=C11+C16+SUM(C17:C19)</v>
      </c>
      <c r="D20" s="112"/>
      <c r="E20" s="34"/>
      <c r="F20" s="121"/>
      <c r="G20" s="34"/>
      <c r="H20" s="113"/>
      <c r="I20" s="34"/>
      <c r="J20" s="34"/>
      <c r="K20" s="34"/>
      <c r="L20" s="113"/>
      <c r="M20" s="113"/>
      <c r="N20" s="113"/>
      <c r="O20" s="113"/>
      <c r="P20" s="398"/>
      <c r="Q20" s="33"/>
      <c r="R20" s="33"/>
    </row>
    <row r="21" spans="1:18" ht="12" thickTop="1" x14ac:dyDescent="0.2">
      <c r="A21" s="111">
        <f t="shared" si="0"/>
        <v>17</v>
      </c>
      <c r="B21" s="64" t="str">
        <f>'F22'!B21</f>
        <v>Interest Income</v>
      </c>
      <c r="C21" s="347" t="str">
        <f>'F22'!C21</f>
        <v>9023</v>
      </c>
      <c r="D21" s="116"/>
      <c r="E21" s="117"/>
      <c r="F21" s="118"/>
      <c r="G21" s="117"/>
      <c r="H21" s="119"/>
      <c r="I21" s="117"/>
      <c r="J21" s="117"/>
      <c r="K21" s="117"/>
      <c r="L21" s="119"/>
      <c r="M21" s="119"/>
      <c r="N21" s="119"/>
      <c r="O21" s="119"/>
      <c r="P21" s="399"/>
      <c r="Q21" s="120"/>
      <c r="R21" s="120"/>
    </row>
    <row r="22" spans="1:18" x14ac:dyDescent="0.2">
      <c r="A22" s="111">
        <f t="shared" si="0"/>
        <v>18</v>
      </c>
      <c r="B22" s="57" t="str">
        <f>'F22'!B22</f>
        <v>Interest (Expense)</v>
      </c>
      <c r="C22" s="347" t="str">
        <f>'F22'!C22</f>
        <v>8801 to 8809</v>
      </c>
      <c r="D22" s="101"/>
      <c r="E22" s="54"/>
      <c r="F22" s="56"/>
      <c r="G22" s="54"/>
      <c r="H22" s="55"/>
      <c r="I22" s="54"/>
      <c r="J22" s="54"/>
      <c r="K22" s="54"/>
      <c r="L22" s="55"/>
      <c r="M22" s="55"/>
      <c r="N22" s="55"/>
      <c r="O22" s="55"/>
      <c r="P22" s="396"/>
      <c r="Q22" s="53"/>
      <c r="R22" s="53"/>
    </row>
    <row r="23" spans="1:18" x14ac:dyDescent="0.2">
      <c r="A23" s="111">
        <f t="shared" si="0"/>
        <v>19</v>
      </c>
      <c r="B23" s="57" t="str">
        <f>'F22'!B23</f>
        <v>Derivatives Gain/(Loss)</v>
      </c>
      <c r="C23" s="348" t="str">
        <f>'F22'!C23</f>
        <v>8821 to 8822</v>
      </c>
      <c r="D23" s="101"/>
      <c r="E23" s="54"/>
      <c r="F23" s="56"/>
      <c r="G23" s="54"/>
      <c r="H23" s="55"/>
      <c r="I23" s="54"/>
      <c r="J23" s="54"/>
      <c r="K23" s="54"/>
      <c r="L23" s="55"/>
      <c r="M23" s="55"/>
      <c r="N23" s="55"/>
      <c r="O23" s="55"/>
      <c r="P23" s="396"/>
      <c r="Q23" s="53"/>
      <c r="R23" s="53"/>
    </row>
    <row r="24" spans="1:18" x14ac:dyDescent="0.2">
      <c r="A24" s="111">
        <f t="shared" si="0"/>
        <v>20</v>
      </c>
      <c r="B24" s="57" t="str">
        <f>'F22'!B24</f>
        <v>Forex Gain/(Loss)</v>
      </c>
      <c r="C24" s="348" t="str">
        <f>'F22'!C24</f>
        <v>8831 to 8832</v>
      </c>
      <c r="D24" s="101"/>
      <c r="E24" s="54"/>
      <c r="F24" s="56"/>
      <c r="G24" s="54"/>
      <c r="H24" s="55"/>
      <c r="I24" s="54"/>
      <c r="J24" s="54"/>
      <c r="K24" s="54"/>
      <c r="L24" s="55"/>
      <c r="M24" s="55"/>
      <c r="N24" s="55"/>
      <c r="O24" s="55"/>
      <c r="P24" s="396"/>
      <c r="Q24" s="53"/>
      <c r="R24" s="53"/>
    </row>
    <row r="25" spans="1:18" x14ac:dyDescent="0.2">
      <c r="A25" s="111">
        <f t="shared" si="0"/>
        <v>21</v>
      </c>
      <c r="B25" s="57" t="str">
        <f>'F22'!B25</f>
        <v>Dividend Income</v>
      </c>
      <c r="C25" s="348" t="str">
        <f>'F22'!C25</f>
        <v>9021</v>
      </c>
      <c r="D25" s="101"/>
      <c r="E25" s="54"/>
      <c r="F25" s="56"/>
      <c r="G25" s="54"/>
      <c r="H25" s="55"/>
      <c r="I25" s="54"/>
      <c r="J25" s="54"/>
      <c r="K25" s="54"/>
      <c r="L25" s="55"/>
      <c r="M25" s="55"/>
      <c r="N25" s="55"/>
      <c r="O25" s="55"/>
      <c r="P25" s="396"/>
      <c r="Q25" s="53"/>
      <c r="R25" s="53"/>
    </row>
    <row r="26" spans="1:18" x14ac:dyDescent="0.2">
      <c r="A26" s="111">
        <f t="shared" si="0"/>
        <v>22</v>
      </c>
      <c r="B26" s="57" t="str">
        <f>'F22'!B26</f>
        <v>Other Non-Op Income/(Exp)</v>
      </c>
      <c r="C26" s="348" t="str">
        <f>'F22'!C26</f>
        <v>9031, 9116, 9200 to 9211</v>
      </c>
      <c r="D26" s="101"/>
      <c r="E26" s="54"/>
      <c r="F26" s="56"/>
      <c r="G26" s="54"/>
      <c r="H26" s="55"/>
      <c r="I26" s="54"/>
      <c r="J26" s="54"/>
      <c r="K26" s="54"/>
      <c r="L26" s="55"/>
      <c r="M26" s="55"/>
      <c r="N26" s="55"/>
      <c r="O26" s="55"/>
      <c r="P26" s="396"/>
      <c r="Q26" s="53"/>
      <c r="R26" s="53"/>
    </row>
    <row r="27" spans="1:18" x14ac:dyDescent="0.2">
      <c r="A27" s="110">
        <f t="shared" si="0"/>
        <v>23</v>
      </c>
      <c r="B27" s="52" t="str">
        <f>'F22'!B27</f>
        <v>Total Non-Op Income/(Exp)</v>
      </c>
      <c r="C27" s="351" t="str">
        <f>'F22'!C27</f>
        <v>=SUM(C50:C55)</v>
      </c>
      <c r="D27" s="102"/>
      <c r="E27" s="49"/>
      <c r="F27" s="50"/>
      <c r="G27" s="49"/>
      <c r="H27" s="76"/>
      <c r="I27" s="49"/>
      <c r="J27" s="49"/>
      <c r="K27" s="49"/>
      <c r="L27" s="76"/>
      <c r="M27" s="76"/>
      <c r="N27" s="76"/>
      <c r="O27" s="76"/>
      <c r="P27" s="397"/>
      <c r="Q27" s="48"/>
      <c r="R27" s="48"/>
    </row>
    <row r="28" spans="1:18" x14ac:dyDescent="0.2">
      <c r="A28" s="110">
        <f t="shared" si="0"/>
        <v>24</v>
      </c>
      <c r="B28" s="47" t="str">
        <f>'F22'!B28</f>
        <v>Profit Before Taxation</v>
      </c>
      <c r="C28" s="354" t="str">
        <f>'F22'!C28</f>
        <v>=C49+C56</v>
      </c>
      <c r="D28" s="122"/>
      <c r="E28" s="45"/>
      <c r="F28" s="44"/>
      <c r="G28" s="43"/>
      <c r="H28" s="60"/>
      <c r="I28" s="43"/>
      <c r="J28" s="43"/>
      <c r="K28" s="43"/>
      <c r="L28" s="60"/>
      <c r="M28" s="60"/>
      <c r="N28" s="60"/>
      <c r="O28" s="60"/>
      <c r="P28" s="400"/>
      <c r="Q28" s="42"/>
      <c r="R28" s="42"/>
    </row>
    <row r="29" spans="1:18" x14ac:dyDescent="0.2">
      <c r="A29" s="110">
        <f t="shared" si="0"/>
        <v>25</v>
      </c>
      <c r="B29" s="41" t="str">
        <f>'F22'!B29</f>
        <v>Less: Taxation</v>
      </c>
      <c r="C29" s="351" t="str">
        <f>'F22'!C29</f>
        <v xml:space="preserve">9400 to 9999 </v>
      </c>
      <c r="D29" s="104"/>
      <c r="E29" s="39"/>
      <c r="F29" s="40"/>
      <c r="G29" s="39"/>
      <c r="H29" s="103"/>
      <c r="I29" s="39"/>
      <c r="J29" s="39"/>
      <c r="K29" s="39"/>
      <c r="L29" s="103"/>
      <c r="M29" s="103"/>
      <c r="N29" s="103"/>
      <c r="O29" s="103"/>
      <c r="P29" s="401"/>
      <c r="Q29" s="38"/>
      <c r="R29" s="38"/>
    </row>
    <row r="30" spans="1:18" ht="12" thickBot="1" x14ac:dyDescent="0.25">
      <c r="A30" s="111">
        <f t="shared" si="0"/>
        <v>26</v>
      </c>
      <c r="B30" s="36" t="str">
        <f>'F22'!B30</f>
        <v>Profits After Taxation</v>
      </c>
      <c r="C30" s="352" t="str">
        <f>'F22'!C30</f>
        <v>=C57+C58</v>
      </c>
      <c r="D30" s="112"/>
      <c r="E30" s="34"/>
      <c r="F30" s="34"/>
      <c r="G30" s="34"/>
      <c r="H30" s="113"/>
      <c r="I30" s="34"/>
      <c r="J30" s="34"/>
      <c r="K30" s="34"/>
      <c r="L30" s="113"/>
      <c r="M30" s="113"/>
      <c r="N30" s="113"/>
      <c r="O30" s="131"/>
      <c r="P30" s="404"/>
      <c r="Q30" s="132"/>
      <c r="R30" s="132"/>
    </row>
    <row r="31" spans="1:18" s="31" customFormat="1" ht="12" thickTop="1" x14ac:dyDescent="0.2">
      <c r="A31" s="414">
        <f t="shared" si="0"/>
        <v>27</v>
      </c>
      <c r="B31" s="485" t="str">
        <f>'F22'!B31</f>
        <v>Dividend Declared</v>
      </c>
      <c r="C31" s="486" t="str">
        <f>'F22'!C31</f>
        <v>4902</v>
      </c>
      <c r="D31" s="481"/>
      <c r="E31" s="482"/>
      <c r="F31" s="482"/>
      <c r="G31" s="482"/>
      <c r="H31" s="482"/>
      <c r="I31" s="482"/>
      <c r="J31" s="482"/>
      <c r="K31" s="482"/>
      <c r="L31" s="482"/>
      <c r="M31" s="482"/>
      <c r="N31" s="482"/>
      <c r="O31" s="483"/>
      <c r="P31" s="483"/>
      <c r="Q31" s="483"/>
      <c r="R31" s="483"/>
    </row>
    <row r="32" spans="1:18" x14ac:dyDescent="0.2">
      <c r="A32" s="484"/>
      <c r="B32" s="442" t="str">
        <f>'F22'!B32</f>
        <v>Performance Indicators</v>
      </c>
      <c r="D32" s="100">
        <v>42826</v>
      </c>
      <c r="E32" s="100">
        <v>42856</v>
      </c>
      <c r="F32" s="100">
        <v>42887</v>
      </c>
      <c r="G32" s="100">
        <v>42917</v>
      </c>
      <c r="H32" s="100">
        <v>42948</v>
      </c>
      <c r="I32" s="100">
        <v>42979</v>
      </c>
      <c r="J32" s="100">
        <v>43009</v>
      </c>
      <c r="K32" s="100">
        <v>43040</v>
      </c>
      <c r="L32" s="100">
        <v>43070</v>
      </c>
      <c r="M32" s="100">
        <v>43101</v>
      </c>
      <c r="N32" s="100">
        <v>43132</v>
      </c>
      <c r="O32" s="100">
        <v>43160</v>
      </c>
      <c r="P32" s="130" t="s">
        <v>87</v>
      </c>
      <c r="Q32" s="456" t="s">
        <v>1493</v>
      </c>
      <c r="R32" s="300" t="s">
        <v>1326</v>
      </c>
    </row>
    <row r="33" spans="1:18" x14ac:dyDescent="0.2">
      <c r="A33" s="19">
        <v>1</v>
      </c>
      <c r="B33" s="22" t="str">
        <f>'F22'!B33</f>
        <v>Gross Profits Margin %</v>
      </c>
      <c r="C33" s="356" t="str">
        <f>'F22'!C33</f>
        <v>Gross Profits/Total Sales</v>
      </c>
      <c r="D33" s="12"/>
      <c r="E33" s="12"/>
      <c r="F33" s="12"/>
      <c r="G33" s="23"/>
      <c r="H33" s="16"/>
      <c r="I33" s="12"/>
      <c r="J33" s="12"/>
      <c r="K33" s="12"/>
      <c r="L33" s="12"/>
      <c r="M33" s="12"/>
      <c r="N33" s="12"/>
      <c r="O33" s="12"/>
      <c r="P33" s="402"/>
      <c r="Q33" s="20"/>
      <c r="R33" s="15"/>
    </row>
    <row r="34" spans="1:18" x14ac:dyDescent="0.2">
      <c r="A34" s="19">
        <f>A33+1</f>
        <v>2</v>
      </c>
      <c r="B34" s="22" t="str">
        <f>'F22'!B34</f>
        <v>- External Sales GP %</v>
      </c>
      <c r="C34" s="357" t="str">
        <f>'F22'!C34</f>
        <v>(External Sales - Cost of External Sales)/External Sales</v>
      </c>
      <c r="D34" s="12"/>
      <c r="E34" s="12"/>
      <c r="F34" s="12"/>
      <c r="G34" s="23"/>
      <c r="H34" s="16"/>
      <c r="I34" s="12"/>
      <c r="J34" s="12"/>
      <c r="K34" s="12"/>
      <c r="L34" s="12"/>
      <c r="M34" s="12"/>
      <c r="N34" s="12"/>
      <c r="O34" s="12"/>
      <c r="P34" s="402"/>
      <c r="Q34" s="20"/>
      <c r="R34" s="15"/>
    </row>
    <row r="35" spans="1:18" x14ac:dyDescent="0.2">
      <c r="A35" s="19">
        <f t="shared" ref="A35:A40" si="1">A34+1</f>
        <v>3</v>
      </c>
      <c r="B35" s="24" t="str">
        <f>'F22'!B35</f>
        <v>- Interco Sales GP %</v>
      </c>
      <c r="C35" s="358" t="str">
        <f>'F22'!C35</f>
        <v>(Interco Sales - Cost of Interco Sales)/Interco Sales</v>
      </c>
      <c r="D35" s="12"/>
      <c r="E35" s="12"/>
      <c r="F35" s="12"/>
      <c r="G35" s="23"/>
      <c r="H35" s="16"/>
      <c r="I35" s="12"/>
      <c r="J35" s="12"/>
      <c r="K35" s="12"/>
      <c r="L35" s="12"/>
      <c r="M35" s="12"/>
      <c r="N35" s="12"/>
      <c r="O35" s="12"/>
      <c r="P35" s="402"/>
      <c r="Q35" s="20"/>
      <c r="R35" s="15"/>
    </row>
    <row r="36" spans="1:18" x14ac:dyDescent="0.2">
      <c r="A36" s="19">
        <f t="shared" si="1"/>
        <v>4</v>
      </c>
      <c r="B36" s="24" t="str">
        <f>'F22'!B36</f>
        <v>Selling &amp; Dist Margin %</v>
      </c>
      <c r="C36" s="358" t="str">
        <f>'F22'!C36</f>
        <v>-Total S&amp;D Exps/Total Sales</v>
      </c>
      <c r="D36" s="12"/>
      <c r="E36" s="12"/>
      <c r="F36" s="12"/>
      <c r="G36" s="23"/>
      <c r="H36" s="16"/>
      <c r="I36" s="12"/>
      <c r="J36" s="12"/>
      <c r="K36" s="12"/>
      <c r="L36" s="12"/>
      <c r="M36" s="12"/>
      <c r="N36" s="12"/>
      <c r="O36" s="12"/>
      <c r="P36" s="402"/>
      <c r="Q36" s="20"/>
      <c r="R36" s="15"/>
    </row>
    <row r="37" spans="1:18" x14ac:dyDescent="0.2">
      <c r="A37" s="19">
        <f t="shared" si="1"/>
        <v>5</v>
      </c>
      <c r="B37" s="18" t="str">
        <f>'F22'!B37</f>
        <v>A&amp;G Margin Direct %</v>
      </c>
      <c r="C37" s="357" t="str">
        <f>'F22'!C37</f>
        <v>-Total Direct A&amp;G Exps/Total Sales</v>
      </c>
      <c r="D37" s="12"/>
      <c r="E37" s="12"/>
      <c r="F37" s="12"/>
      <c r="G37" s="12"/>
      <c r="H37" s="16"/>
      <c r="I37" s="12"/>
      <c r="J37" s="12"/>
      <c r="K37" s="12"/>
      <c r="L37" s="12"/>
      <c r="M37" s="12"/>
      <c r="N37" s="12"/>
      <c r="O37" s="12"/>
      <c r="P37" s="402"/>
      <c r="Q37" s="20"/>
      <c r="R37" s="410"/>
    </row>
    <row r="38" spans="1:18" x14ac:dyDescent="0.2">
      <c r="A38" s="19">
        <f t="shared" si="1"/>
        <v>6</v>
      </c>
      <c r="B38" s="18" t="str">
        <f>'F22'!B38</f>
        <v>A&amp;G Margin Total %</v>
      </c>
      <c r="C38" s="357" t="str">
        <f>'F22'!C38</f>
        <v>-Total A&amp;G Exps/Total Sales</v>
      </c>
      <c r="D38" s="12"/>
      <c r="E38" s="12"/>
      <c r="F38" s="12"/>
      <c r="G38" s="12"/>
      <c r="H38" s="16"/>
      <c r="I38" s="12"/>
      <c r="J38" s="12"/>
      <c r="K38" s="12"/>
      <c r="L38" s="12"/>
      <c r="M38" s="12"/>
      <c r="N38" s="12"/>
      <c r="O38" s="12"/>
      <c r="P38" s="402"/>
      <c r="Q38" s="20"/>
      <c r="R38" s="410"/>
    </row>
    <row r="39" spans="1:18" x14ac:dyDescent="0.2">
      <c r="A39" s="19">
        <f t="shared" si="1"/>
        <v>7</v>
      </c>
      <c r="B39" s="22" t="str">
        <f>'F22'!B39</f>
        <v>Operating Profits Margin %</v>
      </c>
      <c r="C39" s="357" t="str">
        <f>'F22'!C39</f>
        <v>Profits from Operations/Total Sales</v>
      </c>
      <c r="D39" s="12"/>
      <c r="E39" s="12"/>
      <c r="F39" s="12"/>
      <c r="G39" s="12"/>
      <c r="H39" s="12"/>
      <c r="I39" s="12"/>
      <c r="J39" s="12"/>
      <c r="K39" s="12"/>
      <c r="L39" s="12"/>
      <c r="M39" s="12"/>
      <c r="N39" s="12"/>
      <c r="O39" s="12"/>
      <c r="P39" s="402"/>
      <c r="Q39" s="20"/>
      <c r="R39" s="402"/>
    </row>
    <row r="40" spans="1:18" x14ac:dyDescent="0.2">
      <c r="A40" s="19">
        <f t="shared" si="1"/>
        <v>8</v>
      </c>
      <c r="B40" s="21" t="str">
        <f>'F22'!B40</f>
        <v>Profits Before Taxation %</v>
      </c>
      <c r="C40" s="357" t="str">
        <f>'F22'!C40</f>
        <v>Profits Before Taxation/Total Sales</v>
      </c>
      <c r="P40" s="405"/>
      <c r="Q40" s="405"/>
      <c r="R40" s="405"/>
    </row>
    <row r="41" spans="1:18" x14ac:dyDescent="0.2">
      <c r="A41" s="19">
        <f>A40+1</f>
        <v>9</v>
      </c>
      <c r="B41" s="105" t="str">
        <f>'F22'!B41</f>
        <v>Profit After Taxation %</v>
      </c>
      <c r="C41" s="359" t="str">
        <f>'F22'!C41</f>
        <v>Profits after Taxation/Total Sales</v>
      </c>
      <c r="D41" s="11"/>
      <c r="E41" s="11"/>
      <c r="F41" s="11"/>
      <c r="G41" s="11"/>
      <c r="H41" s="123"/>
      <c r="I41" s="11"/>
      <c r="J41" s="11"/>
      <c r="K41" s="11"/>
      <c r="L41" s="11"/>
      <c r="M41" s="11"/>
      <c r="N41" s="11"/>
      <c r="O41" s="11"/>
      <c r="P41" s="403"/>
      <c r="Q41" s="10"/>
      <c r="R41" s="589"/>
    </row>
    <row r="42" spans="1:18" ht="12.75" x14ac:dyDescent="0.2">
      <c r="F42" s="464"/>
      <c r="G42" s="465"/>
      <c r="H42" s="242"/>
      <c r="I42" s="466"/>
      <c r="J42" s="466"/>
      <c r="K42" s="466"/>
      <c r="L42" s="242"/>
    </row>
    <row r="43" spans="1:18" ht="12.75" x14ac:dyDescent="0.2">
      <c r="F43" s="464"/>
      <c r="G43" s="465"/>
      <c r="H43" s="242"/>
      <c r="I43" s="466"/>
      <c r="J43" s="466"/>
      <c r="K43" s="466"/>
      <c r="L43" s="242"/>
    </row>
    <row r="44" spans="1:18" ht="12.75" x14ac:dyDescent="0.2">
      <c r="F44" s="464"/>
      <c r="G44" s="465"/>
      <c r="H44" s="242"/>
      <c r="I44" s="466"/>
      <c r="J44" s="466"/>
      <c r="K44" s="466"/>
      <c r="L44" s="242"/>
    </row>
    <row r="45" spans="1:18" ht="12.75" x14ac:dyDescent="0.2">
      <c r="F45" s="464"/>
      <c r="G45" s="465"/>
      <c r="H45" s="242"/>
      <c r="I45" s="466"/>
      <c r="J45" s="466"/>
      <c r="K45" s="466"/>
      <c r="L45" s="242"/>
    </row>
    <row r="46" spans="1:18" ht="12.75" x14ac:dyDescent="0.2">
      <c r="F46" s="464"/>
      <c r="G46" s="465"/>
      <c r="H46" s="242"/>
      <c r="I46" s="466"/>
      <c r="J46" s="466"/>
      <c r="K46" s="466"/>
      <c r="L46" s="242"/>
    </row>
    <row r="47" spans="1:18" ht="12.75" x14ac:dyDescent="0.2">
      <c r="F47" s="464"/>
      <c r="G47" s="465"/>
      <c r="H47" s="242"/>
      <c r="I47" s="466"/>
      <c r="J47" s="466"/>
      <c r="K47" s="466"/>
      <c r="L47" s="242"/>
    </row>
    <row r="48" spans="1:18" ht="12.75" x14ac:dyDescent="0.2">
      <c r="F48" s="464"/>
      <c r="G48" s="465"/>
      <c r="H48" s="242"/>
      <c r="I48" s="466"/>
      <c r="J48" s="466"/>
      <c r="K48" s="466"/>
      <c r="L48" s="242"/>
    </row>
    <row r="49" spans="6:12" ht="12.75" x14ac:dyDescent="0.2">
      <c r="F49" s="464"/>
      <c r="G49" s="465"/>
      <c r="H49" s="242"/>
      <c r="I49" s="466"/>
      <c r="J49" s="466"/>
      <c r="K49" s="466"/>
      <c r="L49" s="242"/>
    </row>
    <row r="50" spans="6:12" ht="12.75" x14ac:dyDescent="0.2">
      <c r="F50" s="464"/>
      <c r="G50" s="465"/>
      <c r="H50" s="242"/>
      <c r="I50" s="466"/>
      <c r="J50" s="466"/>
      <c r="K50" s="466"/>
      <c r="L50" s="242"/>
    </row>
    <row r="51" spans="6:12" ht="12.75" x14ac:dyDescent="0.2">
      <c r="F51" s="464"/>
      <c r="G51" s="465"/>
      <c r="H51" s="242"/>
      <c r="I51" s="466"/>
      <c r="J51" s="466"/>
      <c r="K51" s="466"/>
      <c r="L51" s="242"/>
    </row>
    <row r="52" spans="6:12" ht="12.75" x14ac:dyDescent="0.2">
      <c r="F52" s="464"/>
      <c r="G52" s="465"/>
      <c r="H52" s="242"/>
      <c r="I52" s="466"/>
      <c r="J52" s="466"/>
      <c r="K52" s="466"/>
      <c r="L52" s="242"/>
    </row>
    <row r="53" spans="6:12" ht="12.75" x14ac:dyDescent="0.2">
      <c r="F53" s="464"/>
      <c r="G53" s="465"/>
      <c r="H53" s="242"/>
      <c r="I53" s="466"/>
      <c r="J53" s="466"/>
      <c r="K53" s="466"/>
      <c r="L53" s="242"/>
    </row>
    <row r="54" spans="6:12" ht="12.75" x14ac:dyDescent="0.2">
      <c r="F54" s="464"/>
      <c r="G54" s="465"/>
      <c r="H54" s="242"/>
      <c r="I54" s="466"/>
      <c r="J54" s="466"/>
      <c r="K54" s="466"/>
      <c r="L54" s="242"/>
    </row>
    <row r="55" spans="6:12" ht="12.75" x14ac:dyDescent="0.2">
      <c r="F55" s="464"/>
      <c r="G55" s="465"/>
      <c r="H55" s="242"/>
      <c r="I55" s="466"/>
      <c r="J55" s="466"/>
      <c r="K55" s="466"/>
      <c r="L55" s="242"/>
    </row>
    <row r="56" spans="6:12" ht="12.75" x14ac:dyDescent="0.2">
      <c r="F56" s="464"/>
      <c r="G56" s="465"/>
      <c r="H56" s="242"/>
      <c r="I56" s="466"/>
      <c r="J56" s="466"/>
      <c r="K56" s="466"/>
      <c r="L56" s="242"/>
    </row>
    <row r="57" spans="6:12" ht="12.75" x14ac:dyDescent="0.2">
      <c r="F57" s="464"/>
      <c r="G57" s="465"/>
      <c r="H57" s="242"/>
      <c r="I57" s="466"/>
      <c r="J57" s="466"/>
      <c r="K57" s="466"/>
      <c r="L57" s="242"/>
    </row>
    <row r="58" spans="6:12" ht="12.75" x14ac:dyDescent="0.2">
      <c r="F58" s="464"/>
      <c r="G58" s="465"/>
      <c r="H58" s="242"/>
      <c r="I58" s="466"/>
      <c r="J58" s="466"/>
      <c r="K58" s="466"/>
      <c r="L58" s="242"/>
    </row>
    <row r="59" spans="6:12" ht="12.75" x14ac:dyDescent="0.2">
      <c r="F59" s="464"/>
      <c r="G59" s="465"/>
      <c r="H59" s="242"/>
      <c r="I59" s="466"/>
      <c r="J59" s="466"/>
      <c r="K59" s="466"/>
      <c r="L59" s="242"/>
    </row>
    <row r="60" spans="6:12" ht="12.75" x14ac:dyDescent="0.2">
      <c r="F60" s="464"/>
      <c r="G60" s="465"/>
      <c r="H60" s="242"/>
      <c r="I60" s="466"/>
      <c r="J60" s="466"/>
      <c r="K60" s="466"/>
      <c r="L60" s="242"/>
    </row>
    <row r="61" spans="6:12" ht="12.75" x14ac:dyDescent="0.2">
      <c r="F61" s="464"/>
      <c r="G61" s="465"/>
      <c r="H61" s="242"/>
      <c r="I61" s="466"/>
      <c r="J61" s="466"/>
      <c r="K61" s="466"/>
      <c r="L61" s="242"/>
    </row>
    <row r="62" spans="6:12" ht="12.75" x14ac:dyDescent="0.2">
      <c r="F62" s="464"/>
      <c r="G62" s="465"/>
      <c r="H62" s="242"/>
      <c r="I62" s="466"/>
      <c r="J62" s="466"/>
      <c r="K62" s="466"/>
      <c r="L62" s="242"/>
    </row>
    <row r="63" spans="6:12" ht="12.75" x14ac:dyDescent="0.2">
      <c r="F63" s="464"/>
      <c r="G63" s="465"/>
      <c r="H63" s="242"/>
      <c r="I63" s="466"/>
      <c r="J63" s="466"/>
      <c r="K63" s="466"/>
      <c r="L63" s="242"/>
    </row>
    <row r="64" spans="6:12" ht="12.75" x14ac:dyDescent="0.2">
      <c r="F64" s="464"/>
      <c r="G64" s="465"/>
      <c r="H64" s="242"/>
      <c r="I64" s="466"/>
      <c r="J64" s="466"/>
      <c r="K64" s="466"/>
      <c r="L64" s="242"/>
    </row>
    <row r="65" spans="6:12" ht="12.75" x14ac:dyDescent="0.2">
      <c r="F65" s="464"/>
      <c r="G65" s="465"/>
      <c r="H65" s="242"/>
      <c r="I65" s="466"/>
      <c r="J65" s="466"/>
      <c r="K65" s="466"/>
      <c r="L65" s="242"/>
    </row>
    <row r="66" spans="6:12" ht="12.75" x14ac:dyDescent="0.2">
      <c r="F66" s="464"/>
      <c r="G66" s="465"/>
      <c r="H66" s="242"/>
      <c r="I66" s="466"/>
      <c r="J66" s="466"/>
      <c r="K66" s="466"/>
      <c r="L66" s="242"/>
    </row>
    <row r="67" spans="6:12" ht="12.75" x14ac:dyDescent="0.2">
      <c r="F67" s="464"/>
      <c r="G67" s="465"/>
      <c r="H67" s="242"/>
      <c r="I67" s="466"/>
      <c r="J67" s="466"/>
      <c r="K67" s="466"/>
      <c r="L67" s="242"/>
    </row>
    <row r="68" spans="6:12" ht="12.75" x14ac:dyDescent="0.2">
      <c r="F68" s="464"/>
      <c r="G68" s="465"/>
      <c r="H68" s="242"/>
      <c r="I68" s="466"/>
      <c r="J68" s="466"/>
      <c r="K68" s="466"/>
      <c r="L68" s="242"/>
    </row>
    <row r="69" spans="6:12" ht="12.75" x14ac:dyDescent="0.2">
      <c r="F69" s="464"/>
      <c r="G69" s="465"/>
      <c r="H69" s="242"/>
      <c r="I69" s="466"/>
      <c r="J69" s="466"/>
      <c r="K69" s="466"/>
      <c r="L69" s="242"/>
    </row>
    <row r="70" spans="6:12" ht="12.75" x14ac:dyDescent="0.2">
      <c r="F70" s="464"/>
      <c r="G70" s="465"/>
      <c r="H70" s="242"/>
      <c r="I70" s="466"/>
      <c r="J70" s="466"/>
      <c r="K70" s="466"/>
      <c r="L70" s="242"/>
    </row>
    <row r="71" spans="6:12" ht="12.75" x14ac:dyDescent="0.2">
      <c r="F71" s="464"/>
      <c r="G71" s="465"/>
      <c r="H71" s="242"/>
      <c r="I71" s="466"/>
      <c r="J71" s="466"/>
      <c r="K71" s="466"/>
      <c r="L71" s="242"/>
    </row>
    <row r="72" spans="6:12" ht="12.75" x14ac:dyDescent="0.2">
      <c r="F72" s="464"/>
      <c r="G72" s="465"/>
      <c r="H72" s="242"/>
      <c r="I72" s="466"/>
      <c r="J72" s="466"/>
      <c r="K72" s="466"/>
      <c r="L72" s="242"/>
    </row>
    <row r="73" spans="6:12" ht="12.75" x14ac:dyDescent="0.2">
      <c r="F73" s="464"/>
      <c r="G73" s="465"/>
      <c r="H73" s="242"/>
      <c r="I73" s="466"/>
      <c r="J73" s="466"/>
      <c r="K73" s="466"/>
      <c r="L73" s="242"/>
    </row>
    <row r="74" spans="6:12" ht="12.75" x14ac:dyDescent="0.2">
      <c r="F74" s="464"/>
      <c r="G74" s="465"/>
      <c r="H74" s="242"/>
      <c r="I74" s="466"/>
      <c r="J74" s="466"/>
      <c r="K74" s="466"/>
      <c r="L74" s="242"/>
    </row>
    <row r="75" spans="6:12" ht="12.75" x14ac:dyDescent="0.2">
      <c r="F75" s="464"/>
      <c r="G75" s="465"/>
      <c r="H75" s="242"/>
      <c r="I75" s="466"/>
      <c r="J75" s="466"/>
      <c r="K75" s="466"/>
      <c r="L75" s="242"/>
    </row>
    <row r="76" spans="6:12" ht="12.75" x14ac:dyDescent="0.2">
      <c r="F76" s="464"/>
      <c r="G76" s="465"/>
      <c r="H76" s="242"/>
      <c r="I76" s="466"/>
      <c r="J76" s="466"/>
      <c r="K76" s="466"/>
      <c r="L76" s="242"/>
    </row>
    <row r="77" spans="6:12" ht="12.75" x14ac:dyDescent="0.2">
      <c r="F77" s="464"/>
      <c r="G77" s="465"/>
      <c r="H77" s="242"/>
      <c r="I77" s="466"/>
      <c r="J77" s="466"/>
      <c r="K77" s="466"/>
      <c r="L77" s="242"/>
    </row>
    <row r="78" spans="6:12" ht="12.75" x14ac:dyDescent="0.2">
      <c r="F78" s="464"/>
      <c r="G78" s="465"/>
      <c r="H78" s="242"/>
      <c r="I78" s="466"/>
      <c r="J78" s="466"/>
      <c r="K78" s="466"/>
      <c r="L78" s="242"/>
    </row>
    <row r="79" spans="6:12" ht="12.75" x14ac:dyDescent="0.2">
      <c r="F79" s="464"/>
      <c r="G79" s="465"/>
      <c r="H79" s="242"/>
      <c r="I79" s="466"/>
      <c r="J79" s="466"/>
      <c r="K79" s="466"/>
      <c r="L79" s="242"/>
    </row>
    <row r="80" spans="6:12" ht="12.75" x14ac:dyDescent="0.2">
      <c r="F80" s="464"/>
      <c r="G80" s="465"/>
      <c r="H80" s="242"/>
      <c r="I80" s="466"/>
      <c r="J80" s="466"/>
      <c r="K80" s="466"/>
      <c r="L80" s="242"/>
    </row>
    <row r="81" spans="1:12" ht="12.75" x14ac:dyDescent="0.2">
      <c r="F81" s="464"/>
      <c r="G81" s="465"/>
      <c r="H81" s="242"/>
      <c r="I81" s="466"/>
      <c r="J81" s="466"/>
      <c r="K81" s="466"/>
      <c r="L81" s="242"/>
    </row>
    <row r="82" spans="1:12" ht="12.75" x14ac:dyDescent="0.2">
      <c r="F82" s="464"/>
      <c r="G82" s="465"/>
      <c r="H82" s="242"/>
      <c r="I82" s="466"/>
      <c r="J82" s="466"/>
      <c r="K82" s="466"/>
      <c r="L82" s="242"/>
    </row>
    <row r="83" spans="1:12" ht="12.75" x14ac:dyDescent="0.2">
      <c r="F83" s="464"/>
      <c r="G83" s="465"/>
      <c r="H83" s="242"/>
      <c r="I83" s="466"/>
      <c r="J83" s="466"/>
      <c r="K83" s="466"/>
      <c r="L83" s="242"/>
    </row>
    <row r="84" spans="1:12" ht="12.75" x14ac:dyDescent="0.2">
      <c r="F84" s="464"/>
      <c r="G84" s="465"/>
      <c r="H84" s="242"/>
      <c r="I84" s="466"/>
      <c r="J84" s="466"/>
      <c r="K84" s="466"/>
      <c r="L84" s="242"/>
    </row>
    <row r="85" spans="1:12" ht="12.75" x14ac:dyDescent="0.2">
      <c r="F85" s="464"/>
      <c r="G85" s="465"/>
      <c r="H85" s="242"/>
      <c r="I85" s="466"/>
      <c r="J85" s="466"/>
      <c r="K85" s="466"/>
      <c r="L85" s="242"/>
    </row>
    <row r="86" spans="1:12" ht="12.75" x14ac:dyDescent="0.2">
      <c r="F86" s="464"/>
      <c r="G86" s="465"/>
      <c r="H86" s="242"/>
      <c r="I86" s="466"/>
      <c r="J86" s="466"/>
      <c r="K86" s="466"/>
      <c r="L86" s="242"/>
    </row>
    <row r="87" spans="1:12" ht="12.75" x14ac:dyDescent="0.2">
      <c r="F87" s="464"/>
      <c r="G87" s="465"/>
      <c r="H87" s="242"/>
      <c r="I87" s="466"/>
      <c r="J87" s="466"/>
      <c r="K87" s="466"/>
      <c r="L87" s="242"/>
    </row>
    <row r="88" spans="1:12" ht="12.75" x14ac:dyDescent="0.2">
      <c r="F88" s="464"/>
      <c r="G88" s="465"/>
      <c r="H88" s="242"/>
      <c r="I88" s="466"/>
      <c r="J88" s="466"/>
      <c r="K88" s="466"/>
      <c r="L88" s="242"/>
    </row>
    <row r="89" spans="1:12" ht="12.75" x14ac:dyDescent="0.2">
      <c r="F89" s="464"/>
      <c r="G89" s="465"/>
      <c r="H89" s="242"/>
      <c r="I89" s="466"/>
      <c r="J89" s="466"/>
      <c r="K89" s="466"/>
      <c r="L89" s="242"/>
    </row>
    <row r="90" spans="1:12" ht="12.75" x14ac:dyDescent="0.2">
      <c r="F90" s="464"/>
      <c r="G90" s="465"/>
      <c r="H90" s="242"/>
      <c r="I90" s="466"/>
      <c r="J90" s="466"/>
      <c r="K90" s="466"/>
      <c r="L90" s="242"/>
    </row>
    <row r="91" spans="1:12" ht="13.5" thickBot="1" x14ac:dyDescent="0.25">
      <c r="A91" s="126"/>
      <c r="B91" s="127"/>
      <c r="C91" s="355"/>
      <c r="D91" s="127"/>
      <c r="E91" s="127"/>
      <c r="F91" s="467"/>
      <c r="G91" s="468"/>
      <c r="H91" s="469"/>
      <c r="I91" s="466"/>
      <c r="J91" s="466"/>
      <c r="K91" s="466"/>
      <c r="L91" s="242"/>
    </row>
    <row r="92" spans="1:12" ht="13.5" thickTop="1" x14ac:dyDescent="0.2">
      <c r="F92" s="464"/>
      <c r="G92" s="465"/>
      <c r="H92" s="242"/>
      <c r="I92" s="466"/>
      <c r="J92" s="466"/>
      <c r="K92" s="466"/>
      <c r="L92" s="242"/>
    </row>
    <row r="93" spans="1:12" ht="12.75" x14ac:dyDescent="0.2">
      <c r="F93" s="464"/>
      <c r="G93" s="465"/>
      <c r="H93" s="242"/>
      <c r="I93" s="466"/>
      <c r="J93" s="466"/>
      <c r="K93" s="466"/>
      <c r="L93" s="242"/>
    </row>
    <row r="94" spans="1:12" ht="12.75" x14ac:dyDescent="0.2">
      <c r="F94" s="464"/>
      <c r="G94" s="465"/>
      <c r="H94" s="242"/>
      <c r="I94" s="466"/>
      <c r="J94" s="466"/>
      <c r="K94" s="466"/>
      <c r="L94" s="242"/>
    </row>
    <row r="95" spans="1:12" ht="12.75" x14ac:dyDescent="0.2">
      <c r="F95" s="464"/>
      <c r="G95" s="465"/>
      <c r="H95" s="242"/>
      <c r="I95" s="466"/>
      <c r="J95" s="466"/>
      <c r="K95" s="466"/>
      <c r="L95" s="242"/>
    </row>
    <row r="96" spans="1:12" ht="12.75" x14ac:dyDescent="0.2">
      <c r="F96" s="464"/>
      <c r="G96" s="465"/>
      <c r="H96" s="242"/>
      <c r="I96" s="466"/>
      <c r="J96" s="466"/>
      <c r="K96" s="466"/>
      <c r="L96" s="242"/>
    </row>
    <row r="97" spans="6:12" ht="12.75" x14ac:dyDescent="0.2">
      <c r="F97" s="464"/>
      <c r="G97" s="465"/>
      <c r="H97" s="242"/>
      <c r="I97" s="466"/>
      <c r="J97" s="466"/>
      <c r="K97" s="466"/>
      <c r="L97" s="242"/>
    </row>
    <row r="98" spans="6:12" ht="12.75" x14ac:dyDescent="0.2">
      <c r="F98" s="464"/>
      <c r="G98" s="465"/>
      <c r="H98" s="242"/>
      <c r="I98" s="466"/>
      <c r="J98" s="466"/>
      <c r="K98" s="466"/>
      <c r="L98" s="242"/>
    </row>
    <row r="99" spans="6:12" ht="12.75" x14ac:dyDescent="0.2">
      <c r="F99" s="464"/>
      <c r="G99" s="465"/>
      <c r="H99" s="242"/>
      <c r="I99" s="466"/>
      <c r="J99" s="466"/>
      <c r="K99" s="466"/>
      <c r="L99" s="242"/>
    </row>
    <row r="100" spans="6:12" ht="12.75" x14ac:dyDescent="0.2">
      <c r="F100" s="464"/>
      <c r="G100" s="465"/>
      <c r="H100" s="242"/>
      <c r="I100" s="466"/>
      <c r="J100" s="466"/>
      <c r="K100" s="466"/>
      <c r="L100" s="242"/>
    </row>
    <row r="101" spans="6:12" ht="12.75" x14ac:dyDescent="0.2">
      <c r="F101" s="464"/>
      <c r="G101" s="465"/>
      <c r="H101" s="242"/>
      <c r="I101" s="466"/>
      <c r="J101" s="466"/>
      <c r="K101" s="466"/>
      <c r="L101" s="242"/>
    </row>
    <row r="102" spans="6:12" ht="12.75" x14ac:dyDescent="0.2">
      <c r="F102" s="464"/>
      <c r="G102" s="465"/>
      <c r="H102" s="242"/>
      <c r="I102" s="466"/>
      <c r="J102" s="466"/>
      <c r="K102" s="466"/>
      <c r="L102" s="242"/>
    </row>
    <row r="103" spans="6:12" ht="12.75" x14ac:dyDescent="0.2">
      <c r="F103" s="464"/>
      <c r="G103" s="465"/>
      <c r="H103" s="242"/>
      <c r="I103" s="466"/>
      <c r="J103" s="466"/>
      <c r="K103" s="466"/>
      <c r="L103" s="242"/>
    </row>
    <row r="104" spans="6:12" ht="12.75" x14ac:dyDescent="0.2">
      <c r="F104" s="464"/>
      <c r="G104" s="465"/>
      <c r="H104" s="242"/>
      <c r="I104" s="466"/>
      <c r="J104" s="466"/>
      <c r="K104" s="466"/>
      <c r="L104" s="242"/>
    </row>
    <row r="105" spans="6:12" ht="12.75" x14ac:dyDescent="0.2">
      <c r="F105" s="464"/>
      <c r="G105" s="465"/>
      <c r="H105" s="242"/>
      <c r="I105" s="466"/>
      <c r="J105" s="466"/>
      <c r="K105" s="466"/>
      <c r="L105" s="242"/>
    </row>
    <row r="106" spans="6:12" ht="12.75" x14ac:dyDescent="0.2">
      <c r="F106" s="464"/>
      <c r="G106" s="465"/>
      <c r="H106" s="242"/>
      <c r="I106" s="466"/>
      <c r="J106" s="466"/>
      <c r="K106" s="466"/>
      <c r="L106" s="242"/>
    </row>
    <row r="107" spans="6:12" ht="12.75" x14ac:dyDescent="0.2">
      <c r="F107" s="464"/>
      <c r="G107" s="465"/>
      <c r="H107" s="242"/>
      <c r="I107" s="466"/>
      <c r="J107" s="466"/>
      <c r="K107" s="466"/>
      <c r="L107" s="242"/>
    </row>
    <row r="108" spans="6:12" ht="12.75" x14ac:dyDescent="0.2">
      <c r="F108" s="464"/>
      <c r="G108" s="465"/>
      <c r="H108" s="242"/>
      <c r="I108" s="466"/>
      <c r="J108" s="466"/>
      <c r="K108" s="466"/>
      <c r="L108" s="242"/>
    </row>
    <row r="109" spans="6:12" ht="12.75" x14ac:dyDescent="0.2">
      <c r="F109" s="464"/>
      <c r="G109" s="465"/>
      <c r="H109" s="242"/>
      <c r="I109" s="466"/>
      <c r="J109" s="466"/>
      <c r="K109" s="466"/>
      <c r="L109" s="242"/>
    </row>
    <row r="110" spans="6:12" ht="12.75" x14ac:dyDescent="0.2">
      <c r="F110" s="464"/>
      <c r="G110" s="465"/>
      <c r="H110" s="242"/>
      <c r="I110" s="466"/>
      <c r="J110" s="466"/>
      <c r="K110" s="466"/>
      <c r="L110" s="242"/>
    </row>
    <row r="111" spans="6:12" ht="12.75" x14ac:dyDescent="0.2">
      <c r="F111" s="464"/>
      <c r="G111" s="465"/>
      <c r="H111" s="242"/>
      <c r="I111" s="466"/>
      <c r="J111" s="466"/>
      <c r="K111" s="466"/>
      <c r="L111" s="242"/>
    </row>
    <row r="112" spans="6:12" ht="12.75" x14ac:dyDescent="0.2">
      <c r="F112" s="464"/>
      <c r="G112" s="465"/>
      <c r="H112" s="242"/>
      <c r="I112" s="466"/>
      <c r="J112" s="466"/>
      <c r="K112" s="466"/>
      <c r="L112" s="242"/>
    </row>
    <row r="113" spans="6:12" ht="12.75" x14ac:dyDescent="0.2">
      <c r="F113" s="464"/>
      <c r="G113" s="465"/>
      <c r="H113" s="242"/>
      <c r="I113" s="466"/>
      <c r="J113" s="466"/>
      <c r="K113" s="466"/>
      <c r="L113" s="242"/>
    </row>
    <row r="114" spans="6:12" ht="12.75" x14ac:dyDescent="0.2">
      <c r="F114" s="464"/>
      <c r="G114" s="465"/>
      <c r="H114" s="242"/>
      <c r="I114" s="466"/>
      <c r="J114" s="466"/>
      <c r="K114" s="466"/>
      <c r="L114" s="242"/>
    </row>
    <row r="115" spans="6:12" ht="12.75" x14ac:dyDescent="0.2">
      <c r="F115" s="464"/>
      <c r="G115" s="465"/>
      <c r="H115" s="242"/>
      <c r="I115" s="466"/>
      <c r="J115" s="466"/>
      <c r="K115" s="466"/>
      <c r="L115" s="242"/>
    </row>
    <row r="116" spans="6:12" ht="12.75" x14ac:dyDescent="0.2">
      <c r="F116" s="464"/>
      <c r="G116" s="465"/>
      <c r="H116" s="242"/>
      <c r="I116" s="466"/>
      <c r="J116" s="466"/>
      <c r="K116" s="466"/>
      <c r="L116" s="242"/>
    </row>
    <row r="117" spans="6:12" ht="12.75" x14ac:dyDescent="0.2">
      <c r="F117" s="464"/>
      <c r="G117" s="465"/>
      <c r="H117" s="242"/>
      <c r="I117" s="466"/>
      <c r="J117" s="466"/>
      <c r="K117" s="466"/>
      <c r="L117" s="242"/>
    </row>
    <row r="118" spans="6:12" ht="12.75" x14ac:dyDescent="0.2">
      <c r="F118" s="464"/>
      <c r="G118" s="465"/>
      <c r="H118" s="242"/>
      <c r="I118" s="466"/>
      <c r="J118" s="466"/>
      <c r="K118" s="466"/>
      <c r="L118" s="242"/>
    </row>
    <row r="119" spans="6:12" ht="12.75" x14ac:dyDescent="0.2">
      <c r="F119" s="464"/>
      <c r="G119" s="465"/>
      <c r="H119" s="242"/>
      <c r="I119" s="466"/>
      <c r="J119" s="466"/>
      <c r="K119" s="466"/>
      <c r="L119" s="242"/>
    </row>
    <row r="120" spans="6:12" ht="12.75" x14ac:dyDescent="0.2">
      <c r="F120" s="464"/>
      <c r="G120" s="465"/>
      <c r="H120" s="242"/>
      <c r="I120" s="466"/>
      <c r="J120" s="466"/>
      <c r="K120" s="466"/>
      <c r="L120" s="242"/>
    </row>
    <row r="121" spans="6:12" ht="12.75" x14ac:dyDescent="0.2">
      <c r="F121" s="464"/>
      <c r="G121" s="465"/>
      <c r="H121" s="242"/>
      <c r="I121" s="466"/>
      <c r="J121" s="466"/>
      <c r="K121" s="466"/>
      <c r="L121" s="242"/>
    </row>
    <row r="122" spans="6:12" ht="12.75" x14ac:dyDescent="0.2">
      <c r="F122" s="464"/>
      <c r="G122" s="465"/>
      <c r="H122" s="242"/>
      <c r="I122" s="466"/>
      <c r="J122" s="466"/>
      <c r="K122" s="466"/>
      <c r="L122" s="242"/>
    </row>
    <row r="123" spans="6:12" ht="12.75" x14ac:dyDescent="0.2">
      <c r="F123" s="464"/>
      <c r="G123" s="465"/>
      <c r="H123" s="242"/>
      <c r="I123" s="466"/>
      <c r="J123" s="466"/>
      <c r="K123" s="466"/>
      <c r="L123" s="242"/>
    </row>
    <row r="124" spans="6:12" ht="12.75" x14ac:dyDescent="0.2">
      <c r="F124" s="464"/>
      <c r="G124" s="465"/>
      <c r="H124" s="242"/>
      <c r="I124" s="466"/>
      <c r="J124" s="466"/>
      <c r="K124" s="466"/>
      <c r="L124" s="242"/>
    </row>
    <row r="125" spans="6:12" ht="12.75" x14ac:dyDescent="0.2">
      <c r="F125" s="464"/>
      <c r="G125" s="465"/>
      <c r="H125" s="242"/>
      <c r="I125" s="466"/>
      <c r="J125" s="466"/>
      <c r="K125" s="466"/>
      <c r="L125" s="242"/>
    </row>
    <row r="126" spans="6:12" ht="12.75" x14ac:dyDescent="0.2">
      <c r="F126" s="464"/>
      <c r="G126" s="465"/>
      <c r="H126" s="242"/>
      <c r="I126" s="466"/>
      <c r="J126" s="466"/>
      <c r="K126" s="466"/>
      <c r="L126" s="242"/>
    </row>
  </sheetData>
  <mergeCells count="3">
    <mergeCell ref="D1:N1"/>
    <mergeCell ref="A2:B2"/>
    <mergeCell ref="D3:N3"/>
  </mergeCells>
  <printOptions horizontalCentered="1" gridLines="1"/>
  <pageMargins left="0.25" right="0.25" top="0.5" bottom="0.25" header="0.5" footer="0"/>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topLeftCell="A51" zoomScale="112" zoomScaleNormal="106" zoomScaleSheetLayoutView="112" workbookViewId="0">
      <selection activeCell="C54" sqref="C54"/>
    </sheetView>
  </sheetViews>
  <sheetFormatPr defaultRowHeight="11.25" x14ac:dyDescent="0.2"/>
  <cols>
    <col min="1" max="1" width="3" style="6" customWidth="1"/>
    <col min="2" max="2" width="23.28515625" style="5" customWidth="1"/>
    <col min="3" max="3" width="53" style="4" customWidth="1"/>
    <col min="4" max="4" width="7.28515625" style="4" customWidth="1"/>
    <col min="5" max="7" width="7.28515625" style="1" customWidth="1"/>
    <col min="8" max="8" width="7.28515625" style="3" customWidth="1"/>
    <col min="9" max="12" width="7.28515625" style="1" customWidth="1"/>
    <col min="13" max="13" width="7.28515625" style="2" customWidth="1"/>
    <col min="14" max="14" width="9.140625" style="1"/>
    <col min="15" max="15" width="9.28515625" style="1" bestFit="1" customWidth="1"/>
    <col min="16" max="16" width="9.140625" style="1"/>
    <col min="17" max="17" width="9.85546875" style="1" bestFit="1" customWidth="1"/>
    <col min="18" max="16384" width="9.140625" style="1"/>
  </cols>
  <sheetData>
    <row r="1" spans="1:14" ht="12.75" customHeight="1" x14ac:dyDescent="0.2">
      <c r="A1" s="84" t="s">
        <v>66</v>
      </c>
      <c r="C1" s="5"/>
      <c r="D1" s="880" t="str">
        <f>F22S!D1</f>
        <v>AS OF: 11-Oct-2017</v>
      </c>
      <c r="E1" s="880"/>
      <c r="F1" s="880"/>
      <c r="G1" s="880"/>
      <c r="H1" s="880"/>
      <c r="I1" s="881" t="str">
        <f>F21S!H1</f>
        <v>FOR THE MONTH OF:   Sep -17</v>
      </c>
      <c r="J1" s="881"/>
      <c r="K1" s="881"/>
      <c r="L1" s="881"/>
      <c r="M1" s="882"/>
    </row>
    <row r="2" spans="1:14" ht="12.75" customHeight="1" x14ac:dyDescent="0.2">
      <c r="A2" s="883" t="s">
        <v>92</v>
      </c>
      <c r="B2" s="878"/>
      <c r="C2" s="744"/>
      <c r="D2" s="285" t="s">
        <v>93</v>
      </c>
      <c r="E2" s="553"/>
      <c r="F2" s="553"/>
      <c r="G2" s="553"/>
      <c r="H2" s="553"/>
      <c r="I2" s="553" t="s">
        <v>63</v>
      </c>
      <c r="J2" s="554"/>
      <c r="K2" s="554"/>
      <c r="L2" s="554"/>
      <c r="M2" s="83"/>
    </row>
    <row r="3" spans="1:14" ht="12.75" customHeight="1" x14ac:dyDescent="0.2">
      <c r="A3" s="885" t="s">
        <v>1474</v>
      </c>
      <c r="B3" s="886"/>
      <c r="C3" s="747"/>
      <c r="D3" s="867" t="s">
        <v>62</v>
      </c>
      <c r="E3" s="867"/>
      <c r="F3" s="867"/>
      <c r="G3" s="867"/>
      <c r="H3" s="867"/>
      <c r="I3" s="884" t="s">
        <v>61</v>
      </c>
      <c r="J3" s="884"/>
      <c r="K3" s="884"/>
      <c r="L3" s="884"/>
      <c r="M3" s="870"/>
    </row>
    <row r="4" spans="1:14" x14ac:dyDescent="0.2">
      <c r="A4" s="873"/>
      <c r="B4" s="874"/>
      <c r="C4" s="743"/>
      <c r="D4" s="51" t="s">
        <v>94</v>
      </c>
      <c r="E4" s="51" t="s">
        <v>95</v>
      </c>
      <c r="F4" s="51" t="s">
        <v>96</v>
      </c>
      <c r="G4" s="51" t="s">
        <v>97</v>
      </c>
      <c r="H4" s="51" t="s">
        <v>98</v>
      </c>
      <c r="I4" s="51" t="s">
        <v>99</v>
      </c>
      <c r="J4" s="51" t="s">
        <v>100</v>
      </c>
      <c r="K4" s="51" t="s">
        <v>101</v>
      </c>
      <c r="L4" s="51" t="s">
        <v>1292</v>
      </c>
      <c r="M4" s="406" t="s">
        <v>14</v>
      </c>
    </row>
    <row r="5" spans="1:14" x14ac:dyDescent="0.2">
      <c r="A5" s="37">
        <v>1</v>
      </c>
      <c r="B5" s="57" t="str">
        <f>F21R!B6</f>
        <v>External Sales</v>
      </c>
      <c r="C5" s="709" t="str">
        <f>F21R!C6</f>
        <v>5001 to 5029, 5051 to 5099</v>
      </c>
      <c r="D5" s="17"/>
      <c r="E5" s="54"/>
      <c r="F5" s="56"/>
      <c r="G5" s="54"/>
      <c r="H5" s="55"/>
      <c r="I5" s="54"/>
      <c r="J5" s="54"/>
      <c r="K5" s="54"/>
      <c r="L5" s="54"/>
      <c r="M5" s="396"/>
    </row>
    <row r="6" spans="1:14" x14ac:dyDescent="0.2">
      <c r="A6" s="37">
        <f t="shared" ref="A6:A59" si="0">A5+1</f>
        <v>2</v>
      </c>
      <c r="B6" s="57" t="str">
        <f>F21R!B7</f>
        <v>Interco Sales</v>
      </c>
      <c r="C6" s="709" t="str">
        <f>F21R!C7</f>
        <v>5031 to 5049</v>
      </c>
      <c r="D6" s="17"/>
      <c r="E6" s="54"/>
      <c r="F6" s="56"/>
      <c r="G6" s="54"/>
      <c r="H6" s="55"/>
      <c r="I6" s="54"/>
      <c r="J6" s="54"/>
      <c r="K6" s="54"/>
      <c r="L6" s="54"/>
      <c r="M6" s="396"/>
    </row>
    <row r="7" spans="1:14" s="31" customFormat="1" x14ac:dyDescent="0.2">
      <c r="A7" s="552">
        <f t="shared" si="0"/>
        <v>3</v>
      </c>
      <c r="B7" s="41" t="str">
        <f>F21R!B8</f>
        <v>Total Sales</v>
      </c>
      <c r="C7" s="316" t="s">
        <v>52</v>
      </c>
      <c r="D7" s="51"/>
      <c r="E7" s="49"/>
      <c r="F7" s="49"/>
      <c r="G7" s="49"/>
      <c r="H7" s="49"/>
      <c r="I7" s="49"/>
      <c r="J7" s="49"/>
      <c r="K7" s="49"/>
      <c r="L7" s="49"/>
      <c r="M7" s="397"/>
    </row>
    <row r="8" spans="1:14" x14ac:dyDescent="0.2">
      <c r="A8" s="37">
        <f t="shared" si="0"/>
        <v>4</v>
      </c>
      <c r="B8" s="57" t="str">
        <f>F21R!B9</f>
        <v>Cost of External Sales</v>
      </c>
      <c r="C8" s="709" t="str">
        <f>F21R!C9</f>
        <v>5101 to 5119, 5141 to 5499, 6000 to 6999</v>
      </c>
      <c r="D8" s="17"/>
      <c r="E8" s="54"/>
      <c r="F8" s="56"/>
      <c r="G8" s="54"/>
      <c r="H8" s="55"/>
      <c r="I8" s="54"/>
      <c r="J8" s="54"/>
      <c r="K8" s="54"/>
      <c r="L8" s="54"/>
      <c r="M8" s="396"/>
    </row>
    <row r="9" spans="1:14" x14ac:dyDescent="0.2">
      <c r="A9" s="37">
        <f t="shared" si="0"/>
        <v>5</v>
      </c>
      <c r="B9" s="57" t="str">
        <f>F21R!B10</f>
        <v>Cost of Interco Sales</v>
      </c>
      <c r="C9" s="709" t="str">
        <f>F21R!C10</f>
        <v>5121 to 5139</v>
      </c>
      <c r="D9" s="17"/>
      <c r="E9" s="54"/>
      <c r="F9" s="56"/>
      <c r="G9" s="54"/>
      <c r="H9" s="55"/>
      <c r="I9" s="54"/>
      <c r="J9" s="54"/>
      <c r="K9" s="54"/>
      <c r="L9" s="54"/>
      <c r="M9" s="396"/>
    </row>
    <row r="10" spans="1:14" s="31" customFormat="1" x14ac:dyDescent="0.2">
      <c r="A10" s="552">
        <f t="shared" si="0"/>
        <v>6</v>
      </c>
      <c r="B10" s="78" t="str">
        <f>F21R!B11</f>
        <v>Total Cost of Sales</v>
      </c>
      <c r="C10" s="316" t="s">
        <v>48</v>
      </c>
      <c r="D10" s="51"/>
      <c r="E10" s="49"/>
      <c r="F10" s="49"/>
      <c r="G10" s="49"/>
      <c r="H10" s="49"/>
      <c r="I10" s="49"/>
      <c r="J10" s="49"/>
      <c r="K10" s="49"/>
      <c r="L10" s="49"/>
      <c r="M10" s="397"/>
    </row>
    <row r="11" spans="1:14" s="31" customFormat="1" ht="12" thickBot="1" x14ac:dyDescent="0.25">
      <c r="A11" s="394">
        <f t="shared" si="0"/>
        <v>7</v>
      </c>
      <c r="B11" s="79" t="str">
        <f>F21R!B12</f>
        <v>Gross Profit</v>
      </c>
      <c r="C11" s="321" t="s">
        <v>46</v>
      </c>
      <c r="D11" s="35"/>
      <c r="E11" s="34"/>
      <c r="F11" s="34"/>
      <c r="G11" s="34"/>
      <c r="H11" s="34"/>
      <c r="I11" s="34"/>
      <c r="J11" s="34"/>
      <c r="K11" s="34"/>
      <c r="L11" s="34"/>
      <c r="M11" s="398"/>
    </row>
    <row r="12" spans="1:14" ht="12" thickTop="1" x14ac:dyDescent="0.2">
      <c r="A12" s="37">
        <f t="shared" si="0"/>
        <v>8</v>
      </c>
      <c r="B12" s="57" t="str">
        <f>F21R!B13</f>
        <v>Commission/Mgt Income</v>
      </c>
      <c r="C12" s="709" t="str">
        <f>F21R!C13</f>
        <v>5501 to 5509</v>
      </c>
      <c r="D12" s="17"/>
      <c r="E12" s="54"/>
      <c r="F12" s="56"/>
      <c r="G12" s="54"/>
      <c r="H12" s="54"/>
      <c r="I12" s="54"/>
      <c r="J12" s="54"/>
      <c r="K12" s="54"/>
      <c r="L12" s="54"/>
      <c r="M12" s="396"/>
    </row>
    <row r="13" spans="1:14" x14ac:dyDescent="0.2">
      <c r="A13" s="37">
        <f t="shared" si="0"/>
        <v>9</v>
      </c>
      <c r="B13" s="57" t="str">
        <f>F21R!B14</f>
        <v>Gain/(Loss) Disposal of FA</v>
      </c>
      <c r="C13" s="709" t="str">
        <f>F21R!C14</f>
        <v>9101</v>
      </c>
      <c r="D13" s="17"/>
      <c r="E13" s="54"/>
      <c r="F13" s="56"/>
      <c r="G13" s="54"/>
      <c r="H13" s="54"/>
      <c r="I13" s="54"/>
      <c r="J13" s="54"/>
      <c r="K13" s="54"/>
      <c r="L13" s="54"/>
      <c r="M13" s="396"/>
    </row>
    <row r="14" spans="1:14" ht="11.25" customHeight="1" x14ac:dyDescent="0.2">
      <c r="A14" s="37">
        <f t="shared" si="0"/>
        <v>10</v>
      </c>
      <c r="B14" s="57" t="str">
        <f>F21R!B15</f>
        <v>Other Op Income</v>
      </c>
      <c r="C14" s="709" t="str">
        <f>F21R!C15</f>
        <v>5511 to 5599, 9001 to 9019, 9041Credit, 9102 to 9109Credit</v>
      </c>
      <c r="D14" s="17"/>
      <c r="E14" s="54"/>
      <c r="F14" s="56"/>
      <c r="G14" s="54"/>
      <c r="H14" s="54"/>
      <c r="I14" s="54"/>
      <c r="J14" s="54"/>
      <c r="K14" s="54"/>
      <c r="L14" s="54"/>
      <c r="M14" s="396"/>
    </row>
    <row r="15" spans="1:14" ht="11.25" customHeight="1" x14ac:dyDescent="0.2">
      <c r="A15" s="37">
        <f t="shared" si="0"/>
        <v>11</v>
      </c>
      <c r="B15" s="57" t="str">
        <f>F21R!B16</f>
        <v>Other Op Expense</v>
      </c>
      <c r="C15" s="709" t="str">
        <f>F21R!C16</f>
        <v>5601 to 5999, 9041Debit, 9102 to 9109Debit, 9111 to 9115, 9117 to 9199</v>
      </c>
      <c r="D15" s="17"/>
      <c r="E15" s="54"/>
      <c r="F15" s="56"/>
      <c r="G15" s="54"/>
      <c r="H15" s="54"/>
      <c r="I15" s="54"/>
      <c r="J15" s="54"/>
      <c r="K15" s="54"/>
      <c r="L15" s="54"/>
      <c r="M15" s="396"/>
    </row>
    <row r="16" spans="1:14" s="31" customFormat="1" ht="11.25" customHeight="1" x14ac:dyDescent="0.2">
      <c r="A16" s="552">
        <f t="shared" si="0"/>
        <v>12</v>
      </c>
      <c r="B16" s="78" t="str">
        <f>F21R!B17</f>
        <v>Total Oth Op Income/ (Exp)</v>
      </c>
      <c r="C16" s="316" t="s">
        <v>1591</v>
      </c>
      <c r="D16" s="51"/>
      <c r="E16" s="49"/>
      <c r="F16" s="49"/>
      <c r="G16" s="49"/>
      <c r="H16" s="49"/>
      <c r="I16" s="49"/>
      <c r="J16" s="49"/>
      <c r="K16" s="49"/>
      <c r="L16" s="49"/>
      <c r="M16" s="397"/>
      <c r="N16" s="77"/>
    </row>
    <row r="17" spans="1:14" x14ac:dyDescent="0.2">
      <c r="A17" s="37">
        <f t="shared" si="0"/>
        <v>13</v>
      </c>
      <c r="B17" s="57" t="str">
        <f>F21R!B18</f>
        <v>Personnel Related Cost</v>
      </c>
      <c r="C17" s="709" t="str">
        <f>F21R!C18</f>
        <v>7000 to 7099</v>
      </c>
      <c r="D17" s="17"/>
      <c r="E17" s="54"/>
      <c r="F17" s="56"/>
      <c r="G17" s="54"/>
      <c r="H17" s="54"/>
      <c r="I17" s="54"/>
      <c r="J17" s="54"/>
      <c r="K17" s="54"/>
      <c r="L17" s="54"/>
      <c r="M17" s="396"/>
    </row>
    <row r="18" spans="1:14" x14ac:dyDescent="0.2">
      <c r="A18" s="37">
        <f t="shared" si="0"/>
        <v>14</v>
      </c>
      <c r="B18" s="57" t="str">
        <f>F21R!B19</f>
        <v>Carriage/Transportation</v>
      </c>
      <c r="C18" s="709" t="str">
        <f>F21R!C19</f>
        <v>7100 to 7199</v>
      </c>
      <c r="D18" s="17"/>
      <c r="E18" s="54"/>
      <c r="F18" s="56"/>
      <c r="G18" s="54"/>
      <c r="H18" s="55"/>
      <c r="I18" s="54"/>
      <c r="J18" s="54"/>
      <c r="K18" s="54"/>
      <c r="L18" s="54"/>
      <c r="M18" s="396"/>
    </row>
    <row r="19" spans="1:14" x14ac:dyDescent="0.2">
      <c r="A19" s="37">
        <f t="shared" si="0"/>
        <v>15</v>
      </c>
      <c r="B19" s="57" t="str">
        <f>F21R!B20</f>
        <v>Advertising/Promotion</v>
      </c>
      <c r="C19" s="709" t="str">
        <f>F21R!C20</f>
        <v>7200 to 7299</v>
      </c>
      <c r="D19" s="17"/>
      <c r="E19" s="54"/>
      <c r="F19" s="56"/>
      <c r="G19" s="54"/>
      <c r="H19" s="55"/>
      <c r="I19" s="54"/>
      <c r="J19" s="54"/>
      <c r="K19" s="54"/>
      <c r="L19" s="54"/>
      <c r="M19" s="396"/>
    </row>
    <row r="20" spans="1:14" x14ac:dyDescent="0.2">
      <c r="A20" s="37">
        <f t="shared" si="0"/>
        <v>16</v>
      </c>
      <c r="B20" s="57" t="str">
        <f>F21R!B21</f>
        <v>Overseas Travelling</v>
      </c>
      <c r="C20" s="709" t="str">
        <f>F21R!C21</f>
        <v>7301</v>
      </c>
      <c r="D20" s="17"/>
      <c r="E20" s="54"/>
      <c r="F20" s="56"/>
      <c r="G20" s="54"/>
      <c r="H20" s="55"/>
      <c r="I20" s="54"/>
      <c r="J20" s="54"/>
      <c r="K20" s="54"/>
      <c r="L20" s="54"/>
      <c r="M20" s="396"/>
    </row>
    <row r="21" spans="1:14" x14ac:dyDescent="0.2">
      <c r="A21" s="37">
        <f t="shared" si="0"/>
        <v>17</v>
      </c>
      <c r="B21" s="57" t="str">
        <f>F21R!B22</f>
        <v xml:space="preserve">Entertainment </v>
      </c>
      <c r="C21" s="709" t="str">
        <f>F21R!C22</f>
        <v>7302 to 7399</v>
      </c>
      <c r="D21" s="17"/>
      <c r="E21" s="54"/>
      <c r="F21" s="56"/>
      <c r="G21" s="54"/>
      <c r="H21" s="55"/>
      <c r="I21" s="54"/>
      <c r="J21" s="54"/>
      <c r="K21" s="54"/>
      <c r="L21" s="54"/>
      <c r="M21" s="396"/>
      <c r="N21" s="4"/>
    </row>
    <row r="22" spans="1:14" x14ac:dyDescent="0.2">
      <c r="A22" s="37">
        <f t="shared" si="0"/>
        <v>18</v>
      </c>
      <c r="B22" s="57" t="str">
        <f>F21R!B23</f>
        <v>Equipment Expenses</v>
      </c>
      <c r="C22" s="709" t="str">
        <f>F21R!C23</f>
        <v>7400 to 7499</v>
      </c>
      <c r="D22" s="17"/>
      <c r="E22" s="54"/>
      <c r="F22" s="56"/>
      <c r="G22" s="54"/>
      <c r="H22" s="55"/>
      <c r="I22" s="54"/>
      <c r="J22" s="54"/>
      <c r="K22" s="54"/>
      <c r="L22" s="54"/>
      <c r="M22" s="396"/>
      <c r="N22" s="4"/>
    </row>
    <row r="23" spans="1:14" x14ac:dyDescent="0.2">
      <c r="A23" s="37">
        <f t="shared" si="0"/>
        <v>19</v>
      </c>
      <c r="B23" s="57" t="str">
        <f>F21R!B24</f>
        <v>Rental/Property Related</v>
      </c>
      <c r="C23" s="709" t="str">
        <f>F21R!C24</f>
        <v>7500 to 7599</v>
      </c>
      <c r="D23" s="17"/>
      <c r="E23" s="54"/>
      <c r="F23" s="56"/>
      <c r="G23" s="54"/>
      <c r="H23" s="55"/>
      <c r="I23" s="54"/>
      <c r="J23" s="54"/>
      <c r="K23" s="54"/>
      <c r="L23" s="54"/>
      <c r="M23" s="396"/>
    </row>
    <row r="24" spans="1:14" x14ac:dyDescent="0.2">
      <c r="A24" s="37">
        <f t="shared" si="0"/>
        <v>20</v>
      </c>
      <c r="B24" s="57" t="str">
        <f>F21R!B25</f>
        <v>Depn of Fixed Assets</v>
      </c>
      <c r="C24" s="709" t="str">
        <f>F21R!C25</f>
        <v>7600 to 7699</v>
      </c>
      <c r="D24" s="17"/>
      <c r="E24" s="54"/>
      <c r="F24" s="56"/>
      <c r="G24" s="54"/>
      <c r="H24" s="55"/>
      <c r="I24" s="54"/>
      <c r="J24" s="54"/>
      <c r="K24" s="54"/>
      <c r="L24" s="54"/>
      <c r="M24" s="396"/>
      <c r="N24" s="4"/>
    </row>
    <row r="25" spans="1:14" x14ac:dyDescent="0.2">
      <c r="A25" s="37">
        <f t="shared" si="0"/>
        <v>21</v>
      </c>
      <c r="B25" s="57" t="str">
        <f>F21R!B26</f>
        <v>Stationery/Printing/Telephone</v>
      </c>
      <c r="C25" s="709" t="str">
        <f>F21R!C26</f>
        <v>7701 to 7705</v>
      </c>
      <c r="D25" s="17"/>
      <c r="E25" s="54"/>
      <c r="F25" s="56"/>
      <c r="G25" s="54"/>
      <c r="H25" s="55"/>
      <c r="I25" s="54"/>
      <c r="J25" s="54"/>
      <c r="K25" s="54"/>
      <c r="L25" s="54"/>
      <c r="M25" s="396"/>
      <c r="N25" s="4"/>
    </row>
    <row r="26" spans="1:14" x14ac:dyDescent="0.2">
      <c r="A26" s="37">
        <f t="shared" si="0"/>
        <v>22</v>
      </c>
      <c r="B26" s="57" t="str">
        <f>F21R!B27</f>
        <v>HO/Interco and Other S&amp;D</v>
      </c>
      <c r="C26" s="709" t="str">
        <f>F21R!C27</f>
        <v>7706 to 7999</v>
      </c>
      <c r="D26" s="17"/>
      <c r="E26" s="54"/>
      <c r="F26" s="56"/>
      <c r="G26" s="54"/>
      <c r="H26" s="55"/>
      <c r="I26" s="54"/>
      <c r="J26" s="54"/>
      <c r="K26" s="54"/>
      <c r="L26" s="54"/>
      <c r="M26" s="396"/>
      <c r="N26" s="4"/>
    </row>
    <row r="27" spans="1:14" s="31" customFormat="1" x14ac:dyDescent="0.2">
      <c r="A27" s="552">
        <f t="shared" si="0"/>
        <v>23</v>
      </c>
      <c r="B27" s="41" t="str">
        <f>F21R!B28</f>
        <v>Total S&amp;D Expenses</v>
      </c>
      <c r="C27" s="316" t="s">
        <v>1592</v>
      </c>
      <c r="D27" s="51"/>
      <c r="E27" s="49"/>
      <c r="F27" s="50"/>
      <c r="G27" s="49"/>
      <c r="H27" s="49"/>
      <c r="I27" s="49"/>
      <c r="J27" s="49"/>
      <c r="K27" s="49"/>
      <c r="L27" s="49"/>
      <c r="M27" s="397"/>
      <c r="N27" s="59"/>
    </row>
    <row r="28" spans="1:14" x14ac:dyDescent="0.2">
      <c r="A28" s="37">
        <f t="shared" si="0"/>
        <v>24</v>
      </c>
      <c r="B28" s="57" t="str">
        <f>F21R!B29</f>
        <v>Personnel Related Cost</v>
      </c>
      <c r="C28" s="709" t="str">
        <f>F21R!C29</f>
        <v>8000 to 8099</v>
      </c>
      <c r="D28" s="17"/>
      <c r="E28" s="54"/>
      <c r="F28" s="56"/>
      <c r="G28" s="54"/>
      <c r="H28" s="55"/>
      <c r="I28" s="54"/>
      <c r="J28" s="54"/>
      <c r="K28" s="54"/>
      <c r="L28" s="54"/>
      <c r="M28" s="396"/>
      <c r="N28" s="58"/>
    </row>
    <row r="29" spans="1:14" x14ac:dyDescent="0.2">
      <c r="A29" s="37">
        <f t="shared" si="0"/>
        <v>25</v>
      </c>
      <c r="B29" s="57" t="str">
        <f>F21R!B30</f>
        <v>Overseas Travelling</v>
      </c>
      <c r="C29" s="709" t="str">
        <f>F21R!C30</f>
        <v>8101</v>
      </c>
      <c r="D29" s="17"/>
      <c r="E29" s="54"/>
      <c r="F29" s="56"/>
      <c r="G29" s="54"/>
      <c r="H29" s="55"/>
      <c r="I29" s="54"/>
      <c r="J29" s="54"/>
      <c r="K29" s="54"/>
      <c r="L29" s="54"/>
      <c r="M29" s="396"/>
      <c r="N29" s="58"/>
    </row>
    <row r="30" spans="1:14" ht="10.5" customHeight="1" x14ac:dyDescent="0.2">
      <c r="A30" s="37">
        <f t="shared" si="0"/>
        <v>26</v>
      </c>
      <c r="B30" s="57" t="str">
        <f>F21R!B31</f>
        <v>Transportation</v>
      </c>
      <c r="C30" s="709" t="str">
        <f>F21R!C31</f>
        <v>8102 to 8149</v>
      </c>
      <c r="D30" s="17"/>
      <c r="E30" s="54"/>
      <c r="F30" s="56"/>
      <c r="G30" s="54"/>
      <c r="H30" s="55"/>
      <c r="I30" s="54"/>
      <c r="J30" s="54"/>
      <c r="K30" s="54"/>
      <c r="L30" s="54"/>
      <c r="M30" s="396"/>
      <c r="N30" s="58"/>
    </row>
    <row r="31" spans="1:14" x14ac:dyDescent="0.2">
      <c r="A31" s="37">
        <f t="shared" si="0"/>
        <v>27</v>
      </c>
      <c r="B31" s="57" t="str">
        <f>F21R!B32</f>
        <v>Entertainment &amp; Donations</v>
      </c>
      <c r="C31" s="709" t="str">
        <f>F21R!C32</f>
        <v>8150 to 8199</v>
      </c>
      <c r="D31" s="17"/>
      <c r="E31" s="54"/>
      <c r="F31" s="56"/>
      <c r="G31" s="54"/>
      <c r="H31" s="55"/>
      <c r="I31" s="54"/>
      <c r="J31" s="54"/>
      <c r="K31" s="54"/>
      <c r="L31" s="54"/>
      <c r="M31" s="396"/>
      <c r="N31" s="58"/>
    </row>
    <row r="32" spans="1:14" x14ac:dyDescent="0.2">
      <c r="A32" s="37">
        <f t="shared" si="0"/>
        <v>28</v>
      </c>
      <c r="B32" s="57" t="str">
        <f>F21R!B33</f>
        <v>Equipment Expenses</v>
      </c>
      <c r="C32" s="709" t="str">
        <f>F21R!C33</f>
        <v>8200 to 8299</v>
      </c>
      <c r="D32" s="17"/>
      <c r="E32" s="54"/>
      <c r="F32" s="56"/>
      <c r="G32" s="54"/>
      <c r="H32" s="55"/>
      <c r="I32" s="54"/>
      <c r="J32" s="54"/>
      <c r="K32" s="54"/>
      <c r="L32" s="54"/>
      <c r="M32" s="396"/>
      <c r="N32" s="58"/>
    </row>
    <row r="33" spans="1:14" x14ac:dyDescent="0.2">
      <c r="A33" s="37">
        <f t="shared" si="0"/>
        <v>29</v>
      </c>
      <c r="B33" s="57" t="str">
        <f>F21R!B34</f>
        <v>Rental/Property Related</v>
      </c>
      <c r="C33" s="709" t="str">
        <f>F21R!C34</f>
        <v>8300 to 8399</v>
      </c>
      <c r="D33" s="17"/>
      <c r="E33" s="54"/>
      <c r="F33" s="56"/>
      <c r="G33" s="54"/>
      <c r="H33" s="55"/>
      <c r="I33" s="54"/>
      <c r="J33" s="54"/>
      <c r="K33" s="54"/>
      <c r="L33" s="54"/>
      <c r="M33" s="396"/>
      <c r="N33" s="58"/>
    </row>
    <row r="34" spans="1:14" x14ac:dyDescent="0.2">
      <c r="A34" s="37">
        <f t="shared" si="0"/>
        <v>30</v>
      </c>
      <c r="B34" s="57" t="str">
        <f>F21R!B35</f>
        <v>Depn of Fixed Assets</v>
      </c>
      <c r="C34" s="709" t="str">
        <f>F21R!C35</f>
        <v>8400 to 8499</v>
      </c>
      <c r="D34" s="17"/>
      <c r="E34" s="54"/>
      <c r="F34" s="56"/>
      <c r="G34" s="54"/>
      <c r="H34" s="55"/>
      <c r="I34" s="54"/>
      <c r="J34" s="54"/>
      <c r="K34" s="54"/>
      <c r="L34" s="54"/>
      <c r="M34" s="396"/>
      <c r="N34" s="58"/>
    </row>
    <row r="35" spans="1:14" x14ac:dyDescent="0.2">
      <c r="A35" s="37">
        <f t="shared" si="0"/>
        <v>31</v>
      </c>
      <c r="B35" s="57" t="str">
        <f>F21R!B36</f>
        <v>Stationery/Printing/Telephone</v>
      </c>
      <c r="C35" s="709" t="str">
        <f>F21R!C36</f>
        <v>8500 to 8599</v>
      </c>
      <c r="D35" s="17"/>
      <c r="E35" s="54"/>
      <c r="F35" s="56"/>
      <c r="G35" s="54"/>
      <c r="H35" s="55"/>
      <c r="I35" s="54"/>
      <c r="J35" s="54"/>
      <c r="K35" s="54"/>
      <c r="L35" s="54"/>
      <c r="M35" s="396"/>
      <c r="N35" s="58"/>
    </row>
    <row r="36" spans="1:14" x14ac:dyDescent="0.2">
      <c r="A36" s="37">
        <f t="shared" si="0"/>
        <v>32</v>
      </c>
      <c r="B36" s="57" t="str">
        <f>F21R!B37</f>
        <v>Legal/Prof Fees/Ins/Safety</v>
      </c>
      <c r="C36" s="709" t="str">
        <f>F21R!C37</f>
        <v>8600 to 8649</v>
      </c>
      <c r="D36" s="17"/>
      <c r="E36" s="54"/>
      <c r="F36" s="56"/>
      <c r="G36" s="54"/>
      <c r="H36" s="55"/>
      <c r="I36" s="54"/>
      <c r="J36" s="54"/>
      <c r="K36" s="54"/>
      <c r="L36" s="54"/>
      <c r="M36" s="396"/>
      <c r="N36" s="58"/>
    </row>
    <row r="37" spans="1:14" x14ac:dyDescent="0.2">
      <c r="A37" s="37">
        <f t="shared" si="0"/>
        <v>33</v>
      </c>
      <c r="B37" s="57" t="str">
        <f>F21R!B38</f>
        <v>IT System Exps</v>
      </c>
      <c r="C37" s="709" t="str">
        <f>F21R!C38</f>
        <v>8651</v>
      </c>
      <c r="D37" s="17"/>
      <c r="E37" s="54"/>
      <c r="F37" s="56"/>
      <c r="G37" s="54"/>
      <c r="H37" s="55"/>
      <c r="I37" s="54"/>
      <c r="J37" s="54"/>
      <c r="K37" s="54"/>
      <c r="L37" s="54"/>
      <c r="M37" s="396"/>
      <c r="N37" s="58"/>
    </row>
    <row r="38" spans="1:14" x14ac:dyDescent="0.2">
      <c r="A38" s="37">
        <f t="shared" si="0"/>
        <v>34</v>
      </c>
      <c r="B38" s="57" t="str">
        <f>F21R!B39</f>
        <v>Purchasing Exps</v>
      </c>
      <c r="C38" s="709" t="str">
        <f>F21R!C39</f>
        <v>8653</v>
      </c>
      <c r="D38" s="17"/>
      <c r="E38" s="54"/>
      <c r="F38" s="56"/>
      <c r="G38" s="54"/>
      <c r="H38" s="55"/>
      <c r="I38" s="54"/>
      <c r="J38" s="54"/>
      <c r="K38" s="54"/>
      <c r="L38" s="54"/>
      <c r="M38" s="396"/>
      <c r="N38" s="58"/>
    </row>
    <row r="39" spans="1:14" s="31" customFormat="1" x14ac:dyDescent="0.2">
      <c r="A39" s="552">
        <f t="shared" si="0"/>
        <v>35</v>
      </c>
      <c r="B39" s="41" t="str">
        <f>F21R!B40</f>
        <v xml:space="preserve">A&amp;G Direct Expenses </v>
      </c>
      <c r="C39" s="316" t="s">
        <v>1593</v>
      </c>
      <c r="D39" s="51"/>
      <c r="E39" s="49"/>
      <c r="F39" s="50"/>
      <c r="G39" s="49"/>
      <c r="H39" s="49"/>
      <c r="I39" s="49"/>
      <c r="J39" s="49"/>
      <c r="K39" s="49"/>
      <c r="L39" s="49"/>
      <c r="M39" s="397"/>
      <c r="N39" s="65"/>
    </row>
    <row r="40" spans="1:14" s="31" customFormat="1" x14ac:dyDescent="0.2">
      <c r="A40" s="37">
        <f t="shared" si="0"/>
        <v>36</v>
      </c>
      <c r="B40" s="57" t="str">
        <f>F21R!B41</f>
        <v>Prov for Stock Obso/Pilferage</v>
      </c>
      <c r="C40" s="709" t="str">
        <f>F21R!C41</f>
        <v>8701 to 8702</v>
      </c>
      <c r="D40" s="75"/>
      <c r="E40" s="43"/>
      <c r="F40" s="72"/>
      <c r="G40" s="43"/>
      <c r="H40" s="43"/>
      <c r="I40" s="43"/>
      <c r="J40" s="43"/>
      <c r="K40" s="43"/>
      <c r="L40" s="43"/>
      <c r="M40" s="400"/>
      <c r="N40" s="65"/>
    </row>
    <row r="41" spans="1:14" s="31" customFormat="1" x14ac:dyDescent="0.2">
      <c r="A41" s="37">
        <f t="shared" si="0"/>
        <v>37</v>
      </c>
      <c r="B41" s="57" t="str">
        <f>F21R!B42</f>
        <v>Prov for Doubtful Debts</v>
      </c>
      <c r="C41" s="709" t="str">
        <f>F21R!C42</f>
        <v>8703</v>
      </c>
      <c r="D41" s="75"/>
      <c r="E41" s="43"/>
      <c r="F41" s="72"/>
      <c r="G41" s="43"/>
      <c r="H41" s="43"/>
      <c r="I41" s="43"/>
      <c r="J41" s="43"/>
      <c r="K41" s="43"/>
      <c r="L41" s="43"/>
      <c r="M41" s="400"/>
      <c r="N41" s="65"/>
    </row>
    <row r="42" spans="1:14" s="31" customFormat="1" x14ac:dyDescent="0.2">
      <c r="A42" s="37">
        <f t="shared" si="0"/>
        <v>38</v>
      </c>
      <c r="B42" s="57" t="str">
        <f>F21R!B43</f>
        <v xml:space="preserve">Bad Debts Recovered </v>
      </c>
      <c r="C42" s="709" t="str">
        <f>F21R!C43</f>
        <v>8704</v>
      </c>
      <c r="D42" s="75"/>
      <c r="E42" s="43"/>
      <c r="F42" s="72"/>
      <c r="G42" s="43"/>
      <c r="H42" s="43"/>
      <c r="I42" s="43"/>
      <c r="J42" s="43"/>
      <c r="K42" s="43"/>
      <c r="L42" s="43"/>
      <c r="M42" s="400"/>
      <c r="N42" s="65"/>
    </row>
    <row r="43" spans="1:14" s="31" customFormat="1" x14ac:dyDescent="0.2">
      <c r="A43" s="37">
        <f t="shared" si="0"/>
        <v>39</v>
      </c>
      <c r="B43" s="57" t="str">
        <f>F21R!B44</f>
        <v>Stocks Written Down/Written Off</v>
      </c>
      <c r="C43" s="709" t="str">
        <f>F21R!C44</f>
        <v>8705</v>
      </c>
      <c r="D43" s="75"/>
      <c r="E43" s="43"/>
      <c r="F43" s="72"/>
      <c r="G43" s="43"/>
      <c r="H43" s="43"/>
      <c r="I43" s="43"/>
      <c r="J43" s="43"/>
      <c r="K43" s="43"/>
      <c r="L43" s="43"/>
      <c r="M43" s="400"/>
      <c r="N43" s="65"/>
    </row>
    <row r="44" spans="1:14" s="31" customFormat="1" x14ac:dyDescent="0.2">
      <c r="A44" s="37">
        <f t="shared" si="0"/>
        <v>40</v>
      </c>
      <c r="B44" s="57" t="str">
        <f>F21R!B45</f>
        <v>GST/VAT Expense</v>
      </c>
      <c r="C44" s="709" t="str">
        <f>F21R!C45</f>
        <v>8711 to 8712</v>
      </c>
      <c r="D44" s="75"/>
      <c r="E44" s="43"/>
      <c r="F44" s="72"/>
      <c r="G44" s="43"/>
      <c r="H44" s="43"/>
      <c r="I44" s="43"/>
      <c r="J44" s="43"/>
      <c r="K44" s="43"/>
      <c r="L44" s="43"/>
      <c r="M44" s="400"/>
      <c r="N44" s="65"/>
    </row>
    <row r="45" spans="1:14" s="31" customFormat="1" x14ac:dyDescent="0.2">
      <c r="A45" s="269">
        <f t="shared" si="0"/>
        <v>41</v>
      </c>
      <c r="B45" s="441" t="str">
        <f>F21R!B46</f>
        <v xml:space="preserve">HO/Interco Alloc </v>
      </c>
      <c r="C45" s="759" t="str">
        <f>F21R!C46</f>
        <v>8798 to 8799</v>
      </c>
      <c r="D45" s="75"/>
      <c r="E45" s="43"/>
      <c r="F45" s="72"/>
      <c r="G45" s="43"/>
      <c r="H45" s="43"/>
      <c r="I45" s="43"/>
      <c r="J45" s="43"/>
      <c r="K45" s="43"/>
      <c r="L45" s="43"/>
      <c r="M45" s="400"/>
      <c r="N45" s="65"/>
    </row>
    <row r="46" spans="1:14" s="31" customFormat="1" x14ac:dyDescent="0.2">
      <c r="A46" s="395">
        <f t="shared" si="0"/>
        <v>42</v>
      </c>
      <c r="B46" s="445" t="str">
        <f>F21R!B47</f>
        <v xml:space="preserve">Other A&amp;G Expenses </v>
      </c>
      <c r="C46" s="316" t="s">
        <v>1594</v>
      </c>
      <c r="D46" s="51"/>
      <c r="E46" s="49"/>
      <c r="F46" s="50"/>
      <c r="G46" s="49"/>
      <c r="H46" s="49"/>
      <c r="I46" s="49"/>
      <c r="J46" s="49"/>
      <c r="K46" s="49"/>
      <c r="L46" s="49"/>
      <c r="M46" s="397"/>
      <c r="N46" s="65"/>
    </row>
    <row r="47" spans="1:14" s="31" customFormat="1" x14ac:dyDescent="0.2">
      <c r="A47" s="395">
        <f t="shared" si="0"/>
        <v>43</v>
      </c>
      <c r="B47" s="445" t="str">
        <f>F21R!B48</f>
        <v>Total A&amp;G Expenses</v>
      </c>
      <c r="C47" s="316" t="s">
        <v>1595</v>
      </c>
      <c r="D47" s="51"/>
      <c r="E47" s="49"/>
      <c r="F47" s="50"/>
      <c r="G47" s="49"/>
      <c r="H47" s="49"/>
      <c r="I47" s="49"/>
      <c r="J47" s="49"/>
      <c r="K47" s="49"/>
      <c r="L47" s="49"/>
      <c r="M47" s="397"/>
      <c r="N47" s="65"/>
    </row>
    <row r="48" spans="1:14" s="31" customFormat="1" ht="12" thickBot="1" x14ac:dyDescent="0.25">
      <c r="A48" s="394">
        <f t="shared" si="0"/>
        <v>44</v>
      </c>
      <c r="B48" s="71" t="str">
        <f>F21R!B49</f>
        <v>Profit from Operations</v>
      </c>
      <c r="C48" s="321" t="s">
        <v>1596</v>
      </c>
      <c r="D48" s="318"/>
      <c r="E48" s="69"/>
      <c r="F48" s="68"/>
      <c r="G48" s="67"/>
      <c r="H48" s="67"/>
      <c r="I48" s="67"/>
      <c r="J48" s="67"/>
      <c r="K48" s="67"/>
      <c r="L48" s="67"/>
      <c r="M48" s="407"/>
      <c r="N48" s="65"/>
    </row>
    <row r="49" spans="1:17" s="31" customFormat="1" ht="12" thickTop="1" x14ac:dyDescent="0.2">
      <c r="A49" s="37">
        <f t="shared" si="0"/>
        <v>45</v>
      </c>
      <c r="B49" s="64" t="str">
        <f>F21R!B50</f>
        <v>Interest Income</v>
      </c>
      <c r="C49" s="709" t="str">
        <f>F21R!C50</f>
        <v>9023</v>
      </c>
      <c r="D49" s="63"/>
      <c r="E49" s="62"/>
      <c r="F49" s="61"/>
      <c r="G49" s="43"/>
      <c r="H49" s="43"/>
      <c r="I49" s="43"/>
      <c r="J49" s="43"/>
      <c r="K49" s="43"/>
      <c r="L49" s="43"/>
      <c r="M49" s="400"/>
      <c r="N49" s="59"/>
    </row>
    <row r="50" spans="1:17" x14ac:dyDescent="0.2">
      <c r="A50" s="37">
        <f t="shared" si="0"/>
        <v>46</v>
      </c>
      <c r="B50" s="57" t="str">
        <f>F21R!B51</f>
        <v>Interest (Expense)</v>
      </c>
      <c r="C50" s="709" t="str">
        <f>F21R!C51</f>
        <v>8801 to 8809</v>
      </c>
      <c r="D50" s="17"/>
      <c r="E50" s="54"/>
      <c r="F50" s="56"/>
      <c r="G50" s="54"/>
      <c r="H50" s="55"/>
      <c r="I50" s="54"/>
      <c r="J50" s="54"/>
      <c r="K50" s="54"/>
      <c r="L50" s="54"/>
      <c r="M50" s="396"/>
      <c r="N50" s="58"/>
    </row>
    <row r="51" spans="1:17" x14ac:dyDescent="0.2">
      <c r="A51" s="37">
        <f t="shared" si="0"/>
        <v>47</v>
      </c>
      <c r="B51" s="57" t="str">
        <f>F21R!B52</f>
        <v>Derivatives Gain/(Loss)</v>
      </c>
      <c r="C51" s="709" t="str">
        <f>F21R!C52</f>
        <v>8821 to 8822</v>
      </c>
      <c r="D51" s="17"/>
      <c r="E51" s="54"/>
      <c r="F51" s="56"/>
      <c r="G51" s="54"/>
      <c r="H51" s="55"/>
      <c r="I51" s="54"/>
      <c r="J51" s="54"/>
      <c r="K51" s="54"/>
      <c r="L51" s="54"/>
      <c r="M51" s="396"/>
      <c r="N51" s="58"/>
    </row>
    <row r="52" spans="1:17" x14ac:dyDescent="0.2">
      <c r="A52" s="37">
        <f t="shared" si="0"/>
        <v>48</v>
      </c>
      <c r="B52" s="57" t="str">
        <f>F21R!B53</f>
        <v>Forex Gain/(Loss)</v>
      </c>
      <c r="C52" s="709" t="str">
        <f>F21R!C53</f>
        <v>8831 to 8832</v>
      </c>
      <c r="D52" s="17"/>
      <c r="E52" s="54"/>
      <c r="F52" s="56"/>
      <c r="G52" s="54"/>
      <c r="H52" s="55"/>
      <c r="I52" s="54"/>
      <c r="J52" s="54"/>
      <c r="K52" s="54"/>
      <c r="L52" s="54"/>
      <c r="M52" s="396"/>
      <c r="N52" s="58"/>
    </row>
    <row r="53" spans="1:17" x14ac:dyDescent="0.2">
      <c r="A53" s="37">
        <f t="shared" si="0"/>
        <v>49</v>
      </c>
      <c r="B53" s="57" t="str">
        <f>F21R!B54</f>
        <v>Dividend Income</v>
      </c>
      <c r="C53" s="709" t="str">
        <f>F21R!C54</f>
        <v>9021</v>
      </c>
      <c r="D53" s="17"/>
      <c r="E53" s="54"/>
      <c r="F53" s="56"/>
      <c r="G53" s="54"/>
      <c r="H53" s="55"/>
      <c r="I53" s="54"/>
      <c r="J53" s="54"/>
      <c r="K53" s="54"/>
      <c r="L53" s="54"/>
      <c r="M53" s="396"/>
    </row>
    <row r="54" spans="1:17" x14ac:dyDescent="0.2">
      <c r="A54" s="37">
        <f t="shared" si="0"/>
        <v>50</v>
      </c>
      <c r="B54" s="57" t="str">
        <f>F21R!B55</f>
        <v>Other Non-Op Income/(Exp)</v>
      </c>
      <c r="C54" s="709" t="str">
        <f>F21R!C55</f>
        <v>9031, 9116, 9200 to 9211</v>
      </c>
      <c r="D54" s="17"/>
      <c r="E54" s="54"/>
      <c r="F54" s="56"/>
      <c r="G54" s="54"/>
      <c r="H54" s="55"/>
      <c r="I54" s="54"/>
      <c r="J54" s="54"/>
      <c r="K54" s="54"/>
      <c r="L54" s="54"/>
      <c r="M54" s="396"/>
    </row>
    <row r="55" spans="1:17" s="31" customFormat="1" x14ac:dyDescent="0.2">
      <c r="A55" s="552">
        <f t="shared" si="0"/>
        <v>51</v>
      </c>
      <c r="B55" s="52" t="str">
        <f>F21R!B56</f>
        <v>Total Non-Op Income/(Exp)</v>
      </c>
      <c r="C55" s="316" t="s">
        <v>1597</v>
      </c>
      <c r="D55" s="51"/>
      <c r="E55" s="49"/>
      <c r="F55" s="50"/>
      <c r="G55" s="49"/>
      <c r="H55" s="49"/>
      <c r="I55" s="49"/>
      <c r="J55" s="49"/>
      <c r="K55" s="49"/>
      <c r="L55" s="49"/>
      <c r="M55" s="397"/>
    </row>
    <row r="56" spans="1:17" s="31" customFormat="1" x14ac:dyDescent="0.2">
      <c r="A56" s="552">
        <f t="shared" si="0"/>
        <v>52</v>
      </c>
      <c r="B56" s="47" t="str">
        <f>F21R!B57</f>
        <v>Profit Before Taxation</v>
      </c>
      <c r="C56" s="316" t="s">
        <v>1598</v>
      </c>
      <c r="D56" s="51"/>
      <c r="E56" s="45"/>
      <c r="F56" s="44"/>
      <c r="G56" s="43"/>
      <c r="H56" s="43"/>
      <c r="I56" s="43"/>
      <c r="J56" s="43"/>
      <c r="K56" s="43"/>
      <c r="L56" s="43"/>
      <c r="M56" s="400"/>
    </row>
    <row r="57" spans="1:17" x14ac:dyDescent="0.2">
      <c r="A57" s="552">
        <f t="shared" si="0"/>
        <v>53</v>
      </c>
      <c r="B57" s="41" t="str">
        <f>F21R!B58</f>
        <v>Less: Taxation</v>
      </c>
      <c r="C57" s="717" t="str">
        <f>F21R!C58</f>
        <v xml:space="preserve">9400 to 9999 </v>
      </c>
      <c r="D57" s="17"/>
      <c r="E57" s="39"/>
      <c r="F57" s="40"/>
      <c r="G57" s="39"/>
      <c r="H57" s="39"/>
      <c r="I57" s="39"/>
      <c r="J57" s="39"/>
      <c r="K57" s="39"/>
      <c r="L57" s="39"/>
      <c r="M57" s="401"/>
    </row>
    <row r="58" spans="1:17" s="31" customFormat="1" ht="12" thickBot="1" x14ac:dyDescent="0.25">
      <c r="A58" s="394">
        <f t="shared" si="0"/>
        <v>54</v>
      </c>
      <c r="B58" s="36" t="str">
        <f>F21R!B59</f>
        <v>Profits After Taxation</v>
      </c>
      <c r="C58" s="321" t="s">
        <v>1599</v>
      </c>
      <c r="D58" s="35"/>
      <c r="E58" s="34"/>
      <c r="F58" s="34"/>
      <c r="G58" s="34"/>
      <c r="H58" s="34"/>
      <c r="I58" s="34"/>
      <c r="J58" s="34"/>
      <c r="K58" s="34"/>
      <c r="L58" s="34"/>
      <c r="M58" s="398"/>
      <c r="O58" s="32"/>
      <c r="P58" s="32"/>
      <c r="Q58" s="32"/>
    </row>
    <row r="59" spans="1:17" s="31" customFormat="1" ht="12" thickTop="1" x14ac:dyDescent="0.2">
      <c r="A59" s="414">
        <f t="shared" si="0"/>
        <v>55</v>
      </c>
      <c r="B59" s="485" t="str">
        <f>F21R!B60</f>
        <v>Dividend Declared</v>
      </c>
      <c r="C59" s="760" t="str">
        <f>F21R!C60</f>
        <v>4902</v>
      </c>
      <c r="D59" s="482"/>
      <c r="E59" s="482"/>
      <c r="F59" s="482"/>
      <c r="G59" s="482"/>
      <c r="H59" s="482"/>
      <c r="I59" s="482"/>
      <c r="J59" s="482"/>
      <c r="K59" s="482"/>
      <c r="L59" s="483"/>
      <c r="M59" s="483"/>
      <c r="N59" s="32"/>
      <c r="O59" s="32"/>
      <c r="P59" s="32"/>
    </row>
    <row r="60" spans="1:17" x14ac:dyDescent="0.2">
      <c r="A60" s="395"/>
      <c r="B60" s="442" t="s">
        <v>19</v>
      </c>
      <c r="C60" s="761"/>
      <c r="D60" s="480" t="s">
        <v>94</v>
      </c>
      <c r="E60" s="480" t="s">
        <v>95</v>
      </c>
      <c r="F60" s="480" t="s">
        <v>96</v>
      </c>
      <c r="G60" s="480" t="s">
        <v>97</v>
      </c>
      <c r="H60" s="480" t="s">
        <v>98</v>
      </c>
      <c r="I60" s="480" t="s">
        <v>99</v>
      </c>
      <c r="J60" s="480" t="s">
        <v>100</v>
      </c>
      <c r="K60" s="480" t="s">
        <v>101</v>
      </c>
      <c r="L60" s="480" t="s">
        <v>1292</v>
      </c>
      <c r="M60" s="408" t="s">
        <v>14</v>
      </c>
    </row>
    <row r="61" spans="1:17" x14ac:dyDescent="0.2">
      <c r="A61" s="37">
        <f t="shared" ref="A61" si="1">A60+1</f>
        <v>1</v>
      </c>
      <c r="B61" s="29" t="s">
        <v>13</v>
      </c>
      <c r="C61" s="762" t="str">
        <f>F21R!C62</f>
        <v>Gross Profits/Total Sales</v>
      </c>
      <c r="D61" s="28"/>
      <c r="E61" s="26"/>
      <c r="F61" s="26"/>
      <c r="G61" s="27"/>
      <c r="H61" s="16"/>
      <c r="I61" s="26"/>
      <c r="J61" s="26"/>
      <c r="K61" s="26"/>
      <c r="L61" s="26"/>
      <c r="M61" s="409"/>
    </row>
    <row r="62" spans="1:17" x14ac:dyDescent="0.2">
      <c r="A62" s="19">
        <f>A61+1</f>
        <v>2</v>
      </c>
      <c r="B62" s="24" t="s">
        <v>11</v>
      </c>
      <c r="C62" s="721" t="str">
        <f>F21R!C63</f>
        <v>(External Sales - Cost of External Sales)/External Sales</v>
      </c>
      <c r="D62" s="17"/>
      <c r="E62" s="12"/>
      <c r="F62" s="12"/>
      <c r="G62" s="23"/>
      <c r="H62" s="16"/>
      <c r="I62" s="12"/>
      <c r="J62" s="12"/>
      <c r="K62" s="12"/>
      <c r="L62" s="12"/>
      <c r="M62" s="410"/>
    </row>
    <row r="63" spans="1:17" x14ac:dyDescent="0.2">
      <c r="A63" s="19">
        <v>3</v>
      </c>
      <c r="B63" s="24" t="s">
        <v>9</v>
      </c>
      <c r="C63" s="721" t="str">
        <f>F21R!C64</f>
        <v>(Interco Sales - Cost of Interco Sales)/Interco Sales</v>
      </c>
      <c r="D63" s="17"/>
      <c r="E63" s="12"/>
      <c r="F63" s="12"/>
      <c r="G63" s="23"/>
      <c r="H63" s="16"/>
      <c r="I63" s="12"/>
      <c r="J63" s="12"/>
      <c r="K63" s="12"/>
      <c r="L63" s="12"/>
      <c r="M63" s="410"/>
    </row>
    <row r="64" spans="1:17" x14ac:dyDescent="0.2">
      <c r="A64" s="19">
        <v>4</v>
      </c>
      <c r="B64" s="18" t="s">
        <v>7</v>
      </c>
      <c r="C64" s="722" t="str">
        <f>F21R!C65</f>
        <v>-Total S&amp;D Exps/Total Sales</v>
      </c>
      <c r="D64" s="17"/>
      <c r="E64" s="12"/>
      <c r="F64" s="12"/>
      <c r="G64" s="12"/>
      <c r="H64" s="16"/>
      <c r="I64" s="12"/>
      <c r="J64" s="12"/>
      <c r="K64" s="12"/>
      <c r="L64" s="12"/>
      <c r="M64" s="410"/>
    </row>
    <row r="65" spans="1:13" x14ac:dyDescent="0.2">
      <c r="A65" s="19">
        <v>5</v>
      </c>
      <c r="B65" s="22" t="s">
        <v>6</v>
      </c>
      <c r="C65" s="720" t="str">
        <f>F21R!C66</f>
        <v>-Total Direct A&amp;G Exps/Total Sales</v>
      </c>
      <c r="D65" s="17"/>
      <c r="E65" s="12"/>
      <c r="F65" s="12"/>
      <c r="G65" s="12"/>
      <c r="H65" s="16"/>
      <c r="I65" s="12"/>
      <c r="J65" s="12"/>
      <c r="K65" s="12"/>
      <c r="L65" s="12"/>
      <c r="M65" s="410"/>
    </row>
    <row r="66" spans="1:13" x14ac:dyDescent="0.2">
      <c r="A66" s="19">
        <v>6</v>
      </c>
      <c r="B66" s="22" t="s">
        <v>5</v>
      </c>
      <c r="C66" s="720" t="str">
        <f>F21R!C67</f>
        <v>-Total A&amp;G Exps/Total Sales</v>
      </c>
      <c r="D66" s="17"/>
      <c r="E66" s="12"/>
      <c r="F66" s="12"/>
      <c r="G66" s="12"/>
      <c r="H66" s="16"/>
      <c r="I66" s="12"/>
      <c r="J66" s="12"/>
      <c r="K66" s="12"/>
      <c r="L66" s="12"/>
      <c r="M66" s="410"/>
    </row>
    <row r="67" spans="1:13" x14ac:dyDescent="0.2">
      <c r="A67" s="19">
        <v>7</v>
      </c>
      <c r="B67" s="21" t="s">
        <v>4</v>
      </c>
      <c r="C67" s="723" t="str">
        <f>F21R!C68</f>
        <v>Profits from Operations/Total Sales</v>
      </c>
      <c r="D67" s="17"/>
      <c r="E67" s="12"/>
      <c r="F67" s="12"/>
      <c r="G67" s="12"/>
      <c r="H67" s="12"/>
      <c r="I67" s="12"/>
      <c r="J67" s="12"/>
      <c r="K67" s="12"/>
      <c r="L67" s="12"/>
      <c r="M67" s="402"/>
    </row>
    <row r="68" spans="1:13" x14ac:dyDescent="0.2">
      <c r="A68" s="19">
        <v>8</v>
      </c>
      <c r="B68" s="18" t="s">
        <v>2</v>
      </c>
      <c r="C68" s="722" t="str">
        <f>F21R!C69</f>
        <v>Profits Before Taxation/Total Sales</v>
      </c>
      <c r="D68" s="17"/>
      <c r="E68" s="12"/>
      <c r="F68" s="12"/>
      <c r="G68" s="12"/>
      <c r="H68" s="16"/>
      <c r="I68" s="12"/>
      <c r="J68" s="12"/>
      <c r="K68" s="12"/>
      <c r="L68" s="12"/>
      <c r="M68" s="410"/>
    </row>
    <row r="69" spans="1:13" x14ac:dyDescent="0.2">
      <c r="A69" s="14">
        <v>9</v>
      </c>
      <c r="B69" s="105" t="s">
        <v>0</v>
      </c>
      <c r="C69" s="724" t="str">
        <f>F21R!C70</f>
        <v>Profits after Taxation/Total Sales</v>
      </c>
      <c r="D69" s="13"/>
      <c r="E69" s="11"/>
      <c r="F69" s="11"/>
      <c r="G69" s="11"/>
      <c r="H69" s="11"/>
      <c r="I69" s="11"/>
      <c r="J69" s="11"/>
      <c r="K69" s="11"/>
      <c r="L69" s="11"/>
      <c r="M69" s="403"/>
    </row>
    <row r="70" spans="1:13" x14ac:dyDescent="0.2">
      <c r="E70" s="8"/>
      <c r="F70" s="8"/>
      <c r="G70" s="8"/>
      <c r="H70" s="9"/>
      <c r="I70" s="8"/>
      <c r="J70" s="8"/>
      <c r="K70" s="8"/>
      <c r="L70" s="8"/>
      <c r="M70" s="7"/>
    </row>
  </sheetData>
  <mergeCells count="6">
    <mergeCell ref="D1:H1"/>
    <mergeCell ref="I1:M1"/>
    <mergeCell ref="A2:B2"/>
    <mergeCell ref="D3:H3"/>
    <mergeCell ref="I3:M3"/>
    <mergeCell ref="A3:B4"/>
  </mergeCells>
  <printOptions horizontalCentered="1" gridLines="1"/>
  <pageMargins left="0.51181102362204722" right="0.23622047244094491" top="0.74803149606299213" bottom="0.23622047244094491" header="0.51181102362204722" footer="0"/>
  <pageSetup paperSize="9" scale="97"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topLeftCell="A43" zoomScale="112" zoomScaleNormal="106" zoomScaleSheetLayoutView="112" workbookViewId="0">
      <selection activeCell="C54" sqref="C54"/>
    </sheetView>
  </sheetViews>
  <sheetFormatPr defaultRowHeight="11.25" x14ac:dyDescent="0.2"/>
  <cols>
    <col min="1" max="1" width="3" style="6" customWidth="1"/>
    <col min="2" max="2" width="21.85546875" style="5" customWidth="1"/>
    <col min="3" max="3" width="53" style="4" customWidth="1"/>
    <col min="4" max="4" width="7.28515625" style="4" customWidth="1"/>
    <col min="5" max="7" width="7.28515625" style="1" customWidth="1"/>
    <col min="8" max="8" width="7.28515625" style="3" customWidth="1"/>
    <col min="9" max="12" width="7.28515625" style="1" customWidth="1"/>
    <col min="13" max="13" width="7.28515625" style="2" customWidth="1"/>
    <col min="14" max="14" width="9.140625" style="1"/>
    <col min="15" max="15" width="9.28515625" style="1" bestFit="1" customWidth="1"/>
    <col min="16" max="16" width="9.140625" style="1"/>
    <col min="17" max="17" width="9.85546875" style="1" bestFit="1" customWidth="1"/>
    <col min="18" max="16384" width="9.140625" style="1"/>
  </cols>
  <sheetData>
    <row r="1" spans="1:14" ht="12.75" customHeight="1" x14ac:dyDescent="0.2">
      <c r="A1" s="84" t="s">
        <v>66</v>
      </c>
      <c r="C1" s="5"/>
      <c r="D1" s="887" t="s">
        <v>1406</v>
      </c>
      <c r="E1" s="887"/>
      <c r="F1" s="887"/>
      <c r="G1" s="887"/>
      <c r="H1" s="887"/>
      <c r="I1" s="881" t="s">
        <v>1407</v>
      </c>
      <c r="J1" s="881"/>
      <c r="K1" s="881"/>
      <c r="L1" s="881"/>
      <c r="M1" s="882"/>
    </row>
    <row r="2" spans="1:14" ht="12.75" customHeight="1" x14ac:dyDescent="0.2">
      <c r="A2" s="883" t="s">
        <v>1448</v>
      </c>
      <c r="B2" s="878"/>
      <c r="C2" s="744"/>
      <c r="D2" s="285" t="s">
        <v>1275</v>
      </c>
      <c r="E2" s="553"/>
      <c r="F2" s="553"/>
      <c r="G2" s="553"/>
      <c r="H2" s="553"/>
      <c r="I2" s="553" t="s">
        <v>63</v>
      </c>
      <c r="J2" s="554"/>
      <c r="K2" s="554"/>
      <c r="L2" s="554"/>
      <c r="M2" s="83"/>
    </row>
    <row r="3" spans="1:14" ht="12.75" customHeight="1" x14ac:dyDescent="0.2">
      <c r="A3" s="885" t="str">
        <f>'F23-Div'!A3:B3</f>
        <v>F23 P&amp;L ACCOUNT BY DIV/DEPT/SEC/UNITS</v>
      </c>
      <c r="B3" s="886"/>
      <c r="C3" s="747"/>
      <c r="D3" s="867" t="s">
        <v>62</v>
      </c>
      <c r="E3" s="867"/>
      <c r="F3" s="867"/>
      <c r="G3" s="867"/>
      <c r="H3" s="867"/>
      <c r="I3" s="884" t="s">
        <v>61</v>
      </c>
      <c r="J3" s="884"/>
      <c r="K3" s="884"/>
      <c r="L3" s="884"/>
      <c r="M3" s="870"/>
    </row>
    <row r="4" spans="1:14" x14ac:dyDescent="0.2">
      <c r="A4" s="873"/>
      <c r="B4" s="874"/>
      <c r="C4" s="747"/>
      <c r="D4" s="46" t="s">
        <v>102</v>
      </c>
      <c r="E4" s="51" t="s">
        <v>103</v>
      </c>
      <c r="F4" s="51" t="s">
        <v>18</v>
      </c>
      <c r="G4" s="51" t="s">
        <v>104</v>
      </c>
      <c r="H4" s="51" t="s">
        <v>17</v>
      </c>
      <c r="I4" s="51" t="s">
        <v>16</v>
      </c>
      <c r="J4" s="51" t="s">
        <v>105</v>
      </c>
      <c r="K4" s="51" t="s">
        <v>15</v>
      </c>
      <c r="L4" s="51" t="s">
        <v>1293</v>
      </c>
      <c r="M4" s="406" t="s">
        <v>14</v>
      </c>
    </row>
    <row r="5" spans="1:14" x14ac:dyDescent="0.2">
      <c r="A5" s="37">
        <v>1</v>
      </c>
      <c r="B5" s="57" t="str">
        <f>'F23-Div'!B5</f>
        <v>External Sales</v>
      </c>
      <c r="C5" s="763" t="str">
        <f>'F23-Div'!C5</f>
        <v>5001 to 5029, 5051 to 5099</v>
      </c>
      <c r="D5" s="17"/>
      <c r="E5" s="54"/>
      <c r="F5" s="56"/>
      <c r="G5" s="54"/>
      <c r="H5" s="55"/>
      <c r="I5" s="54"/>
      <c r="J5" s="54"/>
      <c r="K5" s="54"/>
      <c r="L5" s="54"/>
      <c r="M5" s="396"/>
    </row>
    <row r="6" spans="1:14" x14ac:dyDescent="0.2">
      <c r="A6" s="37">
        <f t="shared" ref="A6:A59" si="0">A5+1</f>
        <v>2</v>
      </c>
      <c r="B6" s="57" t="str">
        <f>'F23-Div'!B6</f>
        <v>Interco Sales</v>
      </c>
      <c r="C6" s="709" t="str">
        <f>'F23-Div'!C6</f>
        <v>5031 to 5049</v>
      </c>
      <c r="D6" s="17"/>
      <c r="E6" s="54"/>
      <c r="F6" s="56"/>
      <c r="G6" s="54"/>
      <c r="H6" s="55"/>
      <c r="I6" s="54"/>
      <c r="J6" s="54"/>
      <c r="K6" s="54"/>
      <c r="L6" s="54"/>
      <c r="M6" s="396"/>
    </row>
    <row r="7" spans="1:14" s="31" customFormat="1" x14ac:dyDescent="0.2">
      <c r="A7" s="552">
        <f t="shared" si="0"/>
        <v>3</v>
      </c>
      <c r="B7" s="41" t="str">
        <f>'F23-Div'!B7</f>
        <v>Total Sales</v>
      </c>
      <c r="C7" s="710" t="str">
        <f>'F23-Div'!C7</f>
        <v>=SUM(C5:C6)</v>
      </c>
      <c r="D7" s="51"/>
      <c r="E7" s="49"/>
      <c r="F7" s="49"/>
      <c r="G7" s="49"/>
      <c r="H7" s="49"/>
      <c r="I7" s="49"/>
      <c r="J7" s="49"/>
      <c r="K7" s="49"/>
      <c r="L7" s="49"/>
      <c r="M7" s="397"/>
    </row>
    <row r="8" spans="1:14" x14ac:dyDescent="0.2">
      <c r="A8" s="37">
        <f t="shared" si="0"/>
        <v>4</v>
      </c>
      <c r="B8" s="57" t="str">
        <f>'F23-Div'!B8</f>
        <v>Cost of External Sales</v>
      </c>
      <c r="C8" s="709" t="str">
        <f>'F23-Div'!C8</f>
        <v>5101 to 5119, 5141 to 5499, 6000 to 6999</v>
      </c>
      <c r="D8" s="17"/>
      <c r="E8" s="54"/>
      <c r="F8" s="56"/>
      <c r="G8" s="54"/>
      <c r="H8" s="55"/>
      <c r="I8" s="54"/>
      <c r="J8" s="54"/>
      <c r="K8" s="54"/>
      <c r="L8" s="54"/>
      <c r="M8" s="396"/>
    </row>
    <row r="9" spans="1:14" x14ac:dyDescent="0.2">
      <c r="A9" s="37">
        <f t="shared" si="0"/>
        <v>5</v>
      </c>
      <c r="B9" s="57" t="str">
        <f>'F23-Div'!B9</f>
        <v>Cost of Interco Sales</v>
      </c>
      <c r="C9" s="709" t="str">
        <f>'F23-Div'!C9</f>
        <v>5121 to 5139</v>
      </c>
      <c r="D9" s="17"/>
      <c r="E9" s="54"/>
      <c r="F9" s="56"/>
      <c r="G9" s="54"/>
      <c r="H9" s="55"/>
      <c r="I9" s="54"/>
      <c r="J9" s="54"/>
      <c r="K9" s="54"/>
      <c r="L9" s="54"/>
      <c r="M9" s="396"/>
    </row>
    <row r="10" spans="1:14" s="31" customFormat="1" x14ac:dyDescent="0.2">
      <c r="A10" s="552">
        <f t="shared" si="0"/>
        <v>6</v>
      </c>
      <c r="B10" s="78" t="str">
        <f>'F23-Div'!B10</f>
        <v>Total Cost of Sales</v>
      </c>
      <c r="C10" s="711" t="str">
        <f>'F23-Div'!C10</f>
        <v>=SUM(C8:C9)</v>
      </c>
      <c r="D10" s="51"/>
      <c r="E10" s="49"/>
      <c r="F10" s="49"/>
      <c r="G10" s="49"/>
      <c r="H10" s="49"/>
      <c r="I10" s="49"/>
      <c r="J10" s="49"/>
      <c r="K10" s="49"/>
      <c r="L10" s="49"/>
      <c r="M10" s="397"/>
    </row>
    <row r="11" spans="1:14" s="31" customFormat="1" ht="12" thickBot="1" x14ac:dyDescent="0.25">
      <c r="A11" s="394">
        <f t="shared" si="0"/>
        <v>7</v>
      </c>
      <c r="B11" s="79" t="str">
        <f>'F23-Div'!B11</f>
        <v>Gross Profit</v>
      </c>
      <c r="C11" s="712" t="str">
        <f>'F23-Div'!C11</f>
        <v>=C7+C10</v>
      </c>
      <c r="D11" s="35"/>
      <c r="E11" s="34"/>
      <c r="F11" s="34"/>
      <c r="G11" s="34"/>
      <c r="H11" s="34"/>
      <c r="I11" s="34"/>
      <c r="J11" s="34"/>
      <c r="K11" s="34"/>
      <c r="L11" s="34"/>
      <c r="M11" s="398"/>
    </row>
    <row r="12" spans="1:14" ht="12" thickTop="1" x14ac:dyDescent="0.2">
      <c r="A12" s="37">
        <f t="shared" si="0"/>
        <v>8</v>
      </c>
      <c r="B12" s="57" t="str">
        <f>'F23-Div'!B12</f>
        <v>Commission/Mgt Income</v>
      </c>
      <c r="C12" s="709" t="str">
        <f>'F23-Div'!C12</f>
        <v>5501 to 5509</v>
      </c>
      <c r="D12" s="17"/>
      <c r="E12" s="54"/>
      <c r="F12" s="56"/>
      <c r="G12" s="54"/>
      <c r="H12" s="54"/>
      <c r="I12" s="54"/>
      <c r="J12" s="54"/>
      <c r="K12" s="54"/>
      <c r="L12" s="54"/>
      <c r="M12" s="396"/>
    </row>
    <row r="13" spans="1:14" x14ac:dyDescent="0.2">
      <c r="A13" s="37">
        <f t="shared" si="0"/>
        <v>9</v>
      </c>
      <c r="B13" s="57" t="str">
        <f>'F23-Div'!B13</f>
        <v>Gain/(Loss) Disposal of FA</v>
      </c>
      <c r="C13" s="709" t="str">
        <f>'F23-Div'!C13</f>
        <v>9101</v>
      </c>
      <c r="D13" s="17"/>
      <c r="E13" s="54"/>
      <c r="F13" s="56"/>
      <c r="G13" s="54"/>
      <c r="H13" s="54"/>
      <c r="I13" s="54"/>
      <c r="J13" s="54"/>
      <c r="K13" s="54"/>
      <c r="L13" s="54"/>
      <c r="M13" s="396"/>
    </row>
    <row r="14" spans="1:14" ht="11.25" customHeight="1" x14ac:dyDescent="0.2">
      <c r="A14" s="37">
        <f t="shared" si="0"/>
        <v>10</v>
      </c>
      <c r="B14" s="57" t="str">
        <f>'F23-Div'!B14</f>
        <v>Other Op Income</v>
      </c>
      <c r="C14" s="709" t="str">
        <f>'F23-Div'!C14</f>
        <v>5511 to 5599, 9001 to 9019, 9041Credit, 9102 to 9109Credit</v>
      </c>
      <c r="D14" s="17"/>
      <c r="E14" s="54"/>
      <c r="F14" s="56"/>
      <c r="G14" s="54"/>
      <c r="H14" s="54"/>
      <c r="I14" s="54"/>
      <c r="J14" s="54"/>
      <c r="K14" s="54"/>
      <c r="L14" s="54"/>
      <c r="M14" s="396"/>
    </row>
    <row r="15" spans="1:14" ht="11.25" customHeight="1" x14ac:dyDescent="0.2">
      <c r="A15" s="37">
        <f t="shared" si="0"/>
        <v>11</v>
      </c>
      <c r="B15" s="57" t="str">
        <f>'F23-Div'!B15</f>
        <v>Other Op Expense</v>
      </c>
      <c r="C15" s="709" t="str">
        <f>'F23-Div'!C15</f>
        <v>5601 to 5999, 9041Debit, 9102 to 9109Debit, 9111 to 9115, 9117 to 9199</v>
      </c>
      <c r="D15" s="17"/>
      <c r="E15" s="54"/>
      <c r="F15" s="56"/>
      <c r="G15" s="54"/>
      <c r="H15" s="54"/>
      <c r="I15" s="54"/>
      <c r="J15" s="54"/>
      <c r="K15" s="54"/>
      <c r="L15" s="54"/>
      <c r="M15" s="396"/>
    </row>
    <row r="16" spans="1:14" s="31" customFormat="1" ht="11.25" customHeight="1" x14ac:dyDescent="0.2">
      <c r="A16" s="552">
        <f t="shared" si="0"/>
        <v>12</v>
      </c>
      <c r="B16" s="78" t="str">
        <f>'F23-Div'!B16</f>
        <v>Total Oth Op Income/ (Exp)</v>
      </c>
      <c r="C16" s="711" t="str">
        <f>'F23-Div'!C16</f>
        <v>=SUM(C12:C15)</v>
      </c>
      <c r="D16" s="51"/>
      <c r="E16" s="49"/>
      <c r="F16" s="49"/>
      <c r="G16" s="49"/>
      <c r="H16" s="49"/>
      <c r="I16" s="49"/>
      <c r="J16" s="49"/>
      <c r="K16" s="49"/>
      <c r="L16" s="49"/>
      <c r="M16" s="397"/>
      <c r="N16" s="77"/>
    </row>
    <row r="17" spans="1:14" x14ac:dyDescent="0.2">
      <c r="A17" s="37">
        <f t="shared" si="0"/>
        <v>13</v>
      </c>
      <c r="B17" s="57" t="str">
        <f>'F23-Div'!B17</f>
        <v>Personnel Related Cost</v>
      </c>
      <c r="C17" s="709" t="str">
        <f>'F23-Div'!C17</f>
        <v>7000 to 7099</v>
      </c>
      <c r="D17" s="17"/>
      <c r="E17" s="54"/>
      <c r="F17" s="56"/>
      <c r="G17" s="54"/>
      <c r="H17" s="54"/>
      <c r="I17" s="54"/>
      <c r="J17" s="54"/>
      <c r="K17" s="54"/>
      <c r="L17" s="54"/>
      <c r="M17" s="396"/>
    </row>
    <row r="18" spans="1:14" x14ac:dyDescent="0.2">
      <c r="A18" s="37">
        <f t="shared" si="0"/>
        <v>14</v>
      </c>
      <c r="B18" s="57" t="str">
        <f>'F23-Div'!B18</f>
        <v>Carriage/Transportation</v>
      </c>
      <c r="C18" s="709" t="str">
        <f>'F23-Div'!C18</f>
        <v>7100 to 7199</v>
      </c>
      <c r="D18" s="17"/>
      <c r="E18" s="54"/>
      <c r="F18" s="56"/>
      <c r="G18" s="54"/>
      <c r="H18" s="55"/>
      <c r="I18" s="54"/>
      <c r="J18" s="54"/>
      <c r="K18" s="54"/>
      <c r="L18" s="54"/>
      <c r="M18" s="396"/>
    </row>
    <row r="19" spans="1:14" x14ac:dyDescent="0.2">
      <c r="A19" s="37">
        <f t="shared" si="0"/>
        <v>15</v>
      </c>
      <c r="B19" s="57" t="str">
        <f>'F23-Div'!B19</f>
        <v>Advertising/Promotion</v>
      </c>
      <c r="C19" s="709" t="str">
        <f>'F23-Div'!C19</f>
        <v>7200 to 7299</v>
      </c>
      <c r="D19" s="17"/>
      <c r="E19" s="54"/>
      <c r="F19" s="56"/>
      <c r="G19" s="54"/>
      <c r="H19" s="55"/>
      <c r="I19" s="54"/>
      <c r="J19" s="54"/>
      <c r="K19" s="54"/>
      <c r="L19" s="54"/>
      <c r="M19" s="396"/>
    </row>
    <row r="20" spans="1:14" x14ac:dyDescent="0.2">
      <c r="A20" s="37">
        <f t="shared" si="0"/>
        <v>16</v>
      </c>
      <c r="B20" s="57" t="str">
        <f>'F23-Div'!B20</f>
        <v>Overseas Travelling</v>
      </c>
      <c r="C20" s="709" t="str">
        <f>'F23-Div'!C20</f>
        <v>7301</v>
      </c>
      <c r="D20" s="17"/>
      <c r="E20" s="54"/>
      <c r="F20" s="56"/>
      <c r="G20" s="54"/>
      <c r="H20" s="55"/>
      <c r="I20" s="54"/>
      <c r="J20" s="54"/>
      <c r="K20" s="54"/>
      <c r="L20" s="54"/>
      <c r="M20" s="396"/>
    </row>
    <row r="21" spans="1:14" x14ac:dyDescent="0.2">
      <c r="A21" s="37">
        <f t="shared" si="0"/>
        <v>17</v>
      </c>
      <c r="B21" s="57" t="str">
        <f>'F23-Div'!B21</f>
        <v xml:space="preserve">Entertainment </v>
      </c>
      <c r="C21" s="709" t="str">
        <f>'F23-Div'!C21</f>
        <v>7302 to 7399</v>
      </c>
      <c r="D21" s="17"/>
      <c r="E21" s="54"/>
      <c r="F21" s="56"/>
      <c r="G21" s="54"/>
      <c r="H21" s="55"/>
      <c r="I21" s="54"/>
      <c r="J21" s="54"/>
      <c r="K21" s="54"/>
      <c r="L21" s="54"/>
      <c r="M21" s="396"/>
      <c r="N21" s="4"/>
    </row>
    <row r="22" spans="1:14" x14ac:dyDescent="0.2">
      <c r="A22" s="37">
        <f t="shared" si="0"/>
        <v>18</v>
      </c>
      <c r="B22" s="57" t="str">
        <f>'F23-Div'!B22</f>
        <v>Equipment Expenses</v>
      </c>
      <c r="C22" s="709" t="str">
        <f>'F23-Div'!C22</f>
        <v>7400 to 7499</v>
      </c>
      <c r="D22" s="17"/>
      <c r="E22" s="54"/>
      <c r="F22" s="56"/>
      <c r="G22" s="54"/>
      <c r="H22" s="55"/>
      <c r="I22" s="54"/>
      <c r="J22" s="54"/>
      <c r="K22" s="54"/>
      <c r="L22" s="54"/>
      <c r="M22" s="396"/>
      <c r="N22" s="4"/>
    </row>
    <row r="23" spans="1:14" x14ac:dyDescent="0.2">
      <c r="A23" s="37">
        <f t="shared" si="0"/>
        <v>19</v>
      </c>
      <c r="B23" s="57" t="str">
        <f>'F23-Div'!B23</f>
        <v>Rental/Property Related</v>
      </c>
      <c r="C23" s="709" t="str">
        <f>'F23-Div'!C23</f>
        <v>7500 to 7599</v>
      </c>
      <c r="D23" s="17"/>
      <c r="E23" s="54"/>
      <c r="F23" s="56"/>
      <c r="G23" s="54"/>
      <c r="H23" s="55"/>
      <c r="I23" s="54"/>
      <c r="J23" s="54"/>
      <c r="K23" s="54"/>
      <c r="L23" s="54"/>
      <c r="M23" s="396"/>
    </row>
    <row r="24" spans="1:14" x14ac:dyDescent="0.2">
      <c r="A24" s="37">
        <f t="shared" si="0"/>
        <v>20</v>
      </c>
      <c r="B24" s="57" t="str">
        <f>'F23-Div'!B24</f>
        <v>Depn of Fixed Assets</v>
      </c>
      <c r="C24" s="709" t="str">
        <f>'F23-Div'!C24</f>
        <v>7600 to 7699</v>
      </c>
      <c r="D24" s="17"/>
      <c r="E24" s="54"/>
      <c r="F24" s="56"/>
      <c r="G24" s="54"/>
      <c r="H24" s="55"/>
      <c r="I24" s="54"/>
      <c r="J24" s="54"/>
      <c r="K24" s="54"/>
      <c r="L24" s="54"/>
      <c r="M24" s="396"/>
      <c r="N24" s="4"/>
    </row>
    <row r="25" spans="1:14" x14ac:dyDescent="0.2">
      <c r="A25" s="37">
        <f t="shared" si="0"/>
        <v>21</v>
      </c>
      <c r="B25" s="57" t="str">
        <f>'F23-Div'!B25</f>
        <v>Stationery/Printing/Telephone</v>
      </c>
      <c r="C25" s="709" t="str">
        <f>'F23-Div'!C25</f>
        <v>7701 to 7705</v>
      </c>
      <c r="D25" s="17"/>
      <c r="E25" s="54"/>
      <c r="F25" s="56"/>
      <c r="G25" s="54"/>
      <c r="H25" s="55"/>
      <c r="I25" s="54"/>
      <c r="J25" s="54"/>
      <c r="K25" s="54"/>
      <c r="L25" s="54"/>
      <c r="M25" s="396"/>
      <c r="N25" s="4"/>
    </row>
    <row r="26" spans="1:14" x14ac:dyDescent="0.2">
      <c r="A26" s="37">
        <f t="shared" si="0"/>
        <v>22</v>
      </c>
      <c r="B26" s="57" t="str">
        <f>'F23-Div'!B26</f>
        <v>HO/Interco and Other S&amp;D</v>
      </c>
      <c r="C26" s="709" t="str">
        <f>'F23-Div'!C26</f>
        <v>7706 to 7999</v>
      </c>
      <c r="D26" s="17"/>
      <c r="E26" s="54"/>
      <c r="F26" s="56"/>
      <c r="G26" s="54"/>
      <c r="H26" s="55"/>
      <c r="I26" s="54"/>
      <c r="J26" s="54"/>
      <c r="K26" s="54"/>
      <c r="L26" s="54"/>
      <c r="M26" s="396"/>
      <c r="N26" s="4"/>
    </row>
    <row r="27" spans="1:14" s="31" customFormat="1" x14ac:dyDescent="0.2">
      <c r="A27" s="552">
        <f t="shared" si="0"/>
        <v>23</v>
      </c>
      <c r="B27" s="41" t="str">
        <f>'F23-Div'!B27</f>
        <v>Total S&amp;D Expenses</v>
      </c>
      <c r="C27" s="710" t="str">
        <f>'F23-Div'!C27</f>
        <v>=SUM(C17:C26)</v>
      </c>
      <c r="D27" s="51"/>
      <c r="E27" s="49"/>
      <c r="F27" s="50"/>
      <c r="G27" s="49"/>
      <c r="H27" s="49"/>
      <c r="I27" s="49"/>
      <c r="J27" s="49"/>
      <c r="K27" s="49"/>
      <c r="L27" s="49"/>
      <c r="M27" s="397"/>
      <c r="N27" s="59"/>
    </row>
    <row r="28" spans="1:14" x14ac:dyDescent="0.2">
      <c r="A28" s="37">
        <f t="shared" si="0"/>
        <v>24</v>
      </c>
      <c r="B28" s="57" t="str">
        <f>'F23-Div'!B28</f>
        <v>Personnel Related Cost</v>
      </c>
      <c r="C28" s="709" t="str">
        <f>'F23-Div'!C28</f>
        <v>8000 to 8099</v>
      </c>
      <c r="D28" s="17"/>
      <c r="E28" s="54"/>
      <c r="F28" s="56"/>
      <c r="G28" s="54"/>
      <c r="H28" s="55"/>
      <c r="I28" s="54"/>
      <c r="J28" s="54"/>
      <c r="K28" s="54"/>
      <c r="L28" s="54"/>
      <c r="M28" s="396"/>
      <c r="N28" s="58"/>
    </row>
    <row r="29" spans="1:14" x14ac:dyDescent="0.2">
      <c r="A29" s="37">
        <f t="shared" si="0"/>
        <v>25</v>
      </c>
      <c r="B29" s="57" t="str">
        <f>'F23-Div'!B29</f>
        <v>Overseas Travelling</v>
      </c>
      <c r="C29" s="709" t="str">
        <f>'F23-Div'!C29</f>
        <v>8101</v>
      </c>
      <c r="D29" s="17"/>
      <c r="E29" s="54"/>
      <c r="F29" s="56"/>
      <c r="G29" s="54"/>
      <c r="H29" s="55"/>
      <c r="I29" s="54"/>
      <c r="J29" s="54"/>
      <c r="K29" s="54"/>
      <c r="L29" s="54"/>
      <c r="M29" s="396"/>
      <c r="N29" s="58"/>
    </row>
    <row r="30" spans="1:14" x14ac:dyDescent="0.2">
      <c r="A30" s="37">
        <f t="shared" si="0"/>
        <v>26</v>
      </c>
      <c r="B30" s="57" t="str">
        <f>'F23-Div'!B30</f>
        <v>Transportation</v>
      </c>
      <c r="C30" s="709" t="str">
        <f>'F23-Div'!C30</f>
        <v>8102 to 8149</v>
      </c>
      <c r="D30" s="17"/>
      <c r="E30" s="54"/>
      <c r="F30" s="56"/>
      <c r="G30" s="54"/>
      <c r="H30" s="55"/>
      <c r="I30" s="54"/>
      <c r="J30" s="54"/>
      <c r="K30" s="54"/>
      <c r="L30" s="54"/>
      <c r="M30" s="396"/>
      <c r="N30" s="58"/>
    </row>
    <row r="31" spans="1:14" x14ac:dyDescent="0.2">
      <c r="A31" s="37">
        <f t="shared" si="0"/>
        <v>27</v>
      </c>
      <c r="B31" s="57" t="str">
        <f>'F23-Div'!B31</f>
        <v>Entertainment &amp; Donations</v>
      </c>
      <c r="C31" s="709" t="str">
        <f>'F23-Div'!C31</f>
        <v>8150 to 8199</v>
      </c>
      <c r="D31" s="17"/>
      <c r="E31" s="54"/>
      <c r="F31" s="56"/>
      <c r="G31" s="54"/>
      <c r="H31" s="55"/>
      <c r="I31" s="54"/>
      <c r="J31" s="54"/>
      <c r="K31" s="54"/>
      <c r="L31" s="54"/>
      <c r="M31" s="396"/>
      <c r="N31" s="58"/>
    </row>
    <row r="32" spans="1:14" x14ac:dyDescent="0.2">
      <c r="A32" s="37">
        <f t="shared" si="0"/>
        <v>28</v>
      </c>
      <c r="B32" s="57" t="str">
        <f>'F23-Div'!B32</f>
        <v>Equipment Expenses</v>
      </c>
      <c r="C32" s="709" t="str">
        <f>'F23-Div'!C32</f>
        <v>8200 to 8299</v>
      </c>
      <c r="D32" s="17"/>
      <c r="E32" s="54"/>
      <c r="F32" s="56"/>
      <c r="G32" s="54"/>
      <c r="H32" s="55"/>
      <c r="I32" s="54"/>
      <c r="J32" s="54"/>
      <c r="K32" s="54"/>
      <c r="L32" s="54"/>
      <c r="M32" s="396"/>
      <c r="N32" s="58"/>
    </row>
    <row r="33" spans="1:14" x14ac:dyDescent="0.2">
      <c r="A33" s="37">
        <f t="shared" si="0"/>
        <v>29</v>
      </c>
      <c r="B33" s="57" t="str">
        <f>'F23-Div'!B33</f>
        <v>Rental/Property Related</v>
      </c>
      <c r="C33" s="709" t="str">
        <f>'F23-Div'!C33</f>
        <v>8300 to 8399</v>
      </c>
      <c r="D33" s="17"/>
      <c r="E33" s="54"/>
      <c r="F33" s="56"/>
      <c r="G33" s="54"/>
      <c r="H33" s="55"/>
      <c r="I33" s="54"/>
      <c r="J33" s="54"/>
      <c r="K33" s="54"/>
      <c r="L33" s="54"/>
      <c r="M33" s="396"/>
      <c r="N33" s="58"/>
    </row>
    <row r="34" spans="1:14" x14ac:dyDescent="0.2">
      <c r="A34" s="37">
        <f t="shared" si="0"/>
        <v>30</v>
      </c>
      <c r="B34" s="57" t="str">
        <f>'F23-Div'!B34</f>
        <v>Depn of Fixed Assets</v>
      </c>
      <c r="C34" s="709" t="str">
        <f>'F23-Div'!C34</f>
        <v>8400 to 8499</v>
      </c>
      <c r="D34" s="17"/>
      <c r="E34" s="54"/>
      <c r="F34" s="56"/>
      <c r="G34" s="54"/>
      <c r="H34" s="55"/>
      <c r="I34" s="54"/>
      <c r="J34" s="54"/>
      <c r="K34" s="54"/>
      <c r="L34" s="54"/>
      <c r="M34" s="396"/>
      <c r="N34" s="58"/>
    </row>
    <row r="35" spans="1:14" x14ac:dyDescent="0.2">
      <c r="A35" s="37">
        <f t="shared" si="0"/>
        <v>31</v>
      </c>
      <c r="B35" s="57" t="str">
        <f>'F23-Div'!B35</f>
        <v>Stationery/Printing/Telephone</v>
      </c>
      <c r="C35" s="709" t="str">
        <f>'F23-Div'!C35</f>
        <v>8500 to 8599</v>
      </c>
      <c r="D35" s="17"/>
      <c r="E35" s="54"/>
      <c r="F35" s="56"/>
      <c r="G35" s="54"/>
      <c r="H35" s="55"/>
      <c r="I35" s="54"/>
      <c r="J35" s="54"/>
      <c r="K35" s="54"/>
      <c r="L35" s="54"/>
      <c r="M35" s="396"/>
      <c r="N35" s="58"/>
    </row>
    <row r="36" spans="1:14" x14ac:dyDescent="0.2">
      <c r="A36" s="37">
        <f t="shared" si="0"/>
        <v>32</v>
      </c>
      <c r="B36" s="57" t="str">
        <f>'F23-Div'!B36</f>
        <v>Legal/Prof Fees/Ins/Safety</v>
      </c>
      <c r="C36" s="709" t="str">
        <f>'F23-Div'!C36</f>
        <v>8600 to 8649</v>
      </c>
      <c r="D36" s="17"/>
      <c r="E36" s="54"/>
      <c r="F36" s="56"/>
      <c r="G36" s="54"/>
      <c r="H36" s="55"/>
      <c r="I36" s="54"/>
      <c r="J36" s="54"/>
      <c r="K36" s="54"/>
      <c r="L36" s="54"/>
      <c r="M36" s="396"/>
      <c r="N36" s="58"/>
    </row>
    <row r="37" spans="1:14" x14ac:dyDescent="0.2">
      <c r="A37" s="37">
        <f t="shared" si="0"/>
        <v>33</v>
      </c>
      <c r="B37" s="57" t="str">
        <f>'F23-Div'!B37</f>
        <v>IT System Exps</v>
      </c>
      <c r="C37" s="709" t="str">
        <f>'F23-Div'!C37</f>
        <v>8651</v>
      </c>
      <c r="D37" s="17"/>
      <c r="E37" s="54"/>
      <c r="F37" s="56"/>
      <c r="G37" s="54"/>
      <c r="H37" s="55"/>
      <c r="I37" s="54"/>
      <c r="J37" s="54"/>
      <c r="K37" s="54"/>
      <c r="L37" s="54"/>
      <c r="M37" s="396"/>
      <c r="N37" s="58"/>
    </row>
    <row r="38" spans="1:14" x14ac:dyDescent="0.2">
      <c r="A38" s="37">
        <f t="shared" si="0"/>
        <v>34</v>
      </c>
      <c r="B38" s="57" t="str">
        <f>'F23-Div'!B38</f>
        <v>Purchasing Exps</v>
      </c>
      <c r="C38" s="709" t="str">
        <f>'F23-Div'!C38</f>
        <v>8653</v>
      </c>
      <c r="D38" s="17"/>
      <c r="E38" s="54"/>
      <c r="F38" s="56"/>
      <c r="G38" s="54"/>
      <c r="H38" s="55"/>
      <c r="I38" s="54"/>
      <c r="J38" s="54"/>
      <c r="K38" s="54"/>
      <c r="L38" s="54"/>
      <c r="M38" s="396"/>
      <c r="N38" s="58"/>
    </row>
    <row r="39" spans="1:14" s="31" customFormat="1" x14ac:dyDescent="0.2">
      <c r="A39" s="552">
        <f t="shared" si="0"/>
        <v>35</v>
      </c>
      <c r="B39" s="41" t="str">
        <f>'F23-Div'!B39</f>
        <v xml:space="preserve">A&amp;G Direct Expenses </v>
      </c>
      <c r="C39" s="710" t="str">
        <f>'F23-Div'!C39</f>
        <v>=SUM(C28:C38)</v>
      </c>
      <c r="D39" s="46"/>
      <c r="E39" s="49"/>
      <c r="F39" s="50"/>
      <c r="G39" s="49"/>
      <c r="H39" s="49"/>
      <c r="I39" s="49"/>
      <c r="J39" s="49"/>
      <c r="K39" s="49"/>
      <c r="L39" s="49"/>
      <c r="M39" s="397"/>
      <c r="N39" s="65"/>
    </row>
    <row r="40" spans="1:14" s="31" customFormat="1" x14ac:dyDescent="0.2">
      <c r="A40" s="37">
        <f t="shared" si="0"/>
        <v>36</v>
      </c>
      <c r="B40" s="57" t="str">
        <f>'F23-Div'!B40</f>
        <v>Prov for Stock Obso/Pilferage</v>
      </c>
      <c r="C40" s="709" t="str">
        <f>'F23-Div'!C40</f>
        <v>8701 to 8702</v>
      </c>
      <c r="D40" s="73"/>
      <c r="E40" s="43"/>
      <c r="F40" s="72"/>
      <c r="G40" s="43"/>
      <c r="H40" s="43"/>
      <c r="I40" s="43"/>
      <c r="J40" s="43"/>
      <c r="K40" s="43"/>
      <c r="L40" s="43"/>
      <c r="M40" s="400"/>
      <c r="N40" s="65"/>
    </row>
    <row r="41" spans="1:14" s="31" customFormat="1" x14ac:dyDescent="0.2">
      <c r="A41" s="37">
        <f t="shared" si="0"/>
        <v>37</v>
      </c>
      <c r="B41" s="57" t="str">
        <f>'F23-Div'!B41</f>
        <v>Prov for Doubtful Debts</v>
      </c>
      <c r="C41" s="709" t="str">
        <f>'F23-Div'!C41</f>
        <v>8703</v>
      </c>
      <c r="D41" s="73"/>
      <c r="E41" s="43"/>
      <c r="F41" s="72"/>
      <c r="G41" s="43"/>
      <c r="H41" s="43"/>
      <c r="I41" s="43"/>
      <c r="J41" s="43"/>
      <c r="K41" s="43"/>
      <c r="L41" s="43"/>
      <c r="M41" s="400"/>
      <c r="N41" s="65"/>
    </row>
    <row r="42" spans="1:14" s="31" customFormat="1" x14ac:dyDescent="0.2">
      <c r="A42" s="37">
        <f t="shared" si="0"/>
        <v>38</v>
      </c>
      <c r="B42" s="57" t="str">
        <f>'F23-Div'!B42</f>
        <v xml:space="preserve">Bad Debts Recovered </v>
      </c>
      <c r="C42" s="709" t="str">
        <f>'F23-Div'!C42</f>
        <v>8704</v>
      </c>
      <c r="D42" s="73"/>
      <c r="E42" s="43"/>
      <c r="F42" s="72"/>
      <c r="G42" s="43"/>
      <c r="H42" s="43"/>
      <c r="I42" s="43"/>
      <c r="J42" s="43"/>
      <c r="K42" s="43"/>
      <c r="L42" s="43"/>
      <c r="M42" s="400"/>
      <c r="N42" s="65"/>
    </row>
    <row r="43" spans="1:14" s="31" customFormat="1" x14ac:dyDescent="0.2">
      <c r="A43" s="37">
        <f t="shared" si="0"/>
        <v>39</v>
      </c>
      <c r="B43" s="57" t="str">
        <f>'F23-Div'!B43</f>
        <v>Stocks Written Down/Written Off</v>
      </c>
      <c r="C43" s="709" t="str">
        <f>'F23-Div'!C43</f>
        <v>8705</v>
      </c>
      <c r="D43" s="73"/>
      <c r="E43" s="43"/>
      <c r="F43" s="72"/>
      <c r="G43" s="43"/>
      <c r="H43" s="43"/>
      <c r="I43" s="43"/>
      <c r="J43" s="43"/>
      <c r="K43" s="43"/>
      <c r="L43" s="43"/>
      <c r="M43" s="400"/>
      <c r="N43" s="65"/>
    </row>
    <row r="44" spans="1:14" s="31" customFormat="1" x14ac:dyDescent="0.2">
      <c r="A44" s="37">
        <f t="shared" si="0"/>
        <v>40</v>
      </c>
      <c r="B44" s="57" t="str">
        <f>'F23-Div'!B44</f>
        <v>GST/VAT Expense</v>
      </c>
      <c r="C44" s="709" t="str">
        <f>'F23-Div'!C44</f>
        <v>8711 to 8712</v>
      </c>
      <c r="D44" s="73"/>
      <c r="E44" s="43"/>
      <c r="F44" s="72"/>
      <c r="G44" s="43"/>
      <c r="H44" s="43"/>
      <c r="I44" s="43"/>
      <c r="J44" s="43"/>
      <c r="K44" s="43"/>
      <c r="L44" s="43"/>
      <c r="M44" s="400"/>
      <c r="N44" s="65"/>
    </row>
    <row r="45" spans="1:14" s="31" customFormat="1" x14ac:dyDescent="0.2">
      <c r="A45" s="269">
        <f t="shared" si="0"/>
        <v>41</v>
      </c>
      <c r="B45" s="441" t="str">
        <f>'F23-Div'!B45</f>
        <v xml:space="preserve">HO/Interco Alloc </v>
      </c>
      <c r="C45" s="759" t="str">
        <f>'F23-Div'!C45</f>
        <v>8798 to 8799</v>
      </c>
      <c r="D45" s="75"/>
      <c r="E45" s="43"/>
      <c r="F45" s="72"/>
      <c r="G45" s="43"/>
      <c r="H45" s="43"/>
      <c r="I45" s="43"/>
      <c r="J45" s="43"/>
      <c r="K45" s="43"/>
      <c r="L45" s="43"/>
      <c r="M45" s="400"/>
      <c r="N45" s="65"/>
    </row>
    <row r="46" spans="1:14" s="31" customFormat="1" x14ac:dyDescent="0.2">
      <c r="A46" s="696">
        <f t="shared" si="0"/>
        <v>42</v>
      </c>
      <c r="B46" s="41" t="str">
        <f>'F23-Div'!B46</f>
        <v xml:space="preserve">Other A&amp;G Expenses </v>
      </c>
      <c r="C46" s="710" t="str">
        <f>'F23-Div'!C46</f>
        <v>=SUM(C40:C45)</v>
      </c>
      <c r="D46" s="46"/>
      <c r="E46" s="49"/>
      <c r="F46" s="50"/>
      <c r="G46" s="49"/>
      <c r="H46" s="49"/>
      <c r="I46" s="49"/>
      <c r="J46" s="49"/>
      <c r="K46" s="49"/>
      <c r="L46" s="49"/>
      <c r="M46" s="397"/>
      <c r="N46" s="65"/>
    </row>
    <row r="47" spans="1:14" s="31" customFormat="1" x14ac:dyDescent="0.2">
      <c r="A47" s="552">
        <f t="shared" si="0"/>
        <v>43</v>
      </c>
      <c r="B47" s="41" t="str">
        <f>'F23-Div'!B47</f>
        <v>Total A&amp;G Expenses</v>
      </c>
      <c r="C47" s="710" t="str">
        <f>'F23-Div'!C47</f>
        <v>=C39+C46</v>
      </c>
      <c r="D47" s="46"/>
      <c r="E47" s="49"/>
      <c r="F47" s="50"/>
      <c r="G47" s="49"/>
      <c r="H47" s="49"/>
      <c r="I47" s="49"/>
      <c r="J47" s="49"/>
      <c r="K47" s="49"/>
      <c r="L47" s="49"/>
      <c r="M47" s="397"/>
      <c r="N47" s="65"/>
    </row>
    <row r="48" spans="1:14" s="31" customFormat="1" ht="12" thickBot="1" x14ac:dyDescent="0.25">
      <c r="A48" s="394">
        <f t="shared" si="0"/>
        <v>44</v>
      </c>
      <c r="B48" s="71" t="str">
        <f>'F23-Div'!B48</f>
        <v>Profit from Operations</v>
      </c>
      <c r="C48" s="714" t="str">
        <f>'F23-Div'!C48</f>
        <v>=C11+C16+C27+C47</v>
      </c>
      <c r="D48" s="70"/>
      <c r="E48" s="69"/>
      <c r="F48" s="68"/>
      <c r="G48" s="67"/>
      <c r="H48" s="67"/>
      <c r="I48" s="67"/>
      <c r="J48" s="67"/>
      <c r="K48" s="67"/>
      <c r="L48" s="67"/>
      <c r="M48" s="407"/>
      <c r="N48" s="65"/>
    </row>
    <row r="49" spans="1:17" s="31" customFormat="1" ht="12" thickTop="1" x14ac:dyDescent="0.2">
      <c r="A49" s="37">
        <f t="shared" si="0"/>
        <v>45</v>
      </c>
      <c r="B49" s="64" t="str">
        <f>'F23-Div'!B49</f>
        <v>Interest Income</v>
      </c>
      <c r="C49" s="709" t="str">
        <f>'F23-Div'!C49</f>
        <v>9023</v>
      </c>
      <c r="D49" s="63"/>
      <c r="E49" s="62"/>
      <c r="F49" s="61"/>
      <c r="G49" s="43"/>
      <c r="H49" s="43"/>
      <c r="I49" s="43"/>
      <c r="J49" s="43"/>
      <c r="K49" s="43"/>
      <c r="L49" s="43"/>
      <c r="M49" s="400"/>
      <c r="N49" s="59"/>
    </row>
    <row r="50" spans="1:17" x14ac:dyDescent="0.2">
      <c r="A50" s="37">
        <f t="shared" si="0"/>
        <v>46</v>
      </c>
      <c r="B50" s="57" t="str">
        <f>'F23-Div'!B50</f>
        <v>Interest (Expense)</v>
      </c>
      <c r="C50" s="709" t="str">
        <f>'F23-Div'!C50</f>
        <v>8801 to 8809</v>
      </c>
      <c r="D50" s="17"/>
      <c r="E50" s="54"/>
      <c r="F50" s="56"/>
      <c r="G50" s="54"/>
      <c r="H50" s="55"/>
      <c r="I50" s="54"/>
      <c r="J50" s="54"/>
      <c r="K50" s="54"/>
      <c r="L50" s="54"/>
      <c r="M50" s="396"/>
      <c r="N50" s="58"/>
    </row>
    <row r="51" spans="1:17" x14ac:dyDescent="0.2">
      <c r="A51" s="37">
        <f t="shared" si="0"/>
        <v>47</v>
      </c>
      <c r="B51" s="57" t="str">
        <f>'F23-Div'!B51</f>
        <v>Derivatives Gain/(Loss)</v>
      </c>
      <c r="C51" s="709" t="str">
        <f>'F23-Div'!C51</f>
        <v>8821 to 8822</v>
      </c>
      <c r="D51" s="17"/>
      <c r="E51" s="54"/>
      <c r="F51" s="56"/>
      <c r="G51" s="54"/>
      <c r="H51" s="55"/>
      <c r="I51" s="54"/>
      <c r="J51" s="54"/>
      <c r="K51" s="54"/>
      <c r="L51" s="54"/>
      <c r="M51" s="396"/>
      <c r="N51" s="58"/>
    </row>
    <row r="52" spans="1:17" x14ac:dyDescent="0.2">
      <c r="A52" s="37">
        <f t="shared" si="0"/>
        <v>48</v>
      </c>
      <c r="B52" s="57" t="str">
        <f>'F23-Div'!B52</f>
        <v>Forex Gain/(Loss)</v>
      </c>
      <c r="C52" s="709" t="str">
        <f>'F23-Div'!C52</f>
        <v>8831 to 8832</v>
      </c>
      <c r="D52" s="17"/>
      <c r="E52" s="54"/>
      <c r="F52" s="56"/>
      <c r="G52" s="54"/>
      <c r="H52" s="55"/>
      <c r="I52" s="54"/>
      <c r="J52" s="54"/>
      <c r="K52" s="54"/>
      <c r="L52" s="54"/>
      <c r="M52" s="396"/>
      <c r="N52" s="58"/>
    </row>
    <row r="53" spans="1:17" x14ac:dyDescent="0.2">
      <c r="A53" s="37">
        <f t="shared" si="0"/>
        <v>49</v>
      </c>
      <c r="B53" s="57" t="str">
        <f>'F23-Div'!B53</f>
        <v>Dividend Income</v>
      </c>
      <c r="C53" s="709" t="str">
        <f>'F23-Div'!C53</f>
        <v>9021</v>
      </c>
      <c r="D53" s="17"/>
      <c r="E53" s="54"/>
      <c r="F53" s="56"/>
      <c r="G53" s="54"/>
      <c r="H53" s="55"/>
      <c r="I53" s="54"/>
      <c r="J53" s="54"/>
      <c r="K53" s="54"/>
      <c r="L53" s="54"/>
      <c r="M53" s="396"/>
    </row>
    <row r="54" spans="1:17" x14ac:dyDescent="0.2">
      <c r="A54" s="37">
        <f t="shared" si="0"/>
        <v>50</v>
      </c>
      <c r="B54" s="57" t="str">
        <f>'F23-Div'!B54</f>
        <v>Other Non-Op Income/(Exp)</v>
      </c>
      <c r="C54" s="709" t="str">
        <f>'F23-Div'!C54</f>
        <v>9031, 9116, 9200 to 9211</v>
      </c>
      <c r="D54" s="17"/>
      <c r="E54" s="54"/>
      <c r="F54" s="56"/>
      <c r="G54" s="54"/>
      <c r="H54" s="55"/>
      <c r="I54" s="54"/>
      <c r="J54" s="54"/>
      <c r="K54" s="54"/>
      <c r="L54" s="54"/>
      <c r="M54" s="396"/>
    </row>
    <row r="55" spans="1:17" s="31" customFormat="1" x14ac:dyDescent="0.2">
      <c r="A55" s="552">
        <f t="shared" si="0"/>
        <v>51</v>
      </c>
      <c r="B55" s="52" t="str">
        <f>'F23-Div'!B55</f>
        <v>Total Non-Op Income/(Exp)</v>
      </c>
      <c r="C55" s="716" t="str">
        <f>'F23-Div'!C55</f>
        <v>=SUM(C49:C54)</v>
      </c>
      <c r="D55" s="51"/>
      <c r="E55" s="49"/>
      <c r="F55" s="50"/>
      <c r="G55" s="49"/>
      <c r="H55" s="49"/>
      <c r="I55" s="49"/>
      <c r="J55" s="49"/>
      <c r="K55" s="49"/>
      <c r="L55" s="49"/>
      <c r="M55" s="397"/>
    </row>
    <row r="56" spans="1:17" s="31" customFormat="1" x14ac:dyDescent="0.2">
      <c r="A56" s="552">
        <f t="shared" si="0"/>
        <v>52</v>
      </c>
      <c r="B56" s="47" t="str">
        <f>'F23-Div'!B56</f>
        <v>Profit Before Taxation</v>
      </c>
      <c r="C56" s="717" t="str">
        <f>'F23-Div'!C56</f>
        <v>=C48+C55</v>
      </c>
      <c r="D56" s="46"/>
      <c r="E56" s="45"/>
      <c r="F56" s="44"/>
      <c r="G56" s="43"/>
      <c r="H56" s="43"/>
      <c r="I56" s="43"/>
      <c r="J56" s="43"/>
      <c r="K56" s="43"/>
      <c r="L56" s="43"/>
      <c r="M56" s="400"/>
    </row>
    <row r="57" spans="1:17" x14ac:dyDescent="0.2">
      <c r="A57" s="552">
        <f t="shared" si="0"/>
        <v>53</v>
      </c>
      <c r="B57" s="41" t="str">
        <f>'F23-Div'!B57</f>
        <v>Less: Taxation</v>
      </c>
      <c r="C57" s="766" t="str">
        <f>'F23-Div'!C57</f>
        <v xml:space="preserve">9400 to 9999 </v>
      </c>
      <c r="D57" s="17"/>
      <c r="E57" s="39"/>
      <c r="F57" s="40"/>
      <c r="G57" s="39"/>
      <c r="H57" s="39"/>
      <c r="I57" s="39"/>
      <c r="J57" s="39"/>
      <c r="K57" s="39"/>
      <c r="L57" s="39"/>
      <c r="M57" s="401"/>
    </row>
    <row r="58" spans="1:17" s="31" customFormat="1" ht="12" thickBot="1" x14ac:dyDescent="0.25">
      <c r="A58" s="394">
        <f t="shared" si="0"/>
        <v>54</v>
      </c>
      <c r="B58" s="36" t="str">
        <f>'F23-Div'!B58</f>
        <v>Profits After Taxation</v>
      </c>
      <c r="C58" s="718" t="str">
        <f>'F23-Div'!C58</f>
        <v>=C56+C57</v>
      </c>
      <c r="D58" s="35"/>
      <c r="E58" s="34"/>
      <c r="F58" s="34"/>
      <c r="G58" s="34"/>
      <c r="H58" s="34"/>
      <c r="I58" s="34"/>
      <c r="J58" s="34"/>
      <c r="K58" s="34"/>
      <c r="L58" s="34"/>
      <c r="M58" s="398"/>
      <c r="O58" s="32"/>
      <c r="P58" s="32"/>
      <c r="Q58" s="32"/>
    </row>
    <row r="59" spans="1:17" s="31" customFormat="1" ht="12" thickTop="1" x14ac:dyDescent="0.2">
      <c r="A59" s="414">
        <f t="shared" si="0"/>
        <v>55</v>
      </c>
      <c r="B59" s="485" t="str">
        <f>'F23-Div'!B59</f>
        <v>Dividend Declared</v>
      </c>
      <c r="C59" s="760" t="str">
        <f>'F23-Div'!C59</f>
        <v>4902</v>
      </c>
      <c r="D59" s="482"/>
      <c r="E59" s="482"/>
      <c r="F59" s="482"/>
      <c r="G59" s="482"/>
      <c r="H59" s="482"/>
      <c r="I59" s="482"/>
      <c r="J59" s="482"/>
      <c r="K59" s="482"/>
      <c r="L59" s="483"/>
      <c r="M59" s="483"/>
      <c r="N59" s="32"/>
      <c r="O59" s="32"/>
      <c r="P59" s="32"/>
    </row>
    <row r="60" spans="1:17" x14ac:dyDescent="0.2">
      <c r="A60" s="395"/>
      <c r="B60" s="442" t="str">
        <f>'F23-Div'!B60</f>
        <v>Performance Indicators</v>
      </c>
      <c r="C60" s="761"/>
      <c r="D60" s="46" t="s">
        <v>102</v>
      </c>
      <c r="E60" s="51" t="s">
        <v>103</v>
      </c>
      <c r="F60" s="51" t="s">
        <v>18</v>
      </c>
      <c r="G60" s="51" t="s">
        <v>104</v>
      </c>
      <c r="H60" s="51" t="s">
        <v>17</v>
      </c>
      <c r="I60" s="51" t="s">
        <v>16</v>
      </c>
      <c r="J60" s="51" t="s">
        <v>105</v>
      </c>
      <c r="K60" s="51" t="s">
        <v>15</v>
      </c>
      <c r="L60" s="51" t="s">
        <v>1293</v>
      </c>
      <c r="M60" s="408" t="s">
        <v>14</v>
      </c>
    </row>
    <row r="61" spans="1:17" x14ac:dyDescent="0.2">
      <c r="A61" s="37">
        <f t="shared" ref="A61" si="1">A60+1</f>
        <v>1</v>
      </c>
      <c r="B61" s="29" t="str">
        <f>'F23-Div'!B61</f>
        <v>Gross Profits Margin %</v>
      </c>
      <c r="C61" s="762" t="str">
        <f>'F23-Div'!C61</f>
        <v>Gross Profits/Total Sales</v>
      </c>
      <c r="D61" s="28"/>
      <c r="E61" s="26"/>
      <c r="F61" s="26"/>
      <c r="G61" s="27"/>
      <c r="H61" s="16"/>
      <c r="I61" s="26"/>
      <c r="J61" s="26"/>
      <c r="K61" s="26"/>
      <c r="L61" s="26"/>
      <c r="M61" s="409"/>
    </row>
    <row r="62" spans="1:17" x14ac:dyDescent="0.2">
      <c r="A62" s="19">
        <f>A61+1</f>
        <v>2</v>
      </c>
      <c r="B62" s="24" t="str">
        <f>'F23-Div'!B62</f>
        <v>- External Sales GP %</v>
      </c>
      <c r="C62" s="721" t="str">
        <f>'F23-Div'!C62</f>
        <v>(External Sales - Cost of External Sales)/External Sales</v>
      </c>
      <c r="D62" s="17"/>
      <c r="E62" s="12"/>
      <c r="F62" s="12"/>
      <c r="G62" s="23"/>
      <c r="H62" s="16"/>
      <c r="I62" s="12"/>
      <c r="J62" s="12"/>
      <c r="K62" s="12"/>
      <c r="L62" s="12"/>
      <c r="M62" s="410"/>
    </row>
    <row r="63" spans="1:17" x14ac:dyDescent="0.2">
      <c r="A63" s="19">
        <v>3</v>
      </c>
      <c r="B63" s="24" t="str">
        <f>'F23-Div'!B63</f>
        <v>- Interco Sales GP %</v>
      </c>
      <c r="C63" s="721" t="str">
        <f>'F23-Div'!C63</f>
        <v>(Interco Sales - Cost of Interco Sales)/Interco Sales</v>
      </c>
      <c r="D63" s="17"/>
      <c r="E63" s="12"/>
      <c r="F63" s="12"/>
      <c r="G63" s="23"/>
      <c r="H63" s="16"/>
      <c r="I63" s="12"/>
      <c r="J63" s="12"/>
      <c r="K63" s="12"/>
      <c r="L63" s="12"/>
      <c r="M63" s="410"/>
    </row>
    <row r="64" spans="1:17" x14ac:dyDescent="0.2">
      <c r="A64" s="19">
        <v>4</v>
      </c>
      <c r="B64" s="18" t="str">
        <f>'F23-Div'!B64</f>
        <v>Selling &amp; Dist Margin %</v>
      </c>
      <c r="C64" s="722" t="str">
        <f>'F23-Div'!C64</f>
        <v>-Total S&amp;D Exps/Total Sales</v>
      </c>
      <c r="D64" s="17"/>
      <c r="E64" s="12"/>
      <c r="F64" s="12"/>
      <c r="G64" s="12"/>
      <c r="H64" s="16"/>
      <c r="I64" s="12"/>
      <c r="J64" s="12"/>
      <c r="K64" s="12"/>
      <c r="L64" s="12"/>
      <c r="M64" s="410"/>
    </row>
    <row r="65" spans="1:13" x14ac:dyDescent="0.2">
      <c r="A65" s="19">
        <v>5</v>
      </c>
      <c r="B65" s="22" t="str">
        <f>'F23-Div'!B65</f>
        <v>A&amp;G Margin Direct %</v>
      </c>
      <c r="C65" s="720" t="str">
        <f>'F23-Div'!C65</f>
        <v>-Total Direct A&amp;G Exps/Total Sales</v>
      </c>
      <c r="D65" s="17"/>
      <c r="E65" s="12"/>
      <c r="F65" s="12"/>
      <c r="G65" s="12"/>
      <c r="H65" s="16"/>
      <c r="I65" s="12"/>
      <c r="J65" s="12"/>
      <c r="K65" s="12"/>
      <c r="L65" s="12"/>
      <c r="M65" s="410"/>
    </row>
    <row r="66" spans="1:13" x14ac:dyDescent="0.2">
      <c r="A66" s="19">
        <v>6</v>
      </c>
      <c r="B66" s="22" t="str">
        <f>'F23-Div'!B66</f>
        <v>A&amp;G Margin Total %</v>
      </c>
      <c r="C66" s="720" t="str">
        <f>'F23-Div'!C66</f>
        <v>-Total A&amp;G Exps/Total Sales</v>
      </c>
      <c r="D66" s="17"/>
      <c r="E66" s="12"/>
      <c r="F66" s="12"/>
      <c r="G66" s="12"/>
      <c r="H66" s="16"/>
      <c r="I66" s="12"/>
      <c r="J66" s="12"/>
      <c r="K66" s="12"/>
      <c r="L66" s="12"/>
      <c r="M66" s="410"/>
    </row>
    <row r="67" spans="1:13" x14ac:dyDescent="0.2">
      <c r="A67" s="19">
        <v>7</v>
      </c>
      <c r="B67" s="21" t="str">
        <f>'F23-Div'!B67</f>
        <v>Operating Profit Margin %</v>
      </c>
      <c r="C67" s="723" t="str">
        <f>'F23-Div'!C67</f>
        <v>Profits from Operations/Total Sales</v>
      </c>
      <c r="D67" s="17"/>
      <c r="E67" s="12"/>
      <c r="F67" s="12"/>
      <c r="G67" s="12"/>
      <c r="H67" s="12"/>
      <c r="I67" s="12"/>
      <c r="J67" s="12"/>
      <c r="K67" s="12"/>
      <c r="L67" s="12"/>
      <c r="M67" s="402"/>
    </row>
    <row r="68" spans="1:13" x14ac:dyDescent="0.2">
      <c r="A68" s="19">
        <v>8</v>
      </c>
      <c r="B68" s="18" t="str">
        <f>'F23-Div'!B68</f>
        <v>Profit Before Taxation %</v>
      </c>
      <c r="C68" s="722" t="str">
        <f>'F23-Div'!C68</f>
        <v>Profits Before Taxation/Total Sales</v>
      </c>
      <c r="D68" s="17"/>
      <c r="E68" s="12"/>
      <c r="F68" s="12"/>
      <c r="G68" s="12"/>
      <c r="H68" s="16"/>
      <c r="I68" s="12"/>
      <c r="J68" s="12"/>
      <c r="K68" s="12"/>
      <c r="L68" s="12"/>
      <c r="M68" s="410"/>
    </row>
    <row r="69" spans="1:13" x14ac:dyDescent="0.2">
      <c r="A69" s="14">
        <v>9</v>
      </c>
      <c r="B69" s="105" t="str">
        <f>'F23-Div'!B69</f>
        <v>Profit After Taxation %</v>
      </c>
      <c r="C69" s="724" t="str">
        <f>'F23-Div'!C69</f>
        <v>Profits after Taxation/Total Sales</v>
      </c>
      <c r="D69" s="13"/>
      <c r="E69" s="11"/>
      <c r="F69" s="11"/>
      <c r="G69" s="11"/>
      <c r="H69" s="11"/>
      <c r="I69" s="11"/>
      <c r="J69" s="11"/>
      <c r="K69" s="11"/>
      <c r="L69" s="11"/>
      <c r="M69" s="403"/>
    </row>
    <row r="70" spans="1:13" x14ac:dyDescent="0.2">
      <c r="E70" s="8"/>
      <c r="F70" s="8"/>
      <c r="G70" s="8"/>
      <c r="H70" s="9"/>
      <c r="I70" s="8"/>
      <c r="J70" s="8"/>
      <c r="K70" s="8"/>
      <c r="L70" s="8"/>
      <c r="M70" s="7"/>
    </row>
  </sheetData>
  <mergeCells count="6">
    <mergeCell ref="D1:H1"/>
    <mergeCell ref="I1:M1"/>
    <mergeCell ref="A2:B2"/>
    <mergeCell ref="D3:H3"/>
    <mergeCell ref="I3:M3"/>
    <mergeCell ref="A3:B4"/>
  </mergeCells>
  <printOptions horizontalCentered="1" gridLines="1"/>
  <pageMargins left="0.51181102362204722" right="0.23622047244094491" top="0.74803149606299213" bottom="0.23622047244094491" header="0.51181102362204722" footer="0"/>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topLeftCell="A37" zoomScale="112" zoomScaleNormal="106" zoomScaleSheetLayoutView="112" workbookViewId="0">
      <selection activeCell="B1" sqref="B1:D1048576"/>
    </sheetView>
  </sheetViews>
  <sheetFormatPr defaultRowHeight="11.25" x14ac:dyDescent="0.2"/>
  <cols>
    <col min="1" max="1" width="3" style="6" customWidth="1"/>
    <col min="2" max="2" width="23.85546875" style="5" customWidth="1"/>
    <col min="3" max="3" width="53" style="4" customWidth="1"/>
    <col min="4" max="4" width="7.28515625" style="4" customWidth="1"/>
    <col min="5" max="7" width="7.28515625" style="1" customWidth="1"/>
    <col min="8" max="8" width="7.28515625" style="3" customWidth="1"/>
    <col min="9" max="12" width="7.28515625" style="1" customWidth="1"/>
    <col min="13" max="13" width="7.28515625" style="2" customWidth="1"/>
    <col min="14" max="14" width="9.140625" style="1"/>
    <col min="15" max="15" width="9.28515625" style="1" bestFit="1" customWidth="1"/>
    <col min="16" max="16" width="9.140625" style="1"/>
    <col min="17" max="17" width="9.85546875" style="1" bestFit="1" customWidth="1"/>
    <col min="18" max="16384" width="9.140625" style="1"/>
  </cols>
  <sheetData>
    <row r="1" spans="1:14" ht="12.75" customHeight="1" x14ac:dyDescent="0.2">
      <c r="A1" s="84" t="s">
        <v>66</v>
      </c>
      <c r="D1" s="880" t="str">
        <f>'F23-Dep'!D1:H1</f>
        <v>AS OF: 11-Oct-2017</v>
      </c>
      <c r="E1" s="880"/>
      <c r="F1" s="880"/>
      <c r="G1" s="880"/>
      <c r="H1" s="880"/>
      <c r="I1" s="881" t="str">
        <f>'F23-Dep'!I1:M1</f>
        <v>FOR THE MONTH OF:   Sep -17</v>
      </c>
      <c r="J1" s="881"/>
      <c r="K1" s="881"/>
      <c r="L1" s="881"/>
      <c r="M1" s="882"/>
    </row>
    <row r="2" spans="1:14" ht="12.75" customHeight="1" x14ac:dyDescent="0.2">
      <c r="A2" s="883" t="s">
        <v>1448</v>
      </c>
      <c r="B2" s="878"/>
      <c r="C2" s="745"/>
      <c r="D2" s="285" t="s">
        <v>1449</v>
      </c>
      <c r="E2" s="553"/>
      <c r="F2" s="553"/>
      <c r="G2" s="553"/>
      <c r="H2" s="553"/>
      <c r="I2" s="553" t="s">
        <v>63</v>
      </c>
      <c r="J2" s="554"/>
      <c r="K2" s="554"/>
      <c r="L2" s="554"/>
      <c r="M2" s="83"/>
    </row>
    <row r="3" spans="1:14" ht="12.75" customHeight="1" x14ac:dyDescent="0.2">
      <c r="A3" s="885" t="str">
        <f>'F23-Dep'!A3:B3</f>
        <v>F23 P&amp;L ACCOUNT BY DIV/DEPT/SEC/UNITS</v>
      </c>
      <c r="B3" s="886"/>
      <c r="C3" s="746"/>
      <c r="D3" s="867" t="s">
        <v>62</v>
      </c>
      <c r="E3" s="867"/>
      <c r="F3" s="867"/>
      <c r="G3" s="867"/>
      <c r="H3" s="867"/>
      <c r="I3" s="884" t="s">
        <v>61</v>
      </c>
      <c r="J3" s="884"/>
      <c r="K3" s="884"/>
      <c r="L3" s="884"/>
      <c r="M3" s="870"/>
    </row>
    <row r="4" spans="1:14" x14ac:dyDescent="0.2">
      <c r="A4" s="873"/>
      <c r="B4" s="874"/>
      <c r="C4" s="747"/>
      <c r="D4" s="46" t="s">
        <v>106</v>
      </c>
      <c r="E4" s="51" t="s">
        <v>107</v>
      </c>
      <c r="F4" s="51" t="s">
        <v>108</v>
      </c>
      <c r="G4" s="51" t="s">
        <v>109</v>
      </c>
      <c r="H4" s="51" t="s">
        <v>110</v>
      </c>
      <c r="I4" s="51" t="s">
        <v>111</v>
      </c>
      <c r="J4" s="51" t="s">
        <v>112</v>
      </c>
      <c r="K4" s="51" t="s">
        <v>113</v>
      </c>
      <c r="L4" s="51" t="s">
        <v>1294</v>
      </c>
      <c r="M4" s="406" t="s">
        <v>14</v>
      </c>
    </row>
    <row r="5" spans="1:14" x14ac:dyDescent="0.2">
      <c r="A5" s="37">
        <v>1</v>
      </c>
      <c r="B5" s="57" t="str">
        <f>'F23-Dep'!B5</f>
        <v>External Sales</v>
      </c>
      <c r="C5" s="763" t="str">
        <f>'F23-Dep'!C5</f>
        <v>5001 to 5029, 5051 to 5099</v>
      </c>
      <c r="D5" s="17"/>
      <c r="E5" s="54"/>
      <c r="F5" s="56"/>
      <c r="G5" s="54"/>
      <c r="H5" s="55"/>
      <c r="I5" s="54"/>
      <c r="J5" s="54"/>
      <c r="K5" s="54"/>
      <c r="L5" s="54"/>
      <c r="M5" s="396"/>
    </row>
    <row r="6" spans="1:14" x14ac:dyDescent="0.2">
      <c r="A6" s="37">
        <f t="shared" ref="A6:A59" si="0">A5+1</f>
        <v>2</v>
      </c>
      <c r="B6" s="57" t="str">
        <f>'F23-Dep'!B6</f>
        <v>Interco Sales</v>
      </c>
      <c r="C6" s="709" t="str">
        <f>'F23-Dep'!C6</f>
        <v>5031 to 5049</v>
      </c>
      <c r="D6" s="17"/>
      <c r="E6" s="54"/>
      <c r="F6" s="56"/>
      <c r="G6" s="54"/>
      <c r="H6" s="55"/>
      <c r="I6" s="54"/>
      <c r="J6" s="54"/>
      <c r="K6" s="54"/>
      <c r="L6" s="54"/>
      <c r="M6" s="396"/>
    </row>
    <row r="7" spans="1:14" s="31" customFormat="1" x14ac:dyDescent="0.2">
      <c r="A7" s="552">
        <f t="shared" si="0"/>
        <v>3</v>
      </c>
      <c r="B7" s="41" t="str">
        <f>'F23-Dep'!B7</f>
        <v>Total Sales</v>
      </c>
      <c r="C7" s="710" t="str">
        <f>'F23-Dep'!C7</f>
        <v>=SUM(C5:C6)</v>
      </c>
      <c r="D7" s="51"/>
      <c r="E7" s="49"/>
      <c r="F7" s="49"/>
      <c r="G7" s="49"/>
      <c r="H7" s="49"/>
      <c r="I7" s="49"/>
      <c r="J7" s="49"/>
      <c r="K7" s="49"/>
      <c r="L7" s="49"/>
      <c r="M7" s="397"/>
    </row>
    <row r="8" spans="1:14" x14ac:dyDescent="0.2">
      <c r="A8" s="37">
        <f t="shared" si="0"/>
        <v>4</v>
      </c>
      <c r="B8" s="57" t="str">
        <f>'F23-Dep'!B8</f>
        <v>Cost of External Sales</v>
      </c>
      <c r="C8" s="709" t="str">
        <f>'F23-Dep'!C8</f>
        <v>5101 to 5119, 5141 to 5499, 6000 to 6999</v>
      </c>
      <c r="D8" s="17"/>
      <c r="E8" s="54"/>
      <c r="F8" s="56"/>
      <c r="G8" s="54"/>
      <c r="H8" s="55"/>
      <c r="I8" s="54"/>
      <c r="J8" s="54"/>
      <c r="K8" s="54"/>
      <c r="L8" s="54"/>
      <c r="M8" s="396"/>
    </row>
    <row r="9" spans="1:14" x14ac:dyDescent="0.2">
      <c r="A9" s="37">
        <f t="shared" si="0"/>
        <v>5</v>
      </c>
      <c r="B9" s="57" t="str">
        <f>'F23-Dep'!B9</f>
        <v>Cost of Interco Sales</v>
      </c>
      <c r="C9" s="709" t="str">
        <f>'F23-Dep'!C9</f>
        <v>5121 to 5139</v>
      </c>
      <c r="D9" s="17"/>
      <c r="E9" s="54"/>
      <c r="F9" s="56"/>
      <c r="G9" s="54"/>
      <c r="H9" s="55"/>
      <c r="I9" s="54"/>
      <c r="J9" s="54"/>
      <c r="K9" s="54"/>
      <c r="L9" s="54"/>
      <c r="M9" s="396"/>
    </row>
    <row r="10" spans="1:14" s="31" customFormat="1" x14ac:dyDescent="0.2">
      <c r="A10" s="552">
        <f t="shared" si="0"/>
        <v>6</v>
      </c>
      <c r="B10" s="78" t="str">
        <f>'F23-Dep'!B10</f>
        <v>Total Cost of Sales</v>
      </c>
      <c r="C10" s="711" t="str">
        <f>'F23-Dep'!C10</f>
        <v>=SUM(C8:C9)</v>
      </c>
      <c r="D10" s="51"/>
      <c r="E10" s="49"/>
      <c r="F10" s="49"/>
      <c r="G10" s="49"/>
      <c r="H10" s="49"/>
      <c r="I10" s="49"/>
      <c r="J10" s="49"/>
      <c r="K10" s="49"/>
      <c r="L10" s="49"/>
      <c r="M10" s="397"/>
    </row>
    <row r="11" spans="1:14" s="31" customFormat="1" ht="12" thickBot="1" x14ac:dyDescent="0.25">
      <c r="A11" s="394">
        <f t="shared" si="0"/>
        <v>7</v>
      </c>
      <c r="B11" s="79" t="str">
        <f>'F23-Dep'!B11</f>
        <v>Gross Profit</v>
      </c>
      <c r="C11" s="712" t="str">
        <f>'F23-Dep'!C11</f>
        <v>=C7+C10</v>
      </c>
      <c r="D11" s="35"/>
      <c r="E11" s="34"/>
      <c r="F11" s="34"/>
      <c r="G11" s="34"/>
      <c r="H11" s="34"/>
      <c r="I11" s="34"/>
      <c r="J11" s="34"/>
      <c r="K11" s="34"/>
      <c r="L11" s="34"/>
      <c r="M11" s="398"/>
    </row>
    <row r="12" spans="1:14" ht="12" thickTop="1" x14ac:dyDescent="0.2">
      <c r="A12" s="37">
        <f t="shared" si="0"/>
        <v>8</v>
      </c>
      <c r="B12" s="57" t="str">
        <f>'F23-Dep'!B12</f>
        <v>Commission/Mgt Income</v>
      </c>
      <c r="C12" s="709" t="str">
        <f>'F23-Dep'!C12</f>
        <v>5501 to 5509</v>
      </c>
      <c r="D12" s="17"/>
      <c r="E12" s="54"/>
      <c r="F12" s="56"/>
      <c r="G12" s="54"/>
      <c r="H12" s="54"/>
      <c r="I12" s="54"/>
      <c r="J12" s="54"/>
      <c r="K12" s="54"/>
      <c r="L12" s="54"/>
      <c r="M12" s="396"/>
    </row>
    <row r="13" spans="1:14" x14ac:dyDescent="0.2">
      <c r="A13" s="37">
        <f t="shared" si="0"/>
        <v>9</v>
      </c>
      <c r="B13" s="57" t="str">
        <f>'F23-Dep'!B13</f>
        <v>Gain/(Loss) Disposal of FA</v>
      </c>
      <c r="C13" s="709" t="str">
        <f>'F23-Dep'!C13</f>
        <v>9101</v>
      </c>
      <c r="D13" s="17"/>
      <c r="E13" s="54"/>
      <c r="F13" s="56"/>
      <c r="G13" s="54"/>
      <c r="H13" s="54"/>
      <c r="I13" s="54"/>
      <c r="J13" s="54"/>
      <c r="K13" s="54"/>
      <c r="L13" s="54"/>
      <c r="M13" s="396"/>
    </row>
    <row r="14" spans="1:14" ht="11.25" customHeight="1" x14ac:dyDescent="0.2">
      <c r="A14" s="37">
        <f t="shared" si="0"/>
        <v>10</v>
      </c>
      <c r="B14" s="57" t="str">
        <f>'F23-Dep'!B14</f>
        <v>Other Op Income</v>
      </c>
      <c r="C14" s="709" t="str">
        <f>'F23-Dep'!C14</f>
        <v>5511 to 5599, 9001 to 9019, 9041Credit, 9102 to 9109Credit</v>
      </c>
      <c r="D14" s="17"/>
      <c r="E14" s="54"/>
      <c r="F14" s="56"/>
      <c r="G14" s="54"/>
      <c r="H14" s="54"/>
      <c r="I14" s="54"/>
      <c r="J14" s="54"/>
      <c r="K14" s="54"/>
      <c r="L14" s="54"/>
      <c r="M14" s="396"/>
    </row>
    <row r="15" spans="1:14" ht="11.25" customHeight="1" x14ac:dyDescent="0.2">
      <c r="A15" s="37">
        <f t="shared" si="0"/>
        <v>11</v>
      </c>
      <c r="B15" s="57" t="str">
        <f>'F23-Dep'!B15</f>
        <v>Other Op Expense</v>
      </c>
      <c r="C15" s="709" t="str">
        <f>'F23-Dep'!C15</f>
        <v>5601 to 5999, 9041Debit, 9102 to 9109Debit, 9111 to 9115, 9117 to 9199</v>
      </c>
      <c r="D15" s="17"/>
      <c r="E15" s="54"/>
      <c r="F15" s="56"/>
      <c r="G15" s="54"/>
      <c r="H15" s="54"/>
      <c r="I15" s="54"/>
      <c r="J15" s="54"/>
      <c r="K15" s="54"/>
      <c r="L15" s="54"/>
      <c r="M15" s="396"/>
    </row>
    <row r="16" spans="1:14" s="31" customFormat="1" ht="11.25" customHeight="1" x14ac:dyDescent="0.2">
      <c r="A16" s="552">
        <f t="shared" si="0"/>
        <v>12</v>
      </c>
      <c r="B16" s="78" t="str">
        <f>'F23-Dep'!B16</f>
        <v>Total Oth Op Income/ (Exp)</v>
      </c>
      <c r="C16" s="711" t="str">
        <f>'F23-Dep'!C16</f>
        <v>=SUM(C12:C15)</v>
      </c>
      <c r="D16" s="51"/>
      <c r="E16" s="49"/>
      <c r="F16" s="49"/>
      <c r="G16" s="49"/>
      <c r="H16" s="49"/>
      <c r="I16" s="49"/>
      <c r="J16" s="49"/>
      <c r="K16" s="49"/>
      <c r="L16" s="49"/>
      <c r="M16" s="397"/>
      <c r="N16" s="77"/>
    </row>
    <row r="17" spans="1:14" x14ac:dyDescent="0.2">
      <c r="A17" s="37">
        <f t="shared" si="0"/>
        <v>13</v>
      </c>
      <c r="B17" s="57" t="str">
        <f>'F23-Dep'!B17</f>
        <v>Personnel Related Cost</v>
      </c>
      <c r="C17" s="709" t="str">
        <f>'F23-Dep'!C17</f>
        <v>7000 to 7099</v>
      </c>
      <c r="D17" s="17"/>
      <c r="E17" s="54"/>
      <c r="F17" s="56"/>
      <c r="G17" s="54"/>
      <c r="H17" s="54"/>
      <c r="I17" s="54"/>
      <c r="J17" s="54"/>
      <c r="K17" s="54"/>
      <c r="L17" s="54"/>
      <c r="M17" s="396"/>
    </row>
    <row r="18" spans="1:14" x14ac:dyDescent="0.2">
      <c r="A18" s="37">
        <f t="shared" si="0"/>
        <v>14</v>
      </c>
      <c r="B18" s="57" t="str">
        <f>'F23-Dep'!B18</f>
        <v>Carriage/Transportation</v>
      </c>
      <c r="C18" s="709" t="str">
        <f>'F23-Dep'!C18</f>
        <v>7100 to 7199</v>
      </c>
      <c r="D18" s="17"/>
      <c r="E18" s="54"/>
      <c r="F18" s="56"/>
      <c r="G18" s="54"/>
      <c r="H18" s="55"/>
      <c r="I18" s="54"/>
      <c r="J18" s="54"/>
      <c r="K18" s="54"/>
      <c r="L18" s="54"/>
      <c r="M18" s="396"/>
    </row>
    <row r="19" spans="1:14" x14ac:dyDescent="0.2">
      <c r="A19" s="37">
        <f t="shared" si="0"/>
        <v>15</v>
      </c>
      <c r="B19" s="57" t="str">
        <f>'F23-Dep'!B19</f>
        <v>Advertising/Promotion</v>
      </c>
      <c r="C19" s="709" t="str">
        <f>'F23-Dep'!C19</f>
        <v>7200 to 7299</v>
      </c>
      <c r="D19" s="17"/>
      <c r="E19" s="54"/>
      <c r="F19" s="56"/>
      <c r="G19" s="54"/>
      <c r="H19" s="55"/>
      <c r="I19" s="54"/>
      <c r="J19" s="54"/>
      <c r="K19" s="54"/>
      <c r="L19" s="54"/>
      <c r="M19" s="396"/>
    </row>
    <row r="20" spans="1:14" x14ac:dyDescent="0.2">
      <c r="A20" s="37">
        <f t="shared" si="0"/>
        <v>16</v>
      </c>
      <c r="B20" s="57" t="str">
        <f>'F23-Dep'!B20</f>
        <v>Overseas Travelling</v>
      </c>
      <c r="C20" s="709" t="str">
        <f>'F23-Dep'!C20</f>
        <v>7301</v>
      </c>
      <c r="D20" s="17"/>
      <c r="E20" s="54"/>
      <c r="F20" s="56"/>
      <c r="G20" s="54"/>
      <c r="H20" s="55"/>
      <c r="I20" s="54"/>
      <c r="J20" s="54"/>
      <c r="K20" s="54"/>
      <c r="L20" s="54"/>
      <c r="M20" s="396"/>
    </row>
    <row r="21" spans="1:14" x14ac:dyDescent="0.2">
      <c r="A21" s="37">
        <f t="shared" si="0"/>
        <v>17</v>
      </c>
      <c r="B21" s="57" t="str">
        <f>'F23-Dep'!B21</f>
        <v xml:space="preserve">Entertainment </v>
      </c>
      <c r="C21" s="709" t="str">
        <f>'F23-Dep'!C21</f>
        <v>7302 to 7399</v>
      </c>
      <c r="D21" s="17"/>
      <c r="E21" s="54"/>
      <c r="F21" s="56"/>
      <c r="G21" s="54"/>
      <c r="H21" s="55"/>
      <c r="I21" s="54"/>
      <c r="J21" s="54"/>
      <c r="K21" s="54"/>
      <c r="L21" s="54"/>
      <c r="M21" s="396"/>
      <c r="N21" s="4"/>
    </row>
    <row r="22" spans="1:14" x14ac:dyDescent="0.2">
      <c r="A22" s="37">
        <f t="shared" si="0"/>
        <v>18</v>
      </c>
      <c r="B22" s="57" t="str">
        <f>'F23-Dep'!B22</f>
        <v>Equipment Expenses</v>
      </c>
      <c r="C22" s="709" t="str">
        <f>'F23-Dep'!C22</f>
        <v>7400 to 7499</v>
      </c>
      <c r="D22" s="17"/>
      <c r="E22" s="54"/>
      <c r="F22" s="56"/>
      <c r="G22" s="54"/>
      <c r="H22" s="55"/>
      <c r="I22" s="54"/>
      <c r="J22" s="54"/>
      <c r="K22" s="54"/>
      <c r="L22" s="54"/>
      <c r="M22" s="396"/>
      <c r="N22" s="4"/>
    </row>
    <row r="23" spans="1:14" x14ac:dyDescent="0.2">
      <c r="A23" s="37">
        <f t="shared" si="0"/>
        <v>19</v>
      </c>
      <c r="B23" s="57" t="str">
        <f>'F23-Dep'!B23</f>
        <v>Rental/Property Related</v>
      </c>
      <c r="C23" s="709" t="str">
        <f>'F23-Dep'!C23</f>
        <v>7500 to 7599</v>
      </c>
      <c r="D23" s="17"/>
      <c r="E23" s="54"/>
      <c r="F23" s="56"/>
      <c r="G23" s="54"/>
      <c r="H23" s="55"/>
      <c r="I23" s="54"/>
      <c r="J23" s="54"/>
      <c r="K23" s="54"/>
      <c r="L23" s="54"/>
      <c r="M23" s="396"/>
    </row>
    <row r="24" spans="1:14" x14ac:dyDescent="0.2">
      <c r="A24" s="37">
        <f t="shared" si="0"/>
        <v>20</v>
      </c>
      <c r="B24" s="57" t="str">
        <f>'F23-Dep'!B24</f>
        <v>Depn of Fixed Assets</v>
      </c>
      <c r="C24" s="709" t="str">
        <f>'F23-Dep'!C24</f>
        <v>7600 to 7699</v>
      </c>
      <c r="D24" s="17"/>
      <c r="E24" s="54"/>
      <c r="F24" s="56"/>
      <c r="G24" s="54"/>
      <c r="H24" s="55"/>
      <c r="I24" s="54"/>
      <c r="J24" s="54"/>
      <c r="K24" s="54"/>
      <c r="L24" s="54"/>
      <c r="M24" s="396"/>
      <c r="N24" s="4"/>
    </row>
    <row r="25" spans="1:14" x14ac:dyDescent="0.2">
      <c r="A25" s="37">
        <f t="shared" si="0"/>
        <v>21</v>
      </c>
      <c r="B25" s="57" t="str">
        <f>'F23-Dep'!B25</f>
        <v>Stationery/Printing/Telephone</v>
      </c>
      <c r="C25" s="709" t="str">
        <f>'F23-Dep'!C25</f>
        <v>7701 to 7705</v>
      </c>
      <c r="D25" s="17"/>
      <c r="E25" s="54"/>
      <c r="F25" s="56"/>
      <c r="G25" s="54"/>
      <c r="H25" s="55"/>
      <c r="I25" s="54"/>
      <c r="J25" s="54"/>
      <c r="K25" s="54"/>
      <c r="L25" s="54"/>
      <c r="M25" s="396"/>
      <c r="N25" s="4"/>
    </row>
    <row r="26" spans="1:14" x14ac:dyDescent="0.2">
      <c r="A26" s="37">
        <f t="shared" si="0"/>
        <v>22</v>
      </c>
      <c r="B26" s="57" t="str">
        <f>'F23-Dep'!B26</f>
        <v>HO/Interco and Other S&amp;D</v>
      </c>
      <c r="C26" s="709" t="str">
        <f>'F23-Dep'!C26</f>
        <v>7706 to 7999</v>
      </c>
      <c r="D26" s="17"/>
      <c r="E26" s="54"/>
      <c r="F26" s="56"/>
      <c r="G26" s="54"/>
      <c r="H26" s="55"/>
      <c r="I26" s="54"/>
      <c r="J26" s="54"/>
      <c r="K26" s="54"/>
      <c r="L26" s="54"/>
      <c r="M26" s="396"/>
      <c r="N26" s="4"/>
    </row>
    <row r="27" spans="1:14" s="31" customFormat="1" x14ac:dyDescent="0.2">
      <c r="A27" s="552">
        <f t="shared" si="0"/>
        <v>23</v>
      </c>
      <c r="B27" s="41" t="str">
        <f>'F23-Dep'!B27</f>
        <v>Total S&amp;D Expenses</v>
      </c>
      <c r="C27" s="710" t="str">
        <f>'F23-Dep'!C27</f>
        <v>=SUM(C17:C26)</v>
      </c>
      <c r="D27" s="51"/>
      <c r="E27" s="49"/>
      <c r="F27" s="50"/>
      <c r="G27" s="49"/>
      <c r="H27" s="49"/>
      <c r="I27" s="49"/>
      <c r="J27" s="49"/>
      <c r="K27" s="49"/>
      <c r="L27" s="49"/>
      <c r="M27" s="397"/>
      <c r="N27" s="59"/>
    </row>
    <row r="28" spans="1:14" x14ac:dyDescent="0.2">
      <c r="A28" s="37">
        <f t="shared" si="0"/>
        <v>24</v>
      </c>
      <c r="B28" s="57" t="str">
        <f>'F23-Dep'!B28</f>
        <v>Personnel Related Cost</v>
      </c>
      <c r="C28" s="709" t="str">
        <f>'F23-Dep'!C28</f>
        <v>8000 to 8099</v>
      </c>
      <c r="D28" s="17"/>
      <c r="E28" s="54"/>
      <c r="F28" s="56"/>
      <c r="G28" s="54"/>
      <c r="H28" s="55"/>
      <c r="I28" s="54"/>
      <c r="J28" s="54"/>
      <c r="K28" s="54"/>
      <c r="L28" s="54"/>
      <c r="M28" s="396"/>
      <c r="N28" s="58"/>
    </row>
    <row r="29" spans="1:14" x14ac:dyDescent="0.2">
      <c r="A29" s="37">
        <f t="shared" si="0"/>
        <v>25</v>
      </c>
      <c r="B29" s="57" t="str">
        <f>'F23-Dep'!B29</f>
        <v>Overseas Travelling</v>
      </c>
      <c r="C29" s="709" t="str">
        <f>'F23-Dep'!C29</f>
        <v>8101</v>
      </c>
      <c r="D29" s="17"/>
      <c r="E29" s="54"/>
      <c r="F29" s="56"/>
      <c r="G29" s="54"/>
      <c r="H29" s="55"/>
      <c r="I29" s="54"/>
      <c r="J29" s="54"/>
      <c r="K29" s="54"/>
      <c r="L29" s="54"/>
      <c r="M29" s="396"/>
      <c r="N29" s="58"/>
    </row>
    <row r="30" spans="1:14" x14ac:dyDescent="0.2">
      <c r="A30" s="37">
        <f t="shared" si="0"/>
        <v>26</v>
      </c>
      <c r="B30" s="57" t="str">
        <f>'F23-Dep'!B30</f>
        <v>Transportation</v>
      </c>
      <c r="C30" s="709" t="str">
        <f>'F23-Dep'!C30</f>
        <v>8102 to 8149</v>
      </c>
      <c r="D30" s="17"/>
      <c r="E30" s="54"/>
      <c r="F30" s="56"/>
      <c r="G30" s="54"/>
      <c r="H30" s="55"/>
      <c r="I30" s="54"/>
      <c r="J30" s="54"/>
      <c r="K30" s="54"/>
      <c r="L30" s="54"/>
      <c r="M30" s="396"/>
      <c r="N30" s="58"/>
    </row>
    <row r="31" spans="1:14" x14ac:dyDescent="0.2">
      <c r="A31" s="37">
        <f t="shared" si="0"/>
        <v>27</v>
      </c>
      <c r="B31" s="57" t="str">
        <f>'F23-Dep'!B31</f>
        <v>Entertainment &amp; Donations</v>
      </c>
      <c r="C31" s="709" t="str">
        <f>'F23-Dep'!C31</f>
        <v>8150 to 8199</v>
      </c>
      <c r="D31" s="17"/>
      <c r="E31" s="54"/>
      <c r="F31" s="56"/>
      <c r="G31" s="54"/>
      <c r="H31" s="55"/>
      <c r="I31" s="54"/>
      <c r="J31" s="54"/>
      <c r="K31" s="54"/>
      <c r="L31" s="54"/>
      <c r="M31" s="396"/>
      <c r="N31" s="58"/>
    </row>
    <row r="32" spans="1:14" x14ac:dyDescent="0.2">
      <c r="A32" s="37">
        <f t="shared" si="0"/>
        <v>28</v>
      </c>
      <c r="B32" s="57" t="str">
        <f>'F23-Dep'!B32</f>
        <v>Equipment Expenses</v>
      </c>
      <c r="C32" s="709" t="str">
        <f>'F23-Dep'!C32</f>
        <v>8200 to 8299</v>
      </c>
      <c r="D32" s="17"/>
      <c r="E32" s="54"/>
      <c r="F32" s="56"/>
      <c r="G32" s="54"/>
      <c r="H32" s="55"/>
      <c r="I32" s="54"/>
      <c r="J32" s="54"/>
      <c r="K32" s="54"/>
      <c r="L32" s="54"/>
      <c r="M32" s="396"/>
      <c r="N32" s="58"/>
    </row>
    <row r="33" spans="1:14" x14ac:dyDescent="0.2">
      <c r="A33" s="37">
        <f t="shared" si="0"/>
        <v>29</v>
      </c>
      <c r="B33" s="57" t="str">
        <f>'F23-Dep'!B33</f>
        <v>Rental/Property Related</v>
      </c>
      <c r="C33" s="709" t="str">
        <f>'F23-Dep'!C33</f>
        <v>8300 to 8399</v>
      </c>
      <c r="D33" s="17"/>
      <c r="E33" s="54"/>
      <c r="F33" s="56"/>
      <c r="G33" s="54"/>
      <c r="H33" s="55"/>
      <c r="I33" s="54"/>
      <c r="J33" s="54"/>
      <c r="K33" s="54"/>
      <c r="L33" s="54"/>
      <c r="M33" s="396"/>
      <c r="N33" s="58"/>
    </row>
    <row r="34" spans="1:14" x14ac:dyDescent="0.2">
      <c r="A34" s="37">
        <f t="shared" si="0"/>
        <v>30</v>
      </c>
      <c r="B34" s="57" t="str">
        <f>'F23-Dep'!B34</f>
        <v>Depn of Fixed Assets</v>
      </c>
      <c r="C34" s="709" t="str">
        <f>'F23-Dep'!C34</f>
        <v>8400 to 8499</v>
      </c>
      <c r="D34" s="17"/>
      <c r="E34" s="54"/>
      <c r="F34" s="56"/>
      <c r="G34" s="54"/>
      <c r="H34" s="55"/>
      <c r="I34" s="54"/>
      <c r="J34" s="54"/>
      <c r="K34" s="54"/>
      <c r="L34" s="54"/>
      <c r="M34" s="396"/>
      <c r="N34" s="58"/>
    </row>
    <row r="35" spans="1:14" x14ac:dyDescent="0.2">
      <c r="A35" s="37">
        <f t="shared" si="0"/>
        <v>31</v>
      </c>
      <c r="B35" s="57" t="str">
        <f>'F23-Dep'!B35</f>
        <v>Stationery/Printing/Telephone</v>
      </c>
      <c r="C35" s="709" t="str">
        <f>'F23-Dep'!C35</f>
        <v>8500 to 8599</v>
      </c>
      <c r="D35" s="17"/>
      <c r="E35" s="54"/>
      <c r="F35" s="56"/>
      <c r="G35" s="54"/>
      <c r="H35" s="55"/>
      <c r="I35" s="54"/>
      <c r="J35" s="54"/>
      <c r="K35" s="54"/>
      <c r="L35" s="54"/>
      <c r="M35" s="396"/>
      <c r="N35" s="58"/>
    </row>
    <row r="36" spans="1:14" x14ac:dyDescent="0.2">
      <c r="A36" s="37">
        <f t="shared" si="0"/>
        <v>32</v>
      </c>
      <c r="B36" s="57" t="str">
        <f>'F23-Dep'!B36</f>
        <v>Legal/Prof Fees/Ins/Safety</v>
      </c>
      <c r="C36" s="709" t="str">
        <f>'F23-Dep'!C36</f>
        <v>8600 to 8649</v>
      </c>
      <c r="D36" s="17"/>
      <c r="E36" s="54"/>
      <c r="F36" s="56"/>
      <c r="G36" s="54"/>
      <c r="H36" s="55"/>
      <c r="I36" s="54"/>
      <c r="J36" s="54"/>
      <c r="K36" s="54"/>
      <c r="L36" s="54"/>
      <c r="M36" s="396"/>
      <c r="N36" s="58"/>
    </row>
    <row r="37" spans="1:14" x14ac:dyDescent="0.2">
      <c r="A37" s="37">
        <f t="shared" si="0"/>
        <v>33</v>
      </c>
      <c r="B37" s="57" t="str">
        <f>'F23-Dep'!B37</f>
        <v>IT System Exps</v>
      </c>
      <c r="C37" s="709" t="str">
        <f>'F23-Dep'!C37</f>
        <v>8651</v>
      </c>
      <c r="D37" s="17"/>
      <c r="E37" s="54"/>
      <c r="F37" s="56"/>
      <c r="G37" s="54"/>
      <c r="H37" s="55"/>
      <c r="I37" s="54"/>
      <c r="J37" s="54"/>
      <c r="K37" s="54"/>
      <c r="L37" s="54"/>
      <c r="M37" s="396"/>
      <c r="N37" s="58"/>
    </row>
    <row r="38" spans="1:14" x14ac:dyDescent="0.2">
      <c r="A38" s="37">
        <f t="shared" si="0"/>
        <v>34</v>
      </c>
      <c r="B38" s="57" t="str">
        <f>'F23-Dep'!B38</f>
        <v>Purchasing Exps</v>
      </c>
      <c r="C38" s="709" t="str">
        <f>'F23-Dep'!C38</f>
        <v>8653</v>
      </c>
      <c r="D38" s="17"/>
      <c r="E38" s="54"/>
      <c r="F38" s="56"/>
      <c r="G38" s="54"/>
      <c r="H38" s="55"/>
      <c r="I38" s="54"/>
      <c r="J38" s="54"/>
      <c r="K38" s="54"/>
      <c r="L38" s="54"/>
      <c r="M38" s="396"/>
      <c r="N38" s="58"/>
    </row>
    <row r="39" spans="1:14" s="31" customFormat="1" x14ac:dyDescent="0.2">
      <c r="A39" s="552">
        <f t="shared" si="0"/>
        <v>35</v>
      </c>
      <c r="B39" s="41" t="str">
        <f>'F23-Dep'!B39</f>
        <v xml:space="preserve">A&amp;G Direct Expenses </v>
      </c>
      <c r="C39" s="751" t="str">
        <f>'F23-Dep'!C39</f>
        <v>=SUM(C28:C38)</v>
      </c>
      <c r="D39" s="46"/>
      <c r="E39" s="49"/>
      <c r="F39" s="50"/>
      <c r="G39" s="49"/>
      <c r="H39" s="49"/>
      <c r="I39" s="49"/>
      <c r="J39" s="49"/>
      <c r="K39" s="49"/>
      <c r="L39" s="49"/>
      <c r="M39" s="397"/>
      <c r="N39" s="65"/>
    </row>
    <row r="40" spans="1:14" s="31" customFormat="1" x14ac:dyDescent="0.2">
      <c r="A40" s="37">
        <f t="shared" si="0"/>
        <v>36</v>
      </c>
      <c r="B40" s="57" t="str">
        <f>'F23-Dep'!B40</f>
        <v>Prov for Stock Obso/Pilferage</v>
      </c>
      <c r="C40" s="750" t="str">
        <f>'F23-Dep'!C40</f>
        <v>8701 to 8702</v>
      </c>
      <c r="D40" s="73"/>
      <c r="E40" s="43"/>
      <c r="F40" s="72"/>
      <c r="G40" s="43"/>
      <c r="H40" s="43"/>
      <c r="I40" s="43"/>
      <c r="J40" s="43"/>
      <c r="K40" s="43"/>
      <c r="L40" s="43"/>
      <c r="M40" s="400"/>
      <c r="N40" s="65"/>
    </row>
    <row r="41" spans="1:14" s="31" customFormat="1" x14ac:dyDescent="0.2">
      <c r="A41" s="37">
        <f t="shared" si="0"/>
        <v>37</v>
      </c>
      <c r="B41" s="57" t="str">
        <f>'F23-Dep'!B41</f>
        <v>Prov for Doubtful Debts</v>
      </c>
      <c r="C41" s="750" t="str">
        <f>'F23-Dep'!C41</f>
        <v>8703</v>
      </c>
      <c r="D41" s="73"/>
      <c r="E41" s="43"/>
      <c r="F41" s="72"/>
      <c r="G41" s="43"/>
      <c r="H41" s="43"/>
      <c r="I41" s="43"/>
      <c r="J41" s="43"/>
      <c r="K41" s="43"/>
      <c r="L41" s="43"/>
      <c r="M41" s="400"/>
      <c r="N41" s="65"/>
    </row>
    <row r="42" spans="1:14" s="31" customFormat="1" x14ac:dyDescent="0.2">
      <c r="A42" s="37">
        <f t="shared" si="0"/>
        <v>38</v>
      </c>
      <c r="B42" s="57" t="str">
        <f>'F23-Dep'!B42</f>
        <v xml:space="preserve">Bad Debts Recovered </v>
      </c>
      <c r="C42" s="750" t="str">
        <f>'F23-Dep'!C42</f>
        <v>8704</v>
      </c>
      <c r="D42" s="73"/>
      <c r="E42" s="43"/>
      <c r="F42" s="72"/>
      <c r="G42" s="43"/>
      <c r="H42" s="43"/>
      <c r="I42" s="43"/>
      <c r="J42" s="43"/>
      <c r="K42" s="43"/>
      <c r="L42" s="43"/>
      <c r="M42" s="400"/>
      <c r="N42" s="65"/>
    </row>
    <row r="43" spans="1:14" s="31" customFormat="1" x14ac:dyDescent="0.2">
      <c r="A43" s="37">
        <f t="shared" si="0"/>
        <v>39</v>
      </c>
      <c r="B43" s="57" t="str">
        <f>'F23-Dep'!B43</f>
        <v>Stocks Written Down/Written Off</v>
      </c>
      <c r="C43" s="750" t="str">
        <f>'F23-Dep'!C43</f>
        <v>8705</v>
      </c>
      <c r="D43" s="73"/>
      <c r="E43" s="43"/>
      <c r="F43" s="72"/>
      <c r="G43" s="43"/>
      <c r="H43" s="43"/>
      <c r="I43" s="43"/>
      <c r="J43" s="43"/>
      <c r="K43" s="43"/>
      <c r="L43" s="43"/>
      <c r="M43" s="400"/>
      <c r="N43" s="65"/>
    </row>
    <row r="44" spans="1:14" s="31" customFormat="1" x14ac:dyDescent="0.2">
      <c r="A44" s="37">
        <f t="shared" si="0"/>
        <v>40</v>
      </c>
      <c r="B44" s="57" t="str">
        <f>'F23-Dep'!B44</f>
        <v>GST/VAT Expense</v>
      </c>
      <c r="C44" s="750" t="str">
        <f>'F23-Dep'!C44</f>
        <v>8711 to 8712</v>
      </c>
      <c r="D44" s="73"/>
      <c r="E44" s="43"/>
      <c r="F44" s="72"/>
      <c r="G44" s="43"/>
      <c r="H44" s="43"/>
      <c r="I44" s="43"/>
      <c r="J44" s="43"/>
      <c r="K44" s="43"/>
      <c r="L44" s="43"/>
      <c r="M44" s="400"/>
      <c r="N44" s="65"/>
    </row>
    <row r="45" spans="1:14" s="31" customFormat="1" x14ac:dyDescent="0.2">
      <c r="A45" s="269">
        <f t="shared" si="0"/>
        <v>41</v>
      </c>
      <c r="B45" s="441" t="str">
        <f>'F23-Dep'!B45</f>
        <v xml:space="preserve">HO/Interco Alloc </v>
      </c>
      <c r="C45" s="764" t="str">
        <f>'F23-Dep'!C45</f>
        <v>8798 to 8799</v>
      </c>
      <c r="D45" s="75"/>
      <c r="E45" s="43"/>
      <c r="F45" s="72"/>
      <c r="G45" s="43"/>
      <c r="H45" s="43"/>
      <c r="I45" s="43"/>
      <c r="J45" s="43"/>
      <c r="K45" s="43"/>
      <c r="L45" s="43"/>
      <c r="M45" s="400"/>
      <c r="N45" s="65"/>
    </row>
    <row r="46" spans="1:14" s="31" customFormat="1" x14ac:dyDescent="0.2">
      <c r="A46" s="696">
        <f t="shared" si="0"/>
        <v>42</v>
      </c>
      <c r="B46" s="41" t="str">
        <f>'F23-Dep'!B46</f>
        <v xml:space="preserve">Other A&amp;G Expenses </v>
      </c>
      <c r="C46" s="751" t="str">
        <f>'F23-Dep'!C46</f>
        <v>=SUM(C40:C45)</v>
      </c>
      <c r="D46" s="46"/>
      <c r="E46" s="49"/>
      <c r="F46" s="50"/>
      <c r="G46" s="49"/>
      <c r="H46" s="49"/>
      <c r="I46" s="49"/>
      <c r="J46" s="49"/>
      <c r="K46" s="49"/>
      <c r="L46" s="49"/>
      <c r="M46" s="397"/>
      <c r="N46" s="65"/>
    </row>
    <row r="47" spans="1:14" s="31" customFormat="1" x14ac:dyDescent="0.2">
      <c r="A47" s="552">
        <f t="shared" si="0"/>
        <v>43</v>
      </c>
      <c r="B47" s="41" t="str">
        <f>'F23-Dep'!B47</f>
        <v>Total A&amp;G Expenses</v>
      </c>
      <c r="C47" s="751" t="str">
        <f>'F23-Dep'!C47</f>
        <v>=C39+C46</v>
      </c>
      <c r="D47" s="46"/>
      <c r="E47" s="49"/>
      <c r="F47" s="50"/>
      <c r="G47" s="49"/>
      <c r="H47" s="49"/>
      <c r="I47" s="49"/>
      <c r="J47" s="49"/>
      <c r="K47" s="49"/>
      <c r="L47" s="49"/>
      <c r="M47" s="397"/>
      <c r="N47" s="65"/>
    </row>
    <row r="48" spans="1:14" s="31" customFormat="1" ht="12" thickBot="1" x14ac:dyDescent="0.25">
      <c r="A48" s="394">
        <f t="shared" si="0"/>
        <v>44</v>
      </c>
      <c r="B48" s="71" t="str">
        <f>'F23-Dep'!B48</f>
        <v>Profit from Operations</v>
      </c>
      <c r="C48" s="765" t="str">
        <f>'F23-Dep'!C48</f>
        <v>=C11+C16+C27+C47</v>
      </c>
      <c r="D48" s="70"/>
      <c r="E48" s="69"/>
      <c r="F48" s="68"/>
      <c r="G48" s="67"/>
      <c r="H48" s="67"/>
      <c r="I48" s="67"/>
      <c r="J48" s="67"/>
      <c r="K48" s="67"/>
      <c r="L48" s="67"/>
      <c r="M48" s="407"/>
      <c r="N48" s="65"/>
    </row>
    <row r="49" spans="1:17" s="31" customFormat="1" ht="12" thickTop="1" x14ac:dyDescent="0.2">
      <c r="A49" s="37">
        <f t="shared" si="0"/>
        <v>45</v>
      </c>
      <c r="B49" s="64" t="str">
        <f>'F23-Dep'!B49</f>
        <v>Interest Income</v>
      </c>
      <c r="C49" s="709" t="str">
        <f>'F23-Dep'!C49</f>
        <v>9023</v>
      </c>
      <c r="D49" s="63"/>
      <c r="E49" s="62"/>
      <c r="F49" s="61"/>
      <c r="G49" s="43"/>
      <c r="H49" s="43"/>
      <c r="I49" s="43"/>
      <c r="J49" s="43"/>
      <c r="K49" s="43"/>
      <c r="L49" s="43"/>
      <c r="M49" s="400"/>
      <c r="N49" s="59"/>
    </row>
    <row r="50" spans="1:17" x14ac:dyDescent="0.2">
      <c r="A50" s="37">
        <f t="shared" si="0"/>
        <v>46</v>
      </c>
      <c r="B50" s="57" t="str">
        <f>'F23-Dep'!B50</f>
        <v>Interest (Expense)</v>
      </c>
      <c r="C50" s="709" t="str">
        <f>'F23-Dep'!C50</f>
        <v>8801 to 8809</v>
      </c>
      <c r="D50" s="17"/>
      <c r="E50" s="54"/>
      <c r="F50" s="56"/>
      <c r="G50" s="54"/>
      <c r="H50" s="55"/>
      <c r="I50" s="54"/>
      <c r="J50" s="54"/>
      <c r="K50" s="54"/>
      <c r="L50" s="54"/>
      <c r="M50" s="396"/>
      <c r="N50" s="58"/>
    </row>
    <row r="51" spans="1:17" x14ac:dyDescent="0.2">
      <c r="A51" s="37">
        <f t="shared" si="0"/>
        <v>47</v>
      </c>
      <c r="B51" s="57" t="str">
        <f>'F23-Dep'!B51</f>
        <v>Derivatives Gain/(Loss)</v>
      </c>
      <c r="C51" s="709" t="str">
        <f>'F23-Dep'!C51</f>
        <v>8821 to 8822</v>
      </c>
      <c r="D51" s="17"/>
      <c r="E51" s="54"/>
      <c r="F51" s="56"/>
      <c r="G51" s="54"/>
      <c r="H51" s="55"/>
      <c r="I51" s="54"/>
      <c r="J51" s="54"/>
      <c r="K51" s="54"/>
      <c r="L51" s="54"/>
      <c r="M51" s="396"/>
      <c r="N51" s="58"/>
    </row>
    <row r="52" spans="1:17" x14ac:dyDescent="0.2">
      <c r="A52" s="37">
        <f t="shared" si="0"/>
        <v>48</v>
      </c>
      <c r="B52" s="57" t="str">
        <f>'F23-Dep'!B52</f>
        <v>Forex Gain/(Loss)</v>
      </c>
      <c r="C52" s="709" t="str">
        <f>'F23-Dep'!C52</f>
        <v>8831 to 8832</v>
      </c>
      <c r="D52" s="17"/>
      <c r="E52" s="54"/>
      <c r="F52" s="56"/>
      <c r="G52" s="54"/>
      <c r="H52" s="55"/>
      <c r="I52" s="54"/>
      <c r="J52" s="54"/>
      <c r="K52" s="54"/>
      <c r="L52" s="54"/>
      <c r="M52" s="396"/>
      <c r="N52" s="58"/>
    </row>
    <row r="53" spans="1:17" x14ac:dyDescent="0.2">
      <c r="A53" s="37">
        <f t="shared" si="0"/>
        <v>49</v>
      </c>
      <c r="B53" s="57" t="str">
        <f>'F23-Dep'!B53</f>
        <v>Dividend Income</v>
      </c>
      <c r="C53" s="709" t="str">
        <f>'F23-Dep'!C53</f>
        <v>9021</v>
      </c>
      <c r="D53" s="17"/>
      <c r="E53" s="54"/>
      <c r="F53" s="56"/>
      <c r="G53" s="54"/>
      <c r="H53" s="55"/>
      <c r="I53" s="54"/>
      <c r="J53" s="54"/>
      <c r="K53" s="54"/>
      <c r="L53" s="54"/>
      <c r="M53" s="396"/>
    </row>
    <row r="54" spans="1:17" x14ac:dyDescent="0.2">
      <c r="A54" s="37">
        <f t="shared" si="0"/>
        <v>50</v>
      </c>
      <c r="B54" s="57" t="str">
        <f>'F23-Dep'!B54</f>
        <v>Other Non-Op Income/(Exp)</v>
      </c>
      <c r="C54" s="709" t="str">
        <f>'F23-Dep'!C54</f>
        <v>9031, 9116, 9200 to 9211</v>
      </c>
      <c r="D54" s="17"/>
      <c r="E54" s="54"/>
      <c r="F54" s="56"/>
      <c r="G54" s="54"/>
      <c r="H54" s="55"/>
      <c r="I54" s="54"/>
      <c r="J54" s="54"/>
      <c r="K54" s="54"/>
      <c r="L54" s="54"/>
      <c r="M54" s="396"/>
    </row>
    <row r="55" spans="1:17" s="31" customFormat="1" x14ac:dyDescent="0.2">
      <c r="A55" s="552">
        <f t="shared" si="0"/>
        <v>51</v>
      </c>
      <c r="B55" s="52" t="str">
        <f>'F23-Dep'!B55</f>
        <v>Total Non-Op Income/(Exp)</v>
      </c>
      <c r="C55" s="716" t="str">
        <f>'F23-Dep'!C55</f>
        <v>=SUM(C49:C54)</v>
      </c>
      <c r="D55" s="51"/>
      <c r="E55" s="49"/>
      <c r="F55" s="50"/>
      <c r="G55" s="49"/>
      <c r="H55" s="49"/>
      <c r="I55" s="49"/>
      <c r="J55" s="49"/>
      <c r="K55" s="49"/>
      <c r="L55" s="49"/>
      <c r="M55" s="397"/>
    </row>
    <row r="56" spans="1:17" s="31" customFormat="1" x14ac:dyDescent="0.2">
      <c r="A56" s="552">
        <f t="shared" si="0"/>
        <v>52</v>
      </c>
      <c r="B56" s="47" t="str">
        <f>'F23-Dep'!B56</f>
        <v>Profit Before Taxation</v>
      </c>
      <c r="C56" s="717" t="str">
        <f>'F23-Dep'!C56</f>
        <v>=C48+C55</v>
      </c>
      <c r="D56" s="46"/>
      <c r="E56" s="45"/>
      <c r="F56" s="44"/>
      <c r="G56" s="43"/>
      <c r="H56" s="43"/>
      <c r="I56" s="43"/>
      <c r="J56" s="43"/>
      <c r="K56" s="43"/>
      <c r="L56" s="43"/>
      <c r="M56" s="400"/>
    </row>
    <row r="57" spans="1:17" x14ac:dyDescent="0.2">
      <c r="A57" s="552">
        <f t="shared" si="0"/>
        <v>53</v>
      </c>
      <c r="B57" s="41" t="str">
        <f>'F23-Dep'!B57</f>
        <v>Less: Taxation</v>
      </c>
      <c r="C57" s="766" t="str">
        <f>'F23-Dep'!C57</f>
        <v xml:space="preserve">9400 to 9999 </v>
      </c>
      <c r="D57" s="17"/>
      <c r="E57" s="39"/>
      <c r="F57" s="40"/>
      <c r="G57" s="39"/>
      <c r="H57" s="39"/>
      <c r="I57" s="39"/>
      <c r="J57" s="39"/>
      <c r="K57" s="39"/>
      <c r="L57" s="39"/>
      <c r="M57" s="401"/>
    </row>
    <row r="58" spans="1:17" s="31" customFormat="1" ht="12" thickBot="1" x14ac:dyDescent="0.25">
      <c r="A58" s="394">
        <f t="shared" si="0"/>
        <v>54</v>
      </c>
      <c r="B58" s="36" t="str">
        <f>'F23-Dep'!B58</f>
        <v>Profits After Taxation</v>
      </c>
      <c r="C58" s="718" t="str">
        <f>'F23-Dep'!C58</f>
        <v>=C56+C57</v>
      </c>
      <c r="D58" s="35"/>
      <c r="E58" s="34"/>
      <c r="F58" s="34"/>
      <c r="G58" s="34"/>
      <c r="H58" s="34"/>
      <c r="I58" s="34"/>
      <c r="J58" s="34"/>
      <c r="K58" s="34"/>
      <c r="L58" s="34"/>
      <c r="M58" s="398"/>
      <c r="O58" s="32"/>
      <c r="P58" s="32"/>
      <c r="Q58" s="32"/>
    </row>
    <row r="59" spans="1:17" s="31" customFormat="1" ht="12" thickTop="1" x14ac:dyDescent="0.2">
      <c r="A59" s="414">
        <f t="shared" si="0"/>
        <v>55</v>
      </c>
      <c r="B59" s="485" t="str">
        <f>'F23-Dep'!B59</f>
        <v>Dividend Declared</v>
      </c>
      <c r="C59" s="756" t="str">
        <f>'F23-Dep'!C59</f>
        <v>4902</v>
      </c>
      <c r="D59" s="482"/>
      <c r="E59" s="482"/>
      <c r="F59" s="482"/>
      <c r="G59" s="482"/>
      <c r="H59" s="482"/>
      <c r="I59" s="482"/>
      <c r="J59" s="482"/>
      <c r="K59" s="482"/>
      <c r="L59" s="483"/>
      <c r="M59" s="483"/>
      <c r="N59" s="32"/>
      <c r="O59" s="32"/>
      <c r="P59" s="32"/>
    </row>
    <row r="60" spans="1:17" x14ac:dyDescent="0.2">
      <c r="A60" s="395"/>
      <c r="B60" s="442" t="str">
        <f>'F23-Dep'!B60</f>
        <v>Performance Indicators</v>
      </c>
      <c r="C60" s="761"/>
      <c r="D60" s="46" t="s">
        <v>106</v>
      </c>
      <c r="E60" s="51" t="s">
        <v>107</v>
      </c>
      <c r="F60" s="51" t="s">
        <v>108</v>
      </c>
      <c r="G60" s="51" t="s">
        <v>109</v>
      </c>
      <c r="H60" s="51" t="s">
        <v>110</v>
      </c>
      <c r="I60" s="51" t="s">
        <v>111</v>
      </c>
      <c r="J60" s="51" t="s">
        <v>112</v>
      </c>
      <c r="K60" s="51" t="s">
        <v>113</v>
      </c>
      <c r="L60" s="51" t="s">
        <v>1294</v>
      </c>
      <c r="M60" s="408" t="s">
        <v>14</v>
      </c>
    </row>
    <row r="61" spans="1:17" x14ac:dyDescent="0.2">
      <c r="A61" s="37">
        <f t="shared" ref="A61" si="1">A60+1</f>
        <v>1</v>
      </c>
      <c r="B61" s="29" t="str">
        <f>'F23-Dep'!B61</f>
        <v>Gross Profits Margin %</v>
      </c>
      <c r="C61" s="762" t="str">
        <f>'F23-Dep'!C61</f>
        <v>Gross Profits/Total Sales</v>
      </c>
      <c r="D61" s="28"/>
      <c r="E61" s="26"/>
      <c r="F61" s="26"/>
      <c r="G61" s="27"/>
      <c r="H61" s="16"/>
      <c r="I61" s="26"/>
      <c r="J61" s="26"/>
      <c r="K61" s="26"/>
      <c r="L61" s="26"/>
      <c r="M61" s="409"/>
    </row>
    <row r="62" spans="1:17" x14ac:dyDescent="0.2">
      <c r="A62" s="19">
        <f>A61+1</f>
        <v>2</v>
      </c>
      <c r="B62" s="24" t="str">
        <f>'F23-Dep'!B62</f>
        <v>- External Sales GP %</v>
      </c>
      <c r="C62" s="721" t="str">
        <f>'F23-Dep'!C62</f>
        <v>(External Sales - Cost of External Sales)/External Sales</v>
      </c>
      <c r="D62" s="17"/>
      <c r="E62" s="12"/>
      <c r="F62" s="12"/>
      <c r="G62" s="23"/>
      <c r="H62" s="16"/>
      <c r="I62" s="12"/>
      <c r="J62" s="12"/>
      <c r="K62" s="12"/>
      <c r="L62" s="12"/>
      <c r="M62" s="410"/>
    </row>
    <row r="63" spans="1:17" x14ac:dyDescent="0.2">
      <c r="A63" s="19">
        <v>3</v>
      </c>
      <c r="B63" s="24" t="str">
        <f>'F23-Dep'!B63</f>
        <v>- Interco Sales GP %</v>
      </c>
      <c r="C63" s="721" t="str">
        <f>'F23-Dep'!C63</f>
        <v>(Interco Sales - Cost of Interco Sales)/Interco Sales</v>
      </c>
      <c r="D63" s="17"/>
      <c r="E63" s="12"/>
      <c r="F63" s="12"/>
      <c r="G63" s="23"/>
      <c r="H63" s="16"/>
      <c r="I63" s="12"/>
      <c r="J63" s="12"/>
      <c r="K63" s="12"/>
      <c r="L63" s="12"/>
      <c r="M63" s="410"/>
    </row>
    <row r="64" spans="1:17" x14ac:dyDescent="0.2">
      <c r="A64" s="19">
        <v>4</v>
      </c>
      <c r="B64" s="18" t="str">
        <f>'F23-Dep'!B64</f>
        <v>Selling &amp; Dist Margin %</v>
      </c>
      <c r="C64" s="722" t="str">
        <f>'F23-Dep'!C64</f>
        <v>-Total S&amp;D Exps/Total Sales</v>
      </c>
      <c r="D64" s="17"/>
      <c r="E64" s="12"/>
      <c r="F64" s="12"/>
      <c r="G64" s="12"/>
      <c r="H64" s="16"/>
      <c r="I64" s="12"/>
      <c r="J64" s="12"/>
      <c r="K64" s="12"/>
      <c r="L64" s="12"/>
      <c r="M64" s="410"/>
    </row>
    <row r="65" spans="1:13" x14ac:dyDescent="0.2">
      <c r="A65" s="19">
        <v>5</v>
      </c>
      <c r="B65" s="22" t="str">
        <f>'F23-Dep'!B65</f>
        <v>A&amp;G Margin Direct %</v>
      </c>
      <c r="C65" s="720" t="str">
        <f>'F23-Dep'!C65</f>
        <v>-Total Direct A&amp;G Exps/Total Sales</v>
      </c>
      <c r="D65" s="17"/>
      <c r="E65" s="12"/>
      <c r="F65" s="12"/>
      <c r="G65" s="12"/>
      <c r="H65" s="16"/>
      <c r="I65" s="12"/>
      <c r="J65" s="12"/>
      <c r="K65" s="12"/>
      <c r="L65" s="12"/>
      <c r="M65" s="410"/>
    </row>
    <row r="66" spans="1:13" x14ac:dyDescent="0.2">
      <c r="A66" s="19">
        <v>6</v>
      </c>
      <c r="B66" s="22" t="str">
        <f>'F23-Dep'!B66</f>
        <v>A&amp;G Margin Total %</v>
      </c>
      <c r="C66" s="720" t="str">
        <f>'F23-Dep'!C66</f>
        <v>-Total A&amp;G Exps/Total Sales</v>
      </c>
      <c r="D66" s="17"/>
      <c r="E66" s="12"/>
      <c r="F66" s="12"/>
      <c r="G66" s="12"/>
      <c r="H66" s="16"/>
      <c r="I66" s="12"/>
      <c r="J66" s="12"/>
      <c r="K66" s="12"/>
      <c r="L66" s="12"/>
      <c r="M66" s="410"/>
    </row>
    <row r="67" spans="1:13" x14ac:dyDescent="0.2">
      <c r="A67" s="19">
        <v>7</v>
      </c>
      <c r="B67" s="21" t="str">
        <f>'F23-Dep'!B67</f>
        <v>Operating Profit Margin %</v>
      </c>
      <c r="C67" s="723" t="str">
        <f>'F23-Dep'!C67</f>
        <v>Profits from Operations/Total Sales</v>
      </c>
      <c r="D67" s="17"/>
      <c r="E67" s="12"/>
      <c r="F67" s="12"/>
      <c r="G67" s="12"/>
      <c r="H67" s="12"/>
      <c r="I67" s="12"/>
      <c r="J67" s="12"/>
      <c r="K67" s="12"/>
      <c r="L67" s="12"/>
      <c r="M67" s="402"/>
    </row>
    <row r="68" spans="1:13" x14ac:dyDescent="0.2">
      <c r="A68" s="19">
        <v>8</v>
      </c>
      <c r="B68" s="18" t="str">
        <f>'F23-Dep'!B68</f>
        <v>Profit Before Taxation %</v>
      </c>
      <c r="C68" s="722" t="str">
        <f>'F23-Dep'!C68</f>
        <v>Profits Before Taxation/Total Sales</v>
      </c>
      <c r="D68" s="17"/>
      <c r="E68" s="12"/>
      <c r="F68" s="12"/>
      <c r="G68" s="12"/>
      <c r="H68" s="16"/>
      <c r="I68" s="12"/>
      <c r="J68" s="12"/>
      <c r="K68" s="12"/>
      <c r="L68" s="12"/>
      <c r="M68" s="410"/>
    </row>
    <row r="69" spans="1:13" x14ac:dyDescent="0.2">
      <c r="A69" s="14">
        <v>9</v>
      </c>
      <c r="B69" s="105" t="str">
        <f>'F23-Dep'!B69</f>
        <v>Profit After Taxation %</v>
      </c>
      <c r="C69" s="724" t="str">
        <f>'F23-Dep'!C69</f>
        <v>Profits after Taxation/Total Sales</v>
      </c>
      <c r="D69" s="13"/>
      <c r="E69" s="11"/>
      <c r="F69" s="11"/>
      <c r="G69" s="11"/>
      <c r="H69" s="11"/>
      <c r="I69" s="11"/>
      <c r="J69" s="11"/>
      <c r="K69" s="11"/>
      <c r="L69" s="11"/>
      <c r="M69" s="403"/>
    </row>
    <row r="70" spans="1:13" x14ac:dyDescent="0.2">
      <c r="E70" s="8"/>
      <c r="F70" s="8"/>
      <c r="G70" s="8"/>
      <c r="H70" s="9"/>
      <c r="I70" s="8"/>
      <c r="J70" s="8"/>
      <c r="K70" s="8"/>
      <c r="L70" s="8"/>
      <c r="M70" s="7"/>
    </row>
  </sheetData>
  <mergeCells count="6">
    <mergeCell ref="D1:H1"/>
    <mergeCell ref="I1:M1"/>
    <mergeCell ref="A2:B2"/>
    <mergeCell ref="D3:H3"/>
    <mergeCell ref="I3:M3"/>
    <mergeCell ref="A3:B4"/>
  </mergeCells>
  <printOptions horizontalCentered="1" gridLines="1"/>
  <pageMargins left="0.51181102362204722" right="0.23622047244094491" top="0.74803149606299213" bottom="0.23622047244094491" header="0.51181102362204722" footer="0"/>
  <pageSetup paperSize="9" scale="9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zoomScale="112" zoomScaleNormal="106" zoomScaleSheetLayoutView="112" workbookViewId="0">
      <selection activeCell="C19" sqref="C19"/>
    </sheetView>
  </sheetViews>
  <sheetFormatPr defaultRowHeight="11.25" x14ac:dyDescent="0.2"/>
  <cols>
    <col min="1" max="1" width="3" style="6" customWidth="1"/>
    <col min="2" max="2" width="23.85546875" style="5" customWidth="1"/>
    <col min="3" max="3" width="53" style="4" customWidth="1"/>
    <col min="4" max="4" width="7.28515625" style="4" customWidth="1"/>
    <col min="5" max="7" width="7.28515625" style="1" customWidth="1"/>
    <col min="8" max="8" width="7.28515625" style="3" customWidth="1"/>
    <col min="9" max="12" width="7.28515625" style="1" customWidth="1"/>
    <col min="13" max="13" width="7.28515625" style="2" customWidth="1"/>
    <col min="14" max="14" width="9.140625" style="1"/>
    <col min="15" max="15" width="9.28515625" style="1" bestFit="1" customWidth="1"/>
    <col min="16" max="16" width="9.140625" style="1"/>
    <col min="17" max="17" width="9.85546875" style="1" bestFit="1" customWidth="1"/>
    <col min="18" max="16384" width="9.140625" style="1"/>
  </cols>
  <sheetData>
    <row r="1" spans="1:14" ht="12.75" customHeight="1" x14ac:dyDescent="0.2">
      <c r="A1" s="84" t="s">
        <v>66</v>
      </c>
      <c r="D1" s="880" t="str">
        <f>'F23-Dep'!D1:H1</f>
        <v>AS OF: 11-Oct-2017</v>
      </c>
      <c r="E1" s="880"/>
      <c r="F1" s="880"/>
      <c r="G1" s="880"/>
      <c r="H1" s="880"/>
      <c r="I1" s="881" t="str">
        <f>'F23-Dep'!I1:M1</f>
        <v>FOR THE MONTH OF:   Sep -17</v>
      </c>
      <c r="J1" s="881"/>
      <c r="K1" s="881"/>
      <c r="L1" s="881"/>
      <c r="M1" s="882"/>
    </row>
    <row r="2" spans="1:14" ht="12.75" customHeight="1" x14ac:dyDescent="0.2">
      <c r="A2" s="883" t="s">
        <v>1486</v>
      </c>
      <c r="B2" s="878"/>
      <c r="C2" s="745"/>
      <c r="D2" s="285" t="s">
        <v>1487</v>
      </c>
      <c r="E2" s="619"/>
      <c r="F2" s="619"/>
      <c r="G2" s="619"/>
      <c r="H2" s="619"/>
      <c r="I2" s="619" t="s">
        <v>63</v>
      </c>
      <c r="J2" s="686" t="s">
        <v>1488</v>
      </c>
      <c r="K2" s="620"/>
      <c r="L2" s="620"/>
      <c r="M2" s="83"/>
    </row>
    <row r="3" spans="1:14" ht="12.75" customHeight="1" x14ac:dyDescent="0.2">
      <c r="A3" s="885" t="str">
        <f>'F23-Dep'!A3:B3</f>
        <v>F23 P&amp;L ACCOUNT BY DIV/DEPT/SEC/UNITS</v>
      </c>
      <c r="B3" s="886"/>
      <c r="C3" s="746"/>
      <c r="D3" s="867" t="s">
        <v>62</v>
      </c>
      <c r="E3" s="867"/>
      <c r="F3" s="867"/>
      <c r="G3" s="867"/>
      <c r="H3" s="867"/>
      <c r="I3" s="884" t="s">
        <v>61</v>
      </c>
      <c r="J3" s="884"/>
      <c r="K3" s="884"/>
      <c r="L3" s="884"/>
      <c r="M3" s="870"/>
    </row>
    <row r="4" spans="1:14" x14ac:dyDescent="0.2">
      <c r="A4" s="873"/>
      <c r="B4" s="874"/>
      <c r="C4" s="747"/>
      <c r="D4" s="46" t="s">
        <v>1477</v>
      </c>
      <c r="E4" s="51" t="s">
        <v>1478</v>
      </c>
      <c r="F4" s="51" t="s">
        <v>1479</v>
      </c>
      <c r="G4" s="51" t="s">
        <v>1480</v>
      </c>
      <c r="H4" s="51" t="s">
        <v>1481</v>
      </c>
      <c r="I4" s="51" t="s">
        <v>1482</v>
      </c>
      <c r="J4" s="51" t="s">
        <v>1483</v>
      </c>
      <c r="K4" s="51" t="s">
        <v>1484</v>
      </c>
      <c r="L4" s="51" t="s">
        <v>1485</v>
      </c>
      <c r="M4" s="406" t="s">
        <v>14</v>
      </c>
    </row>
    <row r="5" spans="1:14" x14ac:dyDescent="0.2">
      <c r="A5" s="37">
        <v>1</v>
      </c>
      <c r="B5" s="57" t="str">
        <f>'F23-Sec'!B5</f>
        <v>External Sales</v>
      </c>
      <c r="C5" s="763" t="str">
        <f>'F23-Sec'!C5</f>
        <v>5001 to 5029, 5051 to 5099</v>
      </c>
      <c r="D5" s="17"/>
      <c r="E5" s="54"/>
      <c r="F5" s="56"/>
      <c r="G5" s="54"/>
      <c r="H5" s="55"/>
      <c r="I5" s="54"/>
      <c r="J5" s="54"/>
      <c r="K5" s="54"/>
      <c r="L5" s="54"/>
      <c r="M5" s="396"/>
    </row>
    <row r="6" spans="1:14" x14ac:dyDescent="0.2">
      <c r="A6" s="37">
        <f t="shared" ref="A6:A59" si="0">A5+1</f>
        <v>2</v>
      </c>
      <c r="B6" s="57" t="str">
        <f>'F23-Sec'!B6</f>
        <v>Interco Sales</v>
      </c>
      <c r="C6" s="709" t="str">
        <f>'F23-Sec'!C6</f>
        <v>5031 to 5049</v>
      </c>
      <c r="D6" s="17"/>
      <c r="E6" s="54"/>
      <c r="F6" s="56"/>
      <c r="G6" s="54"/>
      <c r="H6" s="55"/>
      <c r="I6" s="54"/>
      <c r="J6" s="54"/>
      <c r="K6" s="54"/>
      <c r="L6" s="54"/>
      <c r="M6" s="396"/>
    </row>
    <row r="7" spans="1:14" s="31" customFormat="1" x14ac:dyDescent="0.2">
      <c r="A7" s="618">
        <f t="shared" si="0"/>
        <v>3</v>
      </c>
      <c r="B7" s="41" t="str">
        <f>'F23-Sec'!B7</f>
        <v>Total Sales</v>
      </c>
      <c r="C7" s="710" t="str">
        <f>'F23-Sec'!C7</f>
        <v>=SUM(C5:C6)</v>
      </c>
      <c r="D7" s="51"/>
      <c r="E7" s="49"/>
      <c r="F7" s="49"/>
      <c r="G7" s="49"/>
      <c r="H7" s="49"/>
      <c r="I7" s="49"/>
      <c r="J7" s="49"/>
      <c r="K7" s="49"/>
      <c r="L7" s="49"/>
      <c r="M7" s="397"/>
    </row>
    <row r="8" spans="1:14" x14ac:dyDescent="0.2">
      <c r="A8" s="37">
        <f t="shared" si="0"/>
        <v>4</v>
      </c>
      <c r="B8" s="57" t="str">
        <f>'F23-Sec'!B8</f>
        <v>Cost of External Sales</v>
      </c>
      <c r="C8" s="709" t="str">
        <f>'F23-Sec'!C8</f>
        <v>5101 to 5119, 5141 to 5499, 6000 to 6999</v>
      </c>
      <c r="D8" s="17"/>
      <c r="E8" s="54"/>
      <c r="F8" s="56"/>
      <c r="G8" s="54"/>
      <c r="H8" s="55"/>
      <c r="I8" s="54"/>
      <c r="J8" s="54"/>
      <c r="K8" s="54"/>
      <c r="L8" s="54"/>
      <c r="M8" s="396"/>
    </row>
    <row r="9" spans="1:14" x14ac:dyDescent="0.2">
      <c r="A9" s="37">
        <f t="shared" si="0"/>
        <v>5</v>
      </c>
      <c r="B9" s="57" t="str">
        <f>'F23-Sec'!B9</f>
        <v>Cost of Interco Sales</v>
      </c>
      <c r="C9" s="709" t="str">
        <f>'F23-Sec'!C9</f>
        <v>5121 to 5139</v>
      </c>
      <c r="D9" s="17"/>
      <c r="E9" s="54"/>
      <c r="F9" s="56"/>
      <c r="G9" s="54"/>
      <c r="H9" s="55"/>
      <c r="I9" s="54"/>
      <c r="J9" s="54"/>
      <c r="K9" s="54"/>
      <c r="L9" s="54"/>
      <c r="M9" s="396"/>
    </row>
    <row r="10" spans="1:14" s="31" customFormat="1" x14ac:dyDescent="0.2">
      <c r="A10" s="618">
        <f t="shared" si="0"/>
        <v>6</v>
      </c>
      <c r="B10" s="78" t="str">
        <f>'F23-Sec'!B10</f>
        <v>Total Cost of Sales</v>
      </c>
      <c r="C10" s="711" t="str">
        <f>'F23-Sec'!C10</f>
        <v>=SUM(C8:C9)</v>
      </c>
      <c r="D10" s="51"/>
      <c r="E10" s="49"/>
      <c r="F10" s="49"/>
      <c r="G10" s="49"/>
      <c r="H10" s="49"/>
      <c r="I10" s="49"/>
      <c r="J10" s="49"/>
      <c r="K10" s="49"/>
      <c r="L10" s="49"/>
      <c r="M10" s="397"/>
    </row>
    <row r="11" spans="1:14" s="31" customFormat="1" ht="12" thickBot="1" x14ac:dyDescent="0.25">
      <c r="A11" s="394">
        <f t="shared" si="0"/>
        <v>7</v>
      </c>
      <c r="B11" s="79" t="str">
        <f>'F23-Sec'!B11</f>
        <v>Gross Profit</v>
      </c>
      <c r="C11" s="712" t="str">
        <f>'F23-Sec'!C11</f>
        <v>=C7+C10</v>
      </c>
      <c r="D11" s="35"/>
      <c r="E11" s="34"/>
      <c r="F11" s="34"/>
      <c r="G11" s="34"/>
      <c r="H11" s="34"/>
      <c r="I11" s="34"/>
      <c r="J11" s="34"/>
      <c r="K11" s="34"/>
      <c r="L11" s="34"/>
      <c r="M11" s="398"/>
    </row>
    <row r="12" spans="1:14" ht="12" thickTop="1" x14ac:dyDescent="0.2">
      <c r="A12" s="37">
        <f t="shared" si="0"/>
        <v>8</v>
      </c>
      <c r="B12" s="57" t="str">
        <f>'F23-Sec'!B12</f>
        <v>Commission/Mgt Income</v>
      </c>
      <c r="C12" s="709" t="str">
        <f>'F23-Sec'!C12</f>
        <v>5501 to 5509</v>
      </c>
      <c r="D12" s="17"/>
      <c r="E12" s="54"/>
      <c r="F12" s="56"/>
      <c r="G12" s="54"/>
      <c r="H12" s="54"/>
      <c r="I12" s="54"/>
      <c r="J12" s="54"/>
      <c r="K12" s="54"/>
      <c r="L12" s="54"/>
      <c r="M12" s="396"/>
    </row>
    <row r="13" spans="1:14" x14ac:dyDescent="0.2">
      <c r="A13" s="37">
        <f t="shared" si="0"/>
        <v>9</v>
      </c>
      <c r="B13" s="57" t="str">
        <f>'F23-Sec'!B13</f>
        <v>Gain/(Loss) Disposal of FA</v>
      </c>
      <c r="C13" s="709" t="str">
        <f>'F23-Sec'!C13</f>
        <v>9101</v>
      </c>
      <c r="D13" s="17"/>
      <c r="E13" s="54"/>
      <c r="F13" s="56"/>
      <c r="G13" s="54"/>
      <c r="H13" s="54"/>
      <c r="I13" s="54"/>
      <c r="J13" s="54"/>
      <c r="K13" s="54"/>
      <c r="L13" s="54"/>
      <c r="M13" s="396"/>
    </row>
    <row r="14" spans="1:14" ht="11.25" customHeight="1" x14ac:dyDescent="0.2">
      <c r="A14" s="37">
        <f t="shared" si="0"/>
        <v>10</v>
      </c>
      <c r="B14" s="57" t="str">
        <f>'F23-Sec'!B14</f>
        <v>Other Op Income</v>
      </c>
      <c r="C14" s="709" t="str">
        <f>'F23-Sec'!C14</f>
        <v>5511 to 5599, 9001 to 9019, 9041Credit, 9102 to 9109Credit</v>
      </c>
      <c r="D14" s="17"/>
      <c r="E14" s="54"/>
      <c r="F14" s="56"/>
      <c r="G14" s="54"/>
      <c r="H14" s="54"/>
      <c r="I14" s="54"/>
      <c r="J14" s="54"/>
      <c r="K14" s="54"/>
      <c r="L14" s="54"/>
      <c r="M14" s="396"/>
    </row>
    <row r="15" spans="1:14" ht="11.25" customHeight="1" x14ac:dyDescent="0.2">
      <c r="A15" s="37">
        <f t="shared" si="0"/>
        <v>11</v>
      </c>
      <c r="B15" s="57" t="str">
        <f>'F23-Sec'!B15</f>
        <v>Other Op Expense</v>
      </c>
      <c r="C15" s="709" t="str">
        <f>'F23-Sec'!C15</f>
        <v>5601 to 5999, 9041Debit, 9102 to 9109Debit, 9111 to 9115, 9117 to 9199</v>
      </c>
      <c r="D15" s="17"/>
      <c r="E15" s="54"/>
      <c r="F15" s="56"/>
      <c r="G15" s="54"/>
      <c r="H15" s="54"/>
      <c r="I15" s="54"/>
      <c r="J15" s="54"/>
      <c r="K15" s="54"/>
      <c r="L15" s="54"/>
      <c r="M15" s="396"/>
    </row>
    <row r="16" spans="1:14" s="31" customFormat="1" ht="11.25" customHeight="1" x14ac:dyDescent="0.2">
      <c r="A16" s="618">
        <f t="shared" si="0"/>
        <v>12</v>
      </c>
      <c r="B16" s="78" t="str">
        <f>'F23-Sec'!B16</f>
        <v>Total Oth Op Income/ (Exp)</v>
      </c>
      <c r="C16" s="711" t="str">
        <f>'F23-Sec'!C16</f>
        <v>=SUM(C12:C15)</v>
      </c>
      <c r="D16" s="51"/>
      <c r="E16" s="49"/>
      <c r="F16" s="49"/>
      <c r="G16" s="49"/>
      <c r="H16" s="49"/>
      <c r="I16" s="49"/>
      <c r="J16" s="49"/>
      <c r="K16" s="49"/>
      <c r="L16" s="49"/>
      <c r="M16" s="397"/>
      <c r="N16" s="77"/>
    </row>
    <row r="17" spans="1:14" x14ac:dyDescent="0.2">
      <c r="A17" s="37">
        <f t="shared" si="0"/>
        <v>13</v>
      </c>
      <c r="B17" s="57" t="str">
        <f>'F23-Sec'!B17</f>
        <v>Personnel Related Cost</v>
      </c>
      <c r="C17" s="709" t="str">
        <f>'F23-Sec'!C17</f>
        <v>7000 to 7099</v>
      </c>
      <c r="D17" s="17"/>
      <c r="E17" s="54"/>
      <c r="F17" s="56"/>
      <c r="G17" s="54"/>
      <c r="H17" s="54"/>
      <c r="I17" s="54"/>
      <c r="J17" s="54"/>
      <c r="K17" s="54"/>
      <c r="L17" s="54"/>
      <c r="M17" s="396"/>
    </row>
    <row r="18" spans="1:14" x14ac:dyDescent="0.2">
      <c r="A18" s="37">
        <f t="shared" si="0"/>
        <v>14</v>
      </c>
      <c r="B18" s="57" t="str">
        <f>'F23-Sec'!B18</f>
        <v>Carriage/Transportation</v>
      </c>
      <c r="C18" s="709" t="str">
        <f>'F23-Sec'!C18</f>
        <v>7100 to 7199</v>
      </c>
      <c r="D18" s="17"/>
      <c r="E18" s="54"/>
      <c r="F18" s="56"/>
      <c r="G18" s="54"/>
      <c r="H18" s="55"/>
      <c r="I18" s="54"/>
      <c r="J18" s="54"/>
      <c r="K18" s="54"/>
      <c r="L18" s="54"/>
      <c r="M18" s="396"/>
    </row>
    <row r="19" spans="1:14" x14ac:dyDescent="0.2">
      <c r="A19" s="37">
        <f t="shared" si="0"/>
        <v>15</v>
      </c>
      <c r="B19" s="57" t="str">
        <f>'F23-Sec'!B19</f>
        <v>Advertising/Promotion</v>
      </c>
      <c r="C19" s="709" t="str">
        <f>'F23-Sec'!C19</f>
        <v>7200 to 7299</v>
      </c>
      <c r="D19" s="17"/>
      <c r="E19" s="54"/>
      <c r="F19" s="56"/>
      <c r="G19" s="54"/>
      <c r="H19" s="55"/>
      <c r="I19" s="54"/>
      <c r="J19" s="54"/>
      <c r="K19" s="54"/>
      <c r="L19" s="54"/>
      <c r="M19" s="396"/>
    </row>
    <row r="20" spans="1:14" x14ac:dyDescent="0.2">
      <c r="A20" s="37">
        <f t="shared" si="0"/>
        <v>16</v>
      </c>
      <c r="B20" s="57" t="str">
        <f>'F23-Sec'!B20</f>
        <v>Overseas Travelling</v>
      </c>
      <c r="C20" s="709" t="str">
        <f>'F23-Sec'!C20</f>
        <v>7301</v>
      </c>
      <c r="D20" s="17"/>
      <c r="E20" s="54"/>
      <c r="F20" s="56"/>
      <c r="G20" s="54"/>
      <c r="H20" s="55"/>
      <c r="I20" s="54"/>
      <c r="J20" s="54"/>
      <c r="K20" s="54"/>
      <c r="L20" s="54"/>
      <c r="M20" s="396"/>
    </row>
    <row r="21" spans="1:14" x14ac:dyDescent="0.2">
      <c r="A21" s="37">
        <f t="shared" si="0"/>
        <v>17</v>
      </c>
      <c r="B21" s="57" t="str">
        <f>'F23-Sec'!B21</f>
        <v xml:space="preserve">Entertainment </v>
      </c>
      <c r="C21" s="709" t="str">
        <f>'F23-Sec'!C21</f>
        <v>7302 to 7399</v>
      </c>
      <c r="D21" s="17"/>
      <c r="E21" s="54"/>
      <c r="F21" s="56"/>
      <c r="G21" s="54"/>
      <c r="H21" s="55"/>
      <c r="I21" s="54"/>
      <c r="J21" s="54"/>
      <c r="K21" s="54"/>
      <c r="L21" s="54"/>
      <c r="M21" s="396"/>
      <c r="N21" s="4"/>
    </row>
    <row r="22" spans="1:14" x14ac:dyDescent="0.2">
      <c r="A22" s="37">
        <f t="shared" si="0"/>
        <v>18</v>
      </c>
      <c r="B22" s="57" t="str">
        <f>'F23-Sec'!B22</f>
        <v>Equipment Expenses</v>
      </c>
      <c r="C22" s="709" t="str">
        <f>'F23-Sec'!C22</f>
        <v>7400 to 7499</v>
      </c>
      <c r="D22" s="17"/>
      <c r="E22" s="54"/>
      <c r="F22" s="56"/>
      <c r="G22" s="54"/>
      <c r="H22" s="55"/>
      <c r="I22" s="54"/>
      <c r="J22" s="54"/>
      <c r="K22" s="54"/>
      <c r="L22" s="54"/>
      <c r="M22" s="396"/>
      <c r="N22" s="4"/>
    </row>
    <row r="23" spans="1:14" x14ac:dyDescent="0.2">
      <c r="A23" s="37">
        <f t="shared" si="0"/>
        <v>19</v>
      </c>
      <c r="B23" s="57" t="str">
        <f>'F23-Sec'!B23</f>
        <v>Rental/Property Related</v>
      </c>
      <c r="C23" s="709" t="str">
        <f>'F23-Sec'!C23</f>
        <v>7500 to 7599</v>
      </c>
      <c r="D23" s="17"/>
      <c r="E23" s="54"/>
      <c r="F23" s="56"/>
      <c r="G23" s="54"/>
      <c r="H23" s="55"/>
      <c r="I23" s="54"/>
      <c r="J23" s="54"/>
      <c r="K23" s="54"/>
      <c r="L23" s="54"/>
      <c r="M23" s="396"/>
    </row>
    <row r="24" spans="1:14" x14ac:dyDescent="0.2">
      <c r="A24" s="37">
        <f t="shared" si="0"/>
        <v>20</v>
      </c>
      <c r="B24" s="57" t="str">
        <f>'F23-Sec'!B24</f>
        <v>Depn of Fixed Assets</v>
      </c>
      <c r="C24" s="709" t="str">
        <f>'F23-Sec'!C24</f>
        <v>7600 to 7699</v>
      </c>
      <c r="D24" s="17"/>
      <c r="E24" s="54"/>
      <c r="F24" s="56"/>
      <c r="G24" s="54"/>
      <c r="H24" s="55"/>
      <c r="I24" s="54"/>
      <c r="J24" s="54"/>
      <c r="K24" s="54"/>
      <c r="L24" s="54"/>
      <c r="M24" s="396"/>
      <c r="N24" s="4"/>
    </row>
    <row r="25" spans="1:14" x14ac:dyDescent="0.2">
      <c r="A25" s="37">
        <f t="shared" si="0"/>
        <v>21</v>
      </c>
      <c r="B25" s="57" t="str">
        <f>'F23-Sec'!B25</f>
        <v>Stationery/Printing/Telephone</v>
      </c>
      <c r="C25" s="709" t="str">
        <f>'F23-Sec'!C25</f>
        <v>7701 to 7705</v>
      </c>
      <c r="D25" s="17"/>
      <c r="E25" s="54"/>
      <c r="F25" s="56"/>
      <c r="G25" s="54"/>
      <c r="H25" s="55"/>
      <c r="I25" s="54"/>
      <c r="J25" s="54"/>
      <c r="K25" s="54"/>
      <c r="L25" s="54"/>
      <c r="M25" s="396"/>
      <c r="N25" s="4"/>
    </row>
    <row r="26" spans="1:14" x14ac:dyDescent="0.2">
      <c r="A26" s="37">
        <f t="shared" si="0"/>
        <v>22</v>
      </c>
      <c r="B26" s="57" t="str">
        <f>'F23-Sec'!B26</f>
        <v>HO/Interco and Other S&amp;D</v>
      </c>
      <c r="C26" s="709" t="str">
        <f>'F23-Sec'!C26</f>
        <v>7706 to 7999</v>
      </c>
      <c r="D26" s="17"/>
      <c r="E26" s="54"/>
      <c r="F26" s="56"/>
      <c r="G26" s="54"/>
      <c r="H26" s="55"/>
      <c r="I26" s="54"/>
      <c r="J26" s="54"/>
      <c r="K26" s="54"/>
      <c r="L26" s="54"/>
      <c r="M26" s="396"/>
      <c r="N26" s="4"/>
    </row>
    <row r="27" spans="1:14" s="31" customFormat="1" x14ac:dyDescent="0.2">
      <c r="A27" s="618">
        <f t="shared" si="0"/>
        <v>23</v>
      </c>
      <c r="B27" s="41" t="str">
        <f>'F23-Sec'!B27</f>
        <v>Total S&amp;D Expenses</v>
      </c>
      <c r="C27" s="710" t="str">
        <f>'F23-Sec'!C27</f>
        <v>=SUM(C17:C26)</v>
      </c>
      <c r="D27" s="51"/>
      <c r="E27" s="49"/>
      <c r="F27" s="50"/>
      <c r="G27" s="49"/>
      <c r="H27" s="49"/>
      <c r="I27" s="49"/>
      <c r="J27" s="49"/>
      <c r="K27" s="49"/>
      <c r="L27" s="49"/>
      <c r="M27" s="397"/>
      <c r="N27" s="59"/>
    </row>
    <row r="28" spans="1:14" x14ac:dyDescent="0.2">
      <c r="A28" s="37">
        <f t="shared" si="0"/>
        <v>24</v>
      </c>
      <c r="B28" s="57" t="str">
        <f>'F23-Sec'!B28</f>
        <v>Personnel Related Cost</v>
      </c>
      <c r="C28" s="709" t="str">
        <f>'F23-Sec'!C28</f>
        <v>8000 to 8099</v>
      </c>
      <c r="D28" s="17"/>
      <c r="E28" s="54"/>
      <c r="F28" s="56"/>
      <c r="G28" s="54"/>
      <c r="H28" s="55"/>
      <c r="I28" s="54"/>
      <c r="J28" s="54"/>
      <c r="K28" s="54"/>
      <c r="L28" s="54"/>
      <c r="M28" s="396"/>
      <c r="N28" s="58"/>
    </row>
    <row r="29" spans="1:14" x14ac:dyDescent="0.2">
      <c r="A29" s="37">
        <f t="shared" si="0"/>
        <v>25</v>
      </c>
      <c r="B29" s="57" t="str">
        <f>'F23-Sec'!B29</f>
        <v>Overseas Travelling</v>
      </c>
      <c r="C29" s="709" t="str">
        <f>'F23-Sec'!C29</f>
        <v>8101</v>
      </c>
      <c r="D29" s="17"/>
      <c r="E29" s="54"/>
      <c r="F29" s="56"/>
      <c r="G29" s="54"/>
      <c r="H29" s="55"/>
      <c r="I29" s="54"/>
      <c r="J29" s="54"/>
      <c r="K29" s="54"/>
      <c r="L29" s="54"/>
      <c r="M29" s="396"/>
      <c r="N29" s="58"/>
    </row>
    <row r="30" spans="1:14" x14ac:dyDescent="0.2">
      <c r="A30" s="37">
        <f t="shared" si="0"/>
        <v>26</v>
      </c>
      <c r="B30" s="57" t="str">
        <f>'F23-Sec'!B30</f>
        <v>Transportation</v>
      </c>
      <c r="C30" s="709" t="str">
        <f>'F23-Sec'!C30</f>
        <v>8102 to 8149</v>
      </c>
      <c r="D30" s="17"/>
      <c r="E30" s="54"/>
      <c r="F30" s="56"/>
      <c r="G30" s="54"/>
      <c r="H30" s="55"/>
      <c r="I30" s="54"/>
      <c r="J30" s="54"/>
      <c r="K30" s="54"/>
      <c r="L30" s="54"/>
      <c r="M30" s="396"/>
      <c r="N30" s="58"/>
    </row>
    <row r="31" spans="1:14" x14ac:dyDescent="0.2">
      <c r="A31" s="37">
        <f t="shared" si="0"/>
        <v>27</v>
      </c>
      <c r="B31" s="57" t="str">
        <f>'F23-Sec'!B31</f>
        <v>Entertainment &amp; Donations</v>
      </c>
      <c r="C31" s="709" t="str">
        <f>'F23-Sec'!C31</f>
        <v>8150 to 8199</v>
      </c>
      <c r="D31" s="17"/>
      <c r="E31" s="54"/>
      <c r="F31" s="56"/>
      <c r="G31" s="54"/>
      <c r="H31" s="55"/>
      <c r="I31" s="54"/>
      <c r="J31" s="54"/>
      <c r="K31" s="54"/>
      <c r="L31" s="54"/>
      <c r="M31" s="396"/>
      <c r="N31" s="58"/>
    </row>
    <row r="32" spans="1:14" x14ac:dyDescent="0.2">
      <c r="A32" s="37">
        <f t="shared" si="0"/>
        <v>28</v>
      </c>
      <c r="B32" s="57" t="str">
        <f>'F23-Sec'!B32</f>
        <v>Equipment Expenses</v>
      </c>
      <c r="C32" s="709" t="str">
        <f>'F23-Sec'!C32</f>
        <v>8200 to 8299</v>
      </c>
      <c r="D32" s="17"/>
      <c r="E32" s="54"/>
      <c r="F32" s="56"/>
      <c r="G32" s="54"/>
      <c r="H32" s="55"/>
      <c r="I32" s="54"/>
      <c r="J32" s="54"/>
      <c r="K32" s="54"/>
      <c r="L32" s="54"/>
      <c r="M32" s="396"/>
      <c r="N32" s="58"/>
    </row>
    <row r="33" spans="1:14" x14ac:dyDescent="0.2">
      <c r="A33" s="37">
        <f t="shared" si="0"/>
        <v>29</v>
      </c>
      <c r="B33" s="57" t="str">
        <f>'F23-Sec'!B33</f>
        <v>Rental/Property Related</v>
      </c>
      <c r="C33" s="709" t="str">
        <f>'F23-Sec'!C33</f>
        <v>8300 to 8399</v>
      </c>
      <c r="D33" s="17"/>
      <c r="E33" s="54"/>
      <c r="F33" s="56"/>
      <c r="G33" s="54"/>
      <c r="H33" s="55"/>
      <c r="I33" s="54"/>
      <c r="J33" s="54"/>
      <c r="K33" s="54"/>
      <c r="L33" s="54"/>
      <c r="M33" s="396"/>
      <c r="N33" s="58"/>
    </row>
    <row r="34" spans="1:14" x14ac:dyDescent="0.2">
      <c r="A34" s="37">
        <f t="shared" si="0"/>
        <v>30</v>
      </c>
      <c r="B34" s="57" t="str">
        <f>'F23-Sec'!B34</f>
        <v>Depn of Fixed Assets</v>
      </c>
      <c r="C34" s="709" t="str">
        <f>'F23-Sec'!C34</f>
        <v>8400 to 8499</v>
      </c>
      <c r="D34" s="17"/>
      <c r="E34" s="54"/>
      <c r="F34" s="56"/>
      <c r="G34" s="54"/>
      <c r="H34" s="55"/>
      <c r="I34" s="54"/>
      <c r="J34" s="54"/>
      <c r="K34" s="54"/>
      <c r="L34" s="54"/>
      <c r="M34" s="396"/>
      <c r="N34" s="58"/>
    </row>
    <row r="35" spans="1:14" x14ac:dyDescent="0.2">
      <c r="A35" s="37">
        <f t="shared" si="0"/>
        <v>31</v>
      </c>
      <c r="B35" s="57" t="str">
        <f>'F23-Sec'!B35</f>
        <v>Stationery/Printing/Telephone</v>
      </c>
      <c r="C35" s="709" t="str">
        <f>'F23-Sec'!C35</f>
        <v>8500 to 8599</v>
      </c>
      <c r="D35" s="17"/>
      <c r="E35" s="54"/>
      <c r="F35" s="56"/>
      <c r="G35" s="54"/>
      <c r="H35" s="55"/>
      <c r="I35" s="54"/>
      <c r="J35" s="54"/>
      <c r="K35" s="54"/>
      <c r="L35" s="54"/>
      <c r="M35" s="396"/>
      <c r="N35" s="58"/>
    </row>
    <row r="36" spans="1:14" x14ac:dyDescent="0.2">
      <c r="A36" s="37">
        <f t="shared" si="0"/>
        <v>32</v>
      </c>
      <c r="B36" s="57" t="str">
        <f>'F23-Sec'!B36</f>
        <v>Legal/Prof Fees/Ins/Safety</v>
      </c>
      <c r="C36" s="709" t="str">
        <f>'F23-Sec'!C36</f>
        <v>8600 to 8649</v>
      </c>
      <c r="D36" s="17"/>
      <c r="E36" s="54"/>
      <c r="F36" s="56"/>
      <c r="G36" s="54"/>
      <c r="H36" s="55"/>
      <c r="I36" s="54"/>
      <c r="J36" s="54"/>
      <c r="K36" s="54"/>
      <c r="L36" s="54"/>
      <c r="M36" s="396"/>
      <c r="N36" s="58"/>
    </row>
    <row r="37" spans="1:14" x14ac:dyDescent="0.2">
      <c r="A37" s="37">
        <f t="shared" si="0"/>
        <v>33</v>
      </c>
      <c r="B37" s="57" t="str">
        <f>'F23-Sec'!B37</f>
        <v>IT System Exps</v>
      </c>
      <c r="C37" s="709" t="str">
        <f>'F23-Sec'!C37</f>
        <v>8651</v>
      </c>
      <c r="D37" s="17"/>
      <c r="E37" s="54"/>
      <c r="F37" s="56"/>
      <c r="G37" s="54"/>
      <c r="H37" s="55"/>
      <c r="I37" s="54"/>
      <c r="J37" s="54"/>
      <c r="K37" s="54"/>
      <c r="L37" s="54"/>
      <c r="M37" s="396"/>
      <c r="N37" s="58"/>
    </row>
    <row r="38" spans="1:14" x14ac:dyDescent="0.2">
      <c r="A38" s="37">
        <f t="shared" si="0"/>
        <v>34</v>
      </c>
      <c r="B38" s="57" t="str">
        <f>'F23-Sec'!B38</f>
        <v>Purchasing Exps</v>
      </c>
      <c r="C38" s="709" t="str">
        <f>'F23-Sec'!C38</f>
        <v>8653</v>
      </c>
      <c r="D38" s="17"/>
      <c r="E38" s="54"/>
      <c r="F38" s="56"/>
      <c r="G38" s="54"/>
      <c r="H38" s="55"/>
      <c r="I38" s="54"/>
      <c r="J38" s="54"/>
      <c r="K38" s="54"/>
      <c r="L38" s="54"/>
      <c r="M38" s="396"/>
      <c r="N38" s="58"/>
    </row>
    <row r="39" spans="1:14" s="31" customFormat="1" x14ac:dyDescent="0.2">
      <c r="A39" s="618">
        <f t="shared" si="0"/>
        <v>35</v>
      </c>
      <c r="B39" s="41" t="str">
        <f>'F23-Sec'!B39</f>
        <v xml:space="preserve">A&amp;G Direct Expenses </v>
      </c>
      <c r="C39" s="751" t="str">
        <f>'F23-Sec'!C39</f>
        <v>=SUM(C28:C38)</v>
      </c>
      <c r="D39" s="46"/>
      <c r="E39" s="49"/>
      <c r="F39" s="50"/>
      <c r="G39" s="49"/>
      <c r="H39" s="49"/>
      <c r="I39" s="49"/>
      <c r="J39" s="49"/>
      <c r="K39" s="49"/>
      <c r="L39" s="49"/>
      <c r="M39" s="397"/>
      <c r="N39" s="65"/>
    </row>
    <row r="40" spans="1:14" s="31" customFormat="1" x14ac:dyDescent="0.2">
      <c r="A40" s="37">
        <f t="shared" si="0"/>
        <v>36</v>
      </c>
      <c r="B40" s="57" t="str">
        <f>'F23-Sec'!B40</f>
        <v>Prov for Stock Obso/Pilferage</v>
      </c>
      <c r="C40" s="750" t="str">
        <f>'F23-Sec'!C40</f>
        <v>8701 to 8702</v>
      </c>
      <c r="D40" s="73"/>
      <c r="E40" s="43"/>
      <c r="F40" s="72"/>
      <c r="G40" s="43"/>
      <c r="H40" s="43"/>
      <c r="I40" s="43"/>
      <c r="J40" s="43"/>
      <c r="K40" s="43"/>
      <c r="L40" s="43"/>
      <c r="M40" s="400"/>
      <c r="N40" s="65"/>
    </row>
    <row r="41" spans="1:14" s="31" customFormat="1" x14ac:dyDescent="0.2">
      <c r="A41" s="37">
        <f t="shared" si="0"/>
        <v>37</v>
      </c>
      <c r="B41" s="57" t="str">
        <f>'F23-Sec'!B41</f>
        <v>Prov for Doubtful Debts</v>
      </c>
      <c r="C41" s="750" t="str">
        <f>'F23-Sec'!C41</f>
        <v>8703</v>
      </c>
      <c r="D41" s="73"/>
      <c r="E41" s="43"/>
      <c r="F41" s="72"/>
      <c r="G41" s="43"/>
      <c r="H41" s="43"/>
      <c r="I41" s="43"/>
      <c r="J41" s="43"/>
      <c r="K41" s="43"/>
      <c r="L41" s="43"/>
      <c r="M41" s="400"/>
      <c r="N41" s="65"/>
    </row>
    <row r="42" spans="1:14" s="31" customFormat="1" x14ac:dyDescent="0.2">
      <c r="A42" s="37">
        <f t="shared" si="0"/>
        <v>38</v>
      </c>
      <c r="B42" s="57" t="str">
        <f>'F23-Sec'!B42</f>
        <v xml:space="preserve">Bad Debts Recovered </v>
      </c>
      <c r="C42" s="750" t="str">
        <f>'F23-Sec'!C42</f>
        <v>8704</v>
      </c>
      <c r="D42" s="73"/>
      <c r="E42" s="43"/>
      <c r="F42" s="72"/>
      <c r="G42" s="43"/>
      <c r="H42" s="43"/>
      <c r="I42" s="43"/>
      <c r="J42" s="43"/>
      <c r="K42" s="43"/>
      <c r="L42" s="43"/>
      <c r="M42" s="400"/>
      <c r="N42" s="65"/>
    </row>
    <row r="43" spans="1:14" s="31" customFormat="1" x14ac:dyDescent="0.2">
      <c r="A43" s="37">
        <f t="shared" si="0"/>
        <v>39</v>
      </c>
      <c r="B43" s="57" t="str">
        <f>'F23-Sec'!B43</f>
        <v>Stocks Written Down/Written Off</v>
      </c>
      <c r="C43" s="750" t="str">
        <f>'F23-Sec'!C43</f>
        <v>8705</v>
      </c>
      <c r="D43" s="73"/>
      <c r="E43" s="43"/>
      <c r="F43" s="72"/>
      <c r="G43" s="43"/>
      <c r="H43" s="43"/>
      <c r="I43" s="43"/>
      <c r="J43" s="43"/>
      <c r="K43" s="43"/>
      <c r="L43" s="43"/>
      <c r="M43" s="400"/>
      <c r="N43" s="65"/>
    </row>
    <row r="44" spans="1:14" s="31" customFormat="1" x14ac:dyDescent="0.2">
      <c r="A44" s="37">
        <f t="shared" si="0"/>
        <v>40</v>
      </c>
      <c r="B44" s="57" t="str">
        <f>'F23-Sec'!B44</f>
        <v>GST/VAT Expense</v>
      </c>
      <c r="C44" s="750" t="str">
        <f>'F23-Sec'!C44</f>
        <v>8711 to 8712</v>
      </c>
      <c r="D44" s="73"/>
      <c r="E44" s="43"/>
      <c r="F44" s="72"/>
      <c r="G44" s="43"/>
      <c r="H44" s="43"/>
      <c r="I44" s="43"/>
      <c r="J44" s="43"/>
      <c r="K44" s="43"/>
      <c r="L44" s="43"/>
      <c r="M44" s="400"/>
      <c r="N44" s="65"/>
    </row>
    <row r="45" spans="1:14" s="31" customFormat="1" x14ac:dyDescent="0.2">
      <c r="A45" s="269">
        <f t="shared" si="0"/>
        <v>41</v>
      </c>
      <c r="B45" s="441" t="str">
        <f>'F23-Sec'!B45</f>
        <v xml:space="preserve">HO/Interco Alloc </v>
      </c>
      <c r="C45" s="764" t="str">
        <f>'F23-Sec'!C45</f>
        <v>8798 to 8799</v>
      </c>
      <c r="D45" s="75"/>
      <c r="E45" s="43"/>
      <c r="F45" s="72"/>
      <c r="G45" s="43"/>
      <c r="H45" s="43"/>
      <c r="I45" s="43"/>
      <c r="J45" s="43"/>
      <c r="K45" s="43"/>
      <c r="L45" s="43"/>
      <c r="M45" s="400"/>
      <c r="N45" s="65"/>
    </row>
    <row r="46" spans="1:14" s="31" customFormat="1" x14ac:dyDescent="0.2">
      <c r="A46" s="696">
        <f t="shared" si="0"/>
        <v>42</v>
      </c>
      <c r="B46" s="41" t="str">
        <f>'F23-Sec'!B46</f>
        <v xml:space="preserve">Other A&amp;G Expenses </v>
      </c>
      <c r="C46" s="751" t="str">
        <f>'F23-Sec'!C46</f>
        <v>=SUM(C40:C45)</v>
      </c>
      <c r="D46" s="46"/>
      <c r="E46" s="49"/>
      <c r="F46" s="50"/>
      <c r="G46" s="49"/>
      <c r="H46" s="49"/>
      <c r="I46" s="49"/>
      <c r="J46" s="49"/>
      <c r="K46" s="49"/>
      <c r="L46" s="49"/>
      <c r="M46" s="397"/>
      <c r="N46" s="65"/>
    </row>
    <row r="47" spans="1:14" s="31" customFormat="1" x14ac:dyDescent="0.2">
      <c r="A47" s="618">
        <f t="shared" si="0"/>
        <v>43</v>
      </c>
      <c r="B47" s="41" t="str">
        <f>'F23-Sec'!B47</f>
        <v>Total A&amp;G Expenses</v>
      </c>
      <c r="C47" s="751" t="str">
        <f>'F23-Sec'!C47</f>
        <v>=C39+C46</v>
      </c>
      <c r="D47" s="46"/>
      <c r="E47" s="49"/>
      <c r="F47" s="50"/>
      <c r="G47" s="49"/>
      <c r="H47" s="49"/>
      <c r="I47" s="49"/>
      <c r="J47" s="49"/>
      <c r="K47" s="49"/>
      <c r="L47" s="49"/>
      <c r="M47" s="397"/>
      <c r="N47" s="65"/>
    </row>
    <row r="48" spans="1:14" s="31" customFormat="1" ht="12" thickBot="1" x14ac:dyDescent="0.25">
      <c r="A48" s="394">
        <f t="shared" si="0"/>
        <v>44</v>
      </c>
      <c r="B48" s="71" t="str">
        <f>'F23-Sec'!B48</f>
        <v>Profit from Operations</v>
      </c>
      <c r="C48" s="765" t="str">
        <f>'F23-Sec'!C48</f>
        <v>=C11+C16+C27+C47</v>
      </c>
      <c r="D48" s="70"/>
      <c r="E48" s="69"/>
      <c r="F48" s="68"/>
      <c r="G48" s="67"/>
      <c r="H48" s="67"/>
      <c r="I48" s="67"/>
      <c r="J48" s="67"/>
      <c r="K48" s="67"/>
      <c r="L48" s="67"/>
      <c r="M48" s="407"/>
      <c r="N48" s="65"/>
    </row>
    <row r="49" spans="1:17" s="31" customFormat="1" ht="12" thickTop="1" x14ac:dyDescent="0.2">
      <c r="A49" s="37">
        <f t="shared" si="0"/>
        <v>45</v>
      </c>
      <c r="B49" s="64" t="str">
        <f>'F23-Sec'!B49</f>
        <v>Interest Income</v>
      </c>
      <c r="C49" s="709" t="str">
        <f>'F23-Sec'!C49</f>
        <v>9023</v>
      </c>
      <c r="D49" s="63"/>
      <c r="E49" s="62"/>
      <c r="F49" s="61"/>
      <c r="G49" s="43"/>
      <c r="H49" s="43"/>
      <c r="I49" s="43"/>
      <c r="J49" s="43"/>
      <c r="K49" s="43"/>
      <c r="L49" s="43"/>
      <c r="M49" s="400"/>
      <c r="N49" s="59"/>
    </row>
    <row r="50" spans="1:17" x14ac:dyDescent="0.2">
      <c r="A50" s="37">
        <f t="shared" si="0"/>
        <v>46</v>
      </c>
      <c r="B50" s="57" t="str">
        <f>'F23-Sec'!B50</f>
        <v>Interest (Expense)</v>
      </c>
      <c r="C50" s="709" t="str">
        <f>'F23-Sec'!C50</f>
        <v>8801 to 8809</v>
      </c>
      <c r="D50" s="17"/>
      <c r="E50" s="54"/>
      <c r="F50" s="56"/>
      <c r="G50" s="54"/>
      <c r="H50" s="55"/>
      <c r="I50" s="54"/>
      <c r="J50" s="54"/>
      <c r="K50" s="54"/>
      <c r="L50" s="54"/>
      <c r="M50" s="396"/>
      <c r="N50" s="58"/>
    </row>
    <row r="51" spans="1:17" x14ac:dyDescent="0.2">
      <c r="A51" s="37">
        <f t="shared" si="0"/>
        <v>47</v>
      </c>
      <c r="B51" s="57" t="str">
        <f>'F23-Sec'!B51</f>
        <v>Derivatives Gain/(Loss)</v>
      </c>
      <c r="C51" s="709" t="str">
        <f>'F23-Sec'!C51</f>
        <v>8821 to 8822</v>
      </c>
      <c r="D51" s="17"/>
      <c r="E51" s="54"/>
      <c r="F51" s="56"/>
      <c r="G51" s="54"/>
      <c r="H51" s="55"/>
      <c r="I51" s="54"/>
      <c r="J51" s="54"/>
      <c r="K51" s="54"/>
      <c r="L51" s="54"/>
      <c r="M51" s="396"/>
      <c r="N51" s="58"/>
    </row>
    <row r="52" spans="1:17" x14ac:dyDescent="0.2">
      <c r="A52" s="37">
        <f t="shared" si="0"/>
        <v>48</v>
      </c>
      <c r="B52" s="57" t="str">
        <f>'F23-Sec'!B52</f>
        <v>Forex Gain/(Loss)</v>
      </c>
      <c r="C52" s="709" t="str">
        <f>'F23-Sec'!C52</f>
        <v>8831 to 8832</v>
      </c>
      <c r="D52" s="17"/>
      <c r="E52" s="54"/>
      <c r="F52" s="56"/>
      <c r="G52" s="54"/>
      <c r="H52" s="55"/>
      <c r="I52" s="54"/>
      <c r="J52" s="54"/>
      <c r="K52" s="54"/>
      <c r="L52" s="54"/>
      <c r="M52" s="396"/>
      <c r="N52" s="58"/>
    </row>
    <row r="53" spans="1:17" x14ac:dyDescent="0.2">
      <c r="A53" s="37">
        <f t="shared" si="0"/>
        <v>49</v>
      </c>
      <c r="B53" s="57" t="str">
        <f>'F23-Sec'!B53</f>
        <v>Dividend Income</v>
      </c>
      <c r="C53" s="709" t="str">
        <f>'F23-Sec'!C53</f>
        <v>9021</v>
      </c>
      <c r="D53" s="17"/>
      <c r="E53" s="54"/>
      <c r="F53" s="56"/>
      <c r="G53" s="54"/>
      <c r="H53" s="55"/>
      <c r="I53" s="54"/>
      <c r="J53" s="54"/>
      <c r="K53" s="54"/>
      <c r="L53" s="54"/>
      <c r="M53" s="396"/>
    </row>
    <row r="54" spans="1:17" x14ac:dyDescent="0.2">
      <c r="A54" s="37">
        <f t="shared" si="0"/>
        <v>50</v>
      </c>
      <c r="B54" s="57" t="str">
        <f>'F23-Sec'!B54</f>
        <v>Other Non-Op Income/(Exp)</v>
      </c>
      <c r="C54" s="709" t="str">
        <f>'F23-Sec'!C54</f>
        <v>9031, 9116, 9200 to 9211</v>
      </c>
      <c r="D54" s="17"/>
      <c r="E54" s="54"/>
      <c r="F54" s="56"/>
      <c r="G54" s="54"/>
      <c r="H54" s="55"/>
      <c r="I54" s="54"/>
      <c r="J54" s="54"/>
      <c r="K54" s="54"/>
      <c r="L54" s="54"/>
      <c r="M54" s="396"/>
    </row>
    <row r="55" spans="1:17" s="31" customFormat="1" x14ac:dyDescent="0.2">
      <c r="A55" s="618">
        <f t="shared" si="0"/>
        <v>51</v>
      </c>
      <c r="B55" s="52" t="str">
        <f>'F23-Sec'!B55</f>
        <v>Total Non-Op Income/(Exp)</v>
      </c>
      <c r="C55" s="716" t="str">
        <f>'F23-Sec'!C55</f>
        <v>=SUM(C49:C54)</v>
      </c>
      <c r="D55" s="51"/>
      <c r="E55" s="49"/>
      <c r="F55" s="50"/>
      <c r="G55" s="49"/>
      <c r="H55" s="49"/>
      <c r="I55" s="49"/>
      <c r="J55" s="49"/>
      <c r="K55" s="49"/>
      <c r="L55" s="49"/>
      <c r="M55" s="397"/>
    </row>
    <row r="56" spans="1:17" s="31" customFormat="1" x14ac:dyDescent="0.2">
      <c r="A56" s="618">
        <f t="shared" si="0"/>
        <v>52</v>
      </c>
      <c r="B56" s="47" t="str">
        <f>'F23-Sec'!B56</f>
        <v>Profit Before Taxation</v>
      </c>
      <c r="C56" s="717" t="str">
        <f>'F23-Sec'!C56</f>
        <v>=C48+C55</v>
      </c>
      <c r="D56" s="46"/>
      <c r="E56" s="45"/>
      <c r="F56" s="44"/>
      <c r="G56" s="43"/>
      <c r="H56" s="43"/>
      <c r="I56" s="43"/>
      <c r="J56" s="43"/>
      <c r="K56" s="43"/>
      <c r="L56" s="43"/>
      <c r="M56" s="400"/>
    </row>
    <row r="57" spans="1:17" x14ac:dyDescent="0.2">
      <c r="A57" s="618">
        <f t="shared" si="0"/>
        <v>53</v>
      </c>
      <c r="B57" s="41" t="str">
        <f>'F23-Sec'!B57</f>
        <v>Less: Taxation</v>
      </c>
      <c r="C57" s="766" t="str">
        <f>'F23-Sec'!C57</f>
        <v xml:space="preserve">9400 to 9999 </v>
      </c>
      <c r="D57" s="17"/>
      <c r="E57" s="39"/>
      <c r="F57" s="40"/>
      <c r="G57" s="39"/>
      <c r="H57" s="39"/>
      <c r="I57" s="39"/>
      <c r="J57" s="39"/>
      <c r="K57" s="39"/>
      <c r="L57" s="39"/>
      <c r="M57" s="401"/>
    </row>
    <row r="58" spans="1:17" s="31" customFormat="1" ht="12" thickBot="1" x14ac:dyDescent="0.25">
      <c r="A58" s="394">
        <f t="shared" si="0"/>
        <v>54</v>
      </c>
      <c r="B58" s="36" t="str">
        <f>'F23-Sec'!B58</f>
        <v>Profits After Taxation</v>
      </c>
      <c r="C58" s="718" t="str">
        <f>'F23-Sec'!C58</f>
        <v>=C56+C57</v>
      </c>
      <c r="D58" s="35"/>
      <c r="E58" s="34"/>
      <c r="F58" s="34"/>
      <c r="G58" s="34"/>
      <c r="H58" s="34"/>
      <c r="I58" s="34"/>
      <c r="J58" s="34"/>
      <c r="K58" s="34"/>
      <c r="L58" s="34"/>
      <c r="M58" s="398"/>
      <c r="O58" s="32"/>
      <c r="P58" s="32"/>
      <c r="Q58" s="32"/>
    </row>
    <row r="59" spans="1:17" s="31" customFormat="1" ht="12" thickTop="1" x14ac:dyDescent="0.2">
      <c r="A59" s="414">
        <f t="shared" si="0"/>
        <v>55</v>
      </c>
      <c r="B59" s="485" t="str">
        <f>'F23-Sec'!B59</f>
        <v>Dividend Declared</v>
      </c>
      <c r="C59" s="756" t="str">
        <f>'F23-Sec'!C59</f>
        <v>4902</v>
      </c>
      <c r="D59" s="482"/>
      <c r="E59" s="482"/>
      <c r="F59" s="482"/>
      <c r="G59" s="482"/>
      <c r="H59" s="482"/>
      <c r="I59" s="482"/>
      <c r="J59" s="482"/>
      <c r="K59" s="482"/>
      <c r="L59" s="483"/>
      <c r="M59" s="483"/>
      <c r="N59" s="32"/>
      <c r="O59" s="32"/>
      <c r="P59" s="32"/>
    </row>
    <row r="60" spans="1:17" x14ac:dyDescent="0.2">
      <c r="A60" s="395"/>
      <c r="B60" s="442" t="str">
        <f>'F23-Sec'!B60</f>
        <v>Performance Indicators</v>
      </c>
      <c r="C60" s="761"/>
      <c r="D60" s="46" t="s">
        <v>1477</v>
      </c>
      <c r="E60" s="51" t="s">
        <v>1478</v>
      </c>
      <c r="F60" s="51" t="s">
        <v>1479</v>
      </c>
      <c r="G60" s="51" t="s">
        <v>1480</v>
      </c>
      <c r="H60" s="51" t="s">
        <v>1481</v>
      </c>
      <c r="I60" s="51" t="s">
        <v>1482</v>
      </c>
      <c r="J60" s="51" t="s">
        <v>1483</v>
      </c>
      <c r="K60" s="51" t="s">
        <v>1484</v>
      </c>
      <c r="L60" s="51" t="s">
        <v>1485</v>
      </c>
      <c r="M60" s="408" t="s">
        <v>14</v>
      </c>
    </row>
    <row r="61" spans="1:17" x14ac:dyDescent="0.2">
      <c r="A61" s="37">
        <f t="shared" ref="A61" si="1">A60+1</f>
        <v>1</v>
      </c>
      <c r="B61" s="29" t="str">
        <f>'F23-Sec'!B61</f>
        <v>Gross Profits Margin %</v>
      </c>
      <c r="C61" s="762" t="str">
        <f>'F23-Sec'!C61</f>
        <v>Gross Profits/Total Sales</v>
      </c>
      <c r="D61" s="28"/>
      <c r="E61" s="26"/>
      <c r="F61" s="26"/>
      <c r="G61" s="27"/>
      <c r="H61" s="16"/>
      <c r="I61" s="26"/>
      <c r="J61" s="26"/>
      <c r="K61" s="26"/>
      <c r="L61" s="26"/>
      <c r="M61" s="409"/>
    </row>
    <row r="62" spans="1:17" x14ac:dyDescent="0.2">
      <c r="A62" s="19">
        <f>A61+1</f>
        <v>2</v>
      </c>
      <c r="B62" s="24" t="str">
        <f>'F23-Sec'!B62</f>
        <v>- External Sales GP %</v>
      </c>
      <c r="C62" s="721" t="str">
        <f>'F23-Sec'!C62</f>
        <v>(External Sales - Cost of External Sales)/External Sales</v>
      </c>
      <c r="D62" s="17"/>
      <c r="E62" s="12"/>
      <c r="F62" s="12"/>
      <c r="G62" s="23"/>
      <c r="H62" s="16"/>
      <c r="I62" s="12"/>
      <c r="J62" s="12"/>
      <c r="K62" s="12"/>
      <c r="L62" s="12"/>
      <c r="M62" s="410"/>
    </row>
    <row r="63" spans="1:17" x14ac:dyDescent="0.2">
      <c r="A63" s="19">
        <v>3</v>
      </c>
      <c r="B63" s="24" t="str">
        <f>'F23-Sec'!B63</f>
        <v>- Interco Sales GP %</v>
      </c>
      <c r="C63" s="721" t="str">
        <f>'F23-Sec'!C63</f>
        <v>(Interco Sales - Cost of Interco Sales)/Interco Sales</v>
      </c>
      <c r="D63" s="17"/>
      <c r="E63" s="12"/>
      <c r="F63" s="12"/>
      <c r="G63" s="23"/>
      <c r="H63" s="16"/>
      <c r="I63" s="12"/>
      <c r="J63" s="12"/>
      <c r="K63" s="12"/>
      <c r="L63" s="12"/>
      <c r="M63" s="410"/>
    </row>
    <row r="64" spans="1:17" x14ac:dyDescent="0.2">
      <c r="A64" s="19">
        <v>4</v>
      </c>
      <c r="B64" s="18" t="str">
        <f>'F23-Sec'!B64</f>
        <v>Selling &amp; Dist Margin %</v>
      </c>
      <c r="C64" s="722" t="str">
        <f>'F23-Sec'!C64</f>
        <v>-Total S&amp;D Exps/Total Sales</v>
      </c>
      <c r="D64" s="17"/>
      <c r="E64" s="12"/>
      <c r="F64" s="12"/>
      <c r="G64" s="12"/>
      <c r="H64" s="16"/>
      <c r="I64" s="12"/>
      <c r="J64" s="12"/>
      <c r="K64" s="12"/>
      <c r="L64" s="12"/>
      <c r="M64" s="410"/>
    </row>
    <row r="65" spans="1:13" x14ac:dyDescent="0.2">
      <c r="A65" s="19">
        <v>5</v>
      </c>
      <c r="B65" s="22" t="str">
        <f>'F23-Sec'!B65</f>
        <v>A&amp;G Margin Direct %</v>
      </c>
      <c r="C65" s="720" t="str">
        <f>'F23-Sec'!C65</f>
        <v>-Total Direct A&amp;G Exps/Total Sales</v>
      </c>
      <c r="D65" s="17"/>
      <c r="E65" s="12"/>
      <c r="F65" s="12"/>
      <c r="G65" s="12"/>
      <c r="H65" s="16"/>
      <c r="I65" s="12"/>
      <c r="J65" s="12"/>
      <c r="K65" s="12"/>
      <c r="L65" s="12"/>
      <c r="M65" s="410"/>
    </row>
    <row r="66" spans="1:13" x14ac:dyDescent="0.2">
      <c r="A66" s="19">
        <v>6</v>
      </c>
      <c r="B66" s="22" t="str">
        <f>'F23-Sec'!B66</f>
        <v>A&amp;G Margin Total %</v>
      </c>
      <c r="C66" s="720" t="str">
        <f>'F23-Sec'!C66</f>
        <v>-Total A&amp;G Exps/Total Sales</v>
      </c>
      <c r="D66" s="17"/>
      <c r="E66" s="12"/>
      <c r="F66" s="12"/>
      <c r="G66" s="12"/>
      <c r="H66" s="16"/>
      <c r="I66" s="12"/>
      <c r="J66" s="12"/>
      <c r="K66" s="12"/>
      <c r="L66" s="12"/>
      <c r="M66" s="410"/>
    </row>
    <row r="67" spans="1:13" x14ac:dyDescent="0.2">
      <c r="A67" s="19">
        <v>7</v>
      </c>
      <c r="B67" s="21" t="str">
        <f>'F23-Sec'!B67</f>
        <v>Operating Profit Margin %</v>
      </c>
      <c r="C67" s="723" t="str">
        <f>'F23-Sec'!C67</f>
        <v>Profits from Operations/Total Sales</v>
      </c>
      <c r="D67" s="17"/>
      <c r="E67" s="12"/>
      <c r="F67" s="12"/>
      <c r="G67" s="12"/>
      <c r="H67" s="12"/>
      <c r="I67" s="12"/>
      <c r="J67" s="12"/>
      <c r="K67" s="12"/>
      <c r="L67" s="12"/>
      <c r="M67" s="402"/>
    </row>
    <row r="68" spans="1:13" x14ac:dyDescent="0.2">
      <c r="A68" s="19">
        <v>8</v>
      </c>
      <c r="B68" s="18" t="str">
        <f>'F23-Sec'!B68</f>
        <v>Profit Before Taxation %</v>
      </c>
      <c r="C68" s="722" t="str">
        <f>'F23-Sec'!C68</f>
        <v>Profits Before Taxation/Total Sales</v>
      </c>
      <c r="D68" s="17"/>
      <c r="E68" s="12"/>
      <c r="F68" s="12"/>
      <c r="G68" s="12"/>
      <c r="H68" s="16"/>
      <c r="I68" s="12"/>
      <c r="J68" s="12"/>
      <c r="K68" s="12"/>
      <c r="L68" s="12"/>
      <c r="M68" s="410"/>
    </row>
    <row r="69" spans="1:13" x14ac:dyDescent="0.2">
      <c r="A69" s="14">
        <v>9</v>
      </c>
      <c r="B69" s="105" t="str">
        <f>'F23-Sec'!B69</f>
        <v>Profit After Taxation %</v>
      </c>
      <c r="C69" s="724" t="str">
        <f>'F23-Sec'!C69</f>
        <v>Profits after Taxation/Total Sales</v>
      </c>
      <c r="D69" s="13"/>
      <c r="E69" s="11"/>
      <c r="F69" s="11"/>
      <c r="G69" s="11"/>
      <c r="H69" s="11"/>
      <c r="I69" s="11"/>
      <c r="J69" s="11"/>
      <c r="K69" s="11"/>
      <c r="L69" s="11"/>
      <c r="M69" s="403"/>
    </row>
    <row r="70" spans="1:13" x14ac:dyDescent="0.2">
      <c r="E70" s="8"/>
      <c r="F70" s="8"/>
      <c r="G70" s="8"/>
      <c r="H70" s="9"/>
      <c r="I70" s="8"/>
      <c r="J70" s="8"/>
      <c r="K70" s="8"/>
      <c r="L70" s="8"/>
      <c r="M70" s="7"/>
    </row>
  </sheetData>
  <mergeCells count="6">
    <mergeCell ref="D1:H1"/>
    <mergeCell ref="I1:M1"/>
    <mergeCell ref="A2:B2"/>
    <mergeCell ref="A3:B4"/>
    <mergeCell ref="D3:H3"/>
    <mergeCell ref="I3:M3"/>
  </mergeCells>
  <printOptions horizontalCentered="1" gridLines="1"/>
  <pageMargins left="0.51181102362204722" right="0.23622047244094491" top="0.74803149606299213" bottom="0.23622047244094491" header="0.51181102362204722" footer="0"/>
  <pageSetup paperSize="9" scale="96"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
  <sheetViews>
    <sheetView zoomScale="120" zoomScaleNormal="120" zoomScaleSheetLayoutView="120" workbookViewId="0">
      <pane xSplit="2" ySplit="3" topLeftCell="C44" activePane="bottomRight" state="frozen"/>
      <selection activeCell="T247" sqref="T247"/>
      <selection pane="topRight" activeCell="T247" sqref="T247"/>
      <selection pane="bottomLeft" activeCell="T247" sqref="T247"/>
      <selection pane="bottomRight" activeCell="C48" sqref="C48"/>
    </sheetView>
  </sheetViews>
  <sheetFormatPr defaultRowHeight="11.25" x14ac:dyDescent="0.2"/>
  <cols>
    <col min="1" max="1" width="3" style="133" customWidth="1"/>
    <col min="2" max="2" width="25.85546875" style="133" bestFit="1" customWidth="1"/>
    <col min="3" max="3" width="35.5703125" style="375" customWidth="1"/>
    <col min="4" max="4" width="7.28515625" style="200" customWidth="1"/>
    <col min="5" max="10" width="7.28515625" style="201" customWidth="1"/>
    <col min="11" max="11" width="8" style="201" customWidth="1"/>
    <col min="12" max="12" width="8.85546875" style="202" customWidth="1"/>
    <col min="13" max="16384" width="9.140625" style="133"/>
  </cols>
  <sheetData>
    <row r="1" spans="1:12" x14ac:dyDescent="0.2">
      <c r="A1" s="894" t="s">
        <v>66</v>
      </c>
      <c r="B1" s="895"/>
      <c r="C1" s="362"/>
      <c r="D1" s="896" t="s">
        <v>1406</v>
      </c>
      <c r="E1" s="896"/>
      <c r="F1" s="896"/>
      <c r="G1" s="896"/>
      <c r="H1" s="897" t="s">
        <v>1407</v>
      </c>
      <c r="I1" s="898"/>
      <c r="J1" s="898"/>
      <c r="K1" s="898"/>
      <c r="L1" s="899"/>
    </row>
    <row r="2" spans="1:12" x14ac:dyDescent="0.2">
      <c r="A2" s="273" t="s">
        <v>1486</v>
      </c>
      <c r="B2" s="274"/>
      <c r="C2" s="363"/>
      <c r="D2" s="310" t="s">
        <v>93</v>
      </c>
      <c r="E2" s="311"/>
      <c r="F2" s="311"/>
      <c r="G2" s="311"/>
      <c r="H2" s="416" t="s">
        <v>63</v>
      </c>
      <c r="I2" s="312"/>
      <c r="J2" s="312"/>
      <c r="K2" s="312"/>
      <c r="L2" s="313"/>
    </row>
    <row r="3" spans="1:12" ht="11.25" customHeight="1" x14ac:dyDescent="0.2">
      <c r="A3" s="904" t="s">
        <v>1489</v>
      </c>
      <c r="B3" s="905"/>
      <c r="C3" s="363"/>
      <c r="D3" s="900" t="s">
        <v>62</v>
      </c>
      <c r="E3" s="900"/>
      <c r="F3" s="900"/>
      <c r="G3" s="900"/>
      <c r="H3" s="901" t="s">
        <v>61</v>
      </c>
      <c r="I3" s="902"/>
      <c r="J3" s="902"/>
      <c r="K3" s="902"/>
      <c r="L3" s="903"/>
    </row>
    <row r="4" spans="1:12" x14ac:dyDescent="0.2">
      <c r="A4" s="610"/>
      <c r="B4" s="611"/>
      <c r="C4" s="364"/>
      <c r="D4" s="890" t="s">
        <v>85</v>
      </c>
      <c r="E4" s="890"/>
      <c r="F4" s="890"/>
      <c r="G4" s="890"/>
      <c r="H4" s="891" t="s">
        <v>86</v>
      </c>
      <c r="I4" s="892"/>
      <c r="J4" s="892"/>
      <c r="K4" s="892"/>
      <c r="L4" s="893"/>
    </row>
    <row r="5" spans="1:12" x14ac:dyDescent="0.2">
      <c r="A5" s="888"/>
      <c r="B5" s="889"/>
      <c r="C5" s="492"/>
      <c r="D5" s="203" t="s">
        <v>1408</v>
      </c>
      <c r="E5" s="203" t="s">
        <v>1409</v>
      </c>
      <c r="F5" s="134" t="s">
        <v>58</v>
      </c>
      <c r="G5" s="134" t="s">
        <v>60</v>
      </c>
      <c r="H5" s="134" t="s">
        <v>59</v>
      </c>
      <c r="I5" s="134" t="s">
        <v>58</v>
      </c>
      <c r="J5" s="134" t="s">
        <v>60</v>
      </c>
      <c r="K5" s="134" t="s">
        <v>56</v>
      </c>
      <c r="L5" s="134" t="s">
        <v>60</v>
      </c>
    </row>
    <row r="6" spans="1:12" x14ac:dyDescent="0.2">
      <c r="A6" s="250">
        <v>1</v>
      </c>
      <c r="B6" s="154" t="s">
        <v>114</v>
      </c>
      <c r="C6" s="368"/>
      <c r="D6" s="155"/>
      <c r="E6" s="156"/>
      <c r="F6" s="157"/>
      <c r="G6" s="158"/>
      <c r="H6" s="420"/>
      <c r="I6" s="156"/>
      <c r="J6" s="156"/>
      <c r="K6" s="158"/>
      <c r="L6" s="159"/>
    </row>
    <row r="7" spans="1:12" x14ac:dyDescent="0.2">
      <c r="A7" s="135">
        <f t="shared" ref="A7:A59" si="0">A6+1</f>
        <v>2</v>
      </c>
      <c r="B7" s="136" t="s">
        <v>464</v>
      </c>
      <c r="C7" s="365">
        <v>6101</v>
      </c>
      <c r="D7" s="137"/>
      <c r="E7" s="138"/>
      <c r="F7" s="139"/>
      <c r="G7" s="140"/>
      <c r="H7" s="417"/>
      <c r="I7" s="138"/>
      <c r="J7" s="138"/>
      <c r="K7" s="140"/>
      <c r="L7" s="141"/>
    </row>
    <row r="8" spans="1:12" x14ac:dyDescent="0.2">
      <c r="A8" s="142">
        <f t="shared" si="0"/>
        <v>3</v>
      </c>
      <c r="B8" s="160" t="s">
        <v>465</v>
      </c>
      <c r="C8" s="367">
        <v>6102</v>
      </c>
      <c r="D8" s="144"/>
      <c r="E8" s="145"/>
      <c r="F8" s="146"/>
      <c r="G8" s="147"/>
      <c r="H8" s="418"/>
      <c r="I8" s="145"/>
      <c r="J8" s="145"/>
      <c r="K8" s="147"/>
      <c r="L8" s="148"/>
    </row>
    <row r="9" spans="1:12" x14ac:dyDescent="0.2">
      <c r="A9" s="142">
        <f t="shared" si="0"/>
        <v>4</v>
      </c>
      <c r="B9" s="143" t="s">
        <v>497</v>
      </c>
      <c r="C9" s="366" t="s">
        <v>1081</v>
      </c>
      <c r="D9" s="149"/>
      <c r="E9" s="150"/>
      <c r="F9" s="151"/>
      <c r="G9" s="152"/>
      <c r="H9" s="419"/>
      <c r="I9" s="150"/>
      <c r="J9" s="150"/>
      <c r="K9" s="152"/>
      <c r="L9" s="153"/>
    </row>
    <row r="10" spans="1:12" x14ac:dyDescent="0.2">
      <c r="A10" s="249">
        <f t="shared" si="0"/>
        <v>5</v>
      </c>
      <c r="B10" s="143" t="s">
        <v>469</v>
      </c>
      <c r="C10" s="366" t="s">
        <v>1082</v>
      </c>
      <c r="D10" s="149"/>
      <c r="E10" s="150"/>
      <c r="F10" s="151"/>
      <c r="G10" s="152"/>
      <c r="H10" s="419"/>
      <c r="I10" s="150"/>
      <c r="J10" s="150"/>
      <c r="K10" s="152"/>
      <c r="L10" s="153"/>
    </row>
    <row r="11" spans="1:12" x14ac:dyDescent="0.2">
      <c r="A11" s="250">
        <f t="shared" si="0"/>
        <v>6</v>
      </c>
      <c r="B11" s="161" t="s">
        <v>115</v>
      </c>
      <c r="C11" s="368" t="s">
        <v>1776</v>
      </c>
      <c r="D11" s="155"/>
      <c r="E11" s="156"/>
      <c r="F11" s="157"/>
      <c r="G11" s="158"/>
      <c r="H11" s="420"/>
      <c r="I11" s="156"/>
      <c r="J11" s="156"/>
      <c r="K11" s="158"/>
      <c r="L11" s="159"/>
    </row>
    <row r="12" spans="1:12" x14ac:dyDescent="0.2">
      <c r="A12" s="135">
        <f t="shared" si="0"/>
        <v>7</v>
      </c>
      <c r="B12" s="162" t="s">
        <v>116</v>
      </c>
      <c r="C12" s="369" t="s">
        <v>1083</v>
      </c>
      <c r="D12" s="137"/>
      <c r="E12" s="138"/>
      <c r="F12" s="139"/>
      <c r="G12" s="140"/>
      <c r="H12" s="417"/>
      <c r="I12" s="138"/>
      <c r="J12" s="138"/>
      <c r="K12" s="140"/>
      <c r="L12" s="141"/>
    </row>
    <row r="13" spans="1:12" x14ac:dyDescent="0.2">
      <c r="A13" s="142">
        <f t="shared" si="0"/>
        <v>8</v>
      </c>
      <c r="B13" s="163" t="s">
        <v>117</v>
      </c>
      <c r="C13" s="370" t="s">
        <v>1084</v>
      </c>
      <c r="D13" s="144"/>
      <c r="E13" s="145"/>
      <c r="F13" s="146"/>
      <c r="G13" s="147"/>
      <c r="H13" s="418"/>
      <c r="I13" s="145"/>
      <c r="J13" s="145"/>
      <c r="K13" s="147"/>
      <c r="L13" s="148"/>
    </row>
    <row r="14" spans="1:12" x14ac:dyDescent="0.2">
      <c r="A14" s="142">
        <f t="shared" si="0"/>
        <v>9</v>
      </c>
      <c r="B14" s="163" t="s">
        <v>118</v>
      </c>
      <c r="C14" s="370" t="s">
        <v>1085</v>
      </c>
      <c r="D14" s="144"/>
      <c r="E14" s="145"/>
      <c r="F14" s="146"/>
      <c r="G14" s="147"/>
      <c r="H14" s="418"/>
      <c r="I14" s="145"/>
      <c r="J14" s="145"/>
      <c r="K14" s="147"/>
      <c r="L14" s="148"/>
    </row>
    <row r="15" spans="1:12" x14ac:dyDescent="0.2">
      <c r="A15" s="142">
        <f>A14+1</f>
        <v>10</v>
      </c>
      <c r="B15" s="163" t="s">
        <v>119</v>
      </c>
      <c r="C15" s="370" t="s">
        <v>1088</v>
      </c>
      <c r="D15" s="144"/>
      <c r="E15" s="145"/>
      <c r="F15" s="146"/>
      <c r="G15" s="147"/>
      <c r="H15" s="418"/>
      <c r="I15" s="145"/>
      <c r="J15" s="145"/>
      <c r="K15" s="147"/>
      <c r="L15" s="148"/>
    </row>
    <row r="16" spans="1:12" x14ac:dyDescent="0.2">
      <c r="A16" s="142">
        <f t="shared" si="0"/>
        <v>11</v>
      </c>
      <c r="B16" s="163" t="s">
        <v>1087</v>
      </c>
      <c r="C16" s="370" t="s">
        <v>1581</v>
      </c>
      <c r="D16" s="144"/>
      <c r="E16" s="145"/>
      <c r="F16" s="146"/>
      <c r="G16" s="147"/>
      <c r="H16" s="418"/>
      <c r="I16" s="145"/>
      <c r="J16" s="145"/>
      <c r="K16" s="147"/>
      <c r="L16" s="148"/>
    </row>
    <row r="17" spans="1:16" x14ac:dyDescent="0.2">
      <c r="A17" s="142">
        <f t="shared" si="0"/>
        <v>12</v>
      </c>
      <c r="B17" s="163" t="s">
        <v>120</v>
      </c>
      <c r="C17" s="370" t="s">
        <v>1089</v>
      </c>
      <c r="D17" s="144"/>
      <c r="E17" s="145"/>
      <c r="F17" s="146"/>
      <c r="G17" s="147"/>
      <c r="H17" s="418"/>
      <c r="I17" s="145"/>
      <c r="J17" s="145"/>
      <c r="K17" s="147"/>
      <c r="L17" s="148"/>
    </row>
    <row r="18" spans="1:16" x14ac:dyDescent="0.2">
      <c r="A18" s="142">
        <f t="shared" si="0"/>
        <v>13</v>
      </c>
      <c r="B18" s="163" t="s">
        <v>121</v>
      </c>
      <c r="C18" s="370" t="s">
        <v>1090</v>
      </c>
      <c r="D18" s="144"/>
      <c r="E18" s="145"/>
      <c r="F18" s="146"/>
      <c r="G18" s="147"/>
      <c r="H18" s="418"/>
      <c r="I18" s="145"/>
      <c r="J18" s="145"/>
      <c r="K18" s="147"/>
      <c r="L18" s="148"/>
    </row>
    <row r="19" spans="1:16" x14ac:dyDescent="0.2">
      <c r="A19" s="142">
        <f t="shared" si="0"/>
        <v>14</v>
      </c>
      <c r="B19" s="163" t="s">
        <v>1092</v>
      </c>
      <c r="C19" s="370" t="s">
        <v>1091</v>
      </c>
      <c r="D19" s="144"/>
      <c r="E19" s="145"/>
      <c r="F19" s="146"/>
      <c r="G19" s="147"/>
      <c r="H19" s="418"/>
      <c r="I19" s="145"/>
      <c r="J19" s="145"/>
      <c r="K19" s="147"/>
      <c r="L19" s="148"/>
      <c r="P19" s="171"/>
    </row>
    <row r="20" spans="1:16" x14ac:dyDescent="0.2">
      <c r="A20" s="249">
        <f t="shared" si="0"/>
        <v>15</v>
      </c>
      <c r="B20" s="164" t="s">
        <v>122</v>
      </c>
      <c r="C20" s="366" t="s">
        <v>1582</v>
      </c>
      <c r="D20" s="149"/>
      <c r="E20" s="150"/>
      <c r="F20" s="151"/>
      <c r="G20" s="152"/>
      <c r="H20" s="419"/>
      <c r="I20" s="150"/>
      <c r="J20" s="150"/>
      <c r="K20" s="152"/>
      <c r="L20" s="153"/>
    </row>
    <row r="21" spans="1:16" x14ac:dyDescent="0.2">
      <c r="A21" s="250">
        <f t="shared" si="0"/>
        <v>16</v>
      </c>
      <c r="B21" s="161" t="s">
        <v>123</v>
      </c>
      <c r="C21" s="368" t="s">
        <v>1777</v>
      </c>
      <c r="D21" s="155"/>
      <c r="E21" s="156"/>
      <c r="F21" s="157"/>
      <c r="G21" s="158"/>
      <c r="H21" s="420"/>
      <c r="I21" s="156"/>
      <c r="J21" s="156"/>
      <c r="K21" s="158"/>
      <c r="L21" s="159"/>
    </row>
    <row r="22" spans="1:16" s="171" customFormat="1" x14ac:dyDescent="0.2">
      <c r="A22" s="250">
        <f t="shared" si="0"/>
        <v>17</v>
      </c>
      <c r="B22" s="165" t="s">
        <v>1093</v>
      </c>
      <c r="C22" s="371" t="s">
        <v>1094</v>
      </c>
      <c r="D22" s="166"/>
      <c r="E22" s="167"/>
      <c r="F22" s="168"/>
      <c r="G22" s="169"/>
      <c r="H22" s="421"/>
      <c r="I22" s="167"/>
      <c r="J22" s="167"/>
      <c r="K22" s="169"/>
      <c r="L22" s="170"/>
    </row>
    <row r="23" spans="1:16" s="171" customFormat="1" ht="12" thickBot="1" x14ac:dyDescent="0.25">
      <c r="A23" s="390">
        <f t="shared" si="0"/>
        <v>18</v>
      </c>
      <c r="B23" s="172" t="s">
        <v>124</v>
      </c>
      <c r="C23" s="372" t="s">
        <v>1778</v>
      </c>
      <c r="D23" s="173"/>
      <c r="E23" s="174"/>
      <c r="F23" s="175"/>
      <c r="G23" s="176"/>
      <c r="H23" s="422"/>
      <c r="I23" s="174"/>
      <c r="J23" s="174"/>
      <c r="K23" s="176"/>
      <c r="L23" s="177"/>
    </row>
    <row r="24" spans="1:16" ht="12" thickTop="1" x14ac:dyDescent="0.2">
      <c r="A24" s="391">
        <f t="shared" si="0"/>
        <v>19</v>
      </c>
      <c r="B24" s="161" t="s">
        <v>125</v>
      </c>
      <c r="C24" s="368" t="s">
        <v>1095</v>
      </c>
      <c r="D24" s="155"/>
      <c r="E24" s="156"/>
      <c r="F24" s="157"/>
      <c r="G24" s="158"/>
      <c r="H24" s="420"/>
      <c r="I24" s="156"/>
      <c r="J24" s="156"/>
      <c r="K24" s="158"/>
      <c r="L24" s="159"/>
    </row>
    <row r="25" spans="1:16" x14ac:dyDescent="0.2">
      <c r="A25" s="135">
        <f t="shared" si="0"/>
        <v>20</v>
      </c>
      <c r="B25" s="162" t="s">
        <v>116</v>
      </c>
      <c r="C25" s="369" t="s">
        <v>1096</v>
      </c>
      <c r="D25" s="137"/>
      <c r="E25" s="138"/>
      <c r="F25" s="139"/>
      <c r="G25" s="140"/>
      <c r="H25" s="417"/>
      <c r="I25" s="138"/>
      <c r="J25" s="138"/>
      <c r="K25" s="140"/>
      <c r="L25" s="141"/>
    </row>
    <row r="26" spans="1:16" x14ac:dyDescent="0.2">
      <c r="A26" s="142">
        <f t="shared" si="0"/>
        <v>21</v>
      </c>
      <c r="B26" s="163" t="s">
        <v>117</v>
      </c>
      <c r="C26" s="370" t="s">
        <v>1097</v>
      </c>
      <c r="D26" s="144"/>
      <c r="E26" s="145"/>
      <c r="F26" s="146"/>
      <c r="G26" s="147"/>
      <c r="H26" s="418"/>
      <c r="I26" s="145"/>
      <c r="J26" s="145"/>
      <c r="K26" s="147"/>
      <c r="L26" s="148"/>
    </row>
    <row r="27" spans="1:16" x14ac:dyDescent="0.2">
      <c r="A27" s="142">
        <f t="shared" si="0"/>
        <v>22</v>
      </c>
      <c r="B27" s="163" t="s">
        <v>126</v>
      </c>
      <c r="C27" s="370" t="s">
        <v>1098</v>
      </c>
      <c r="D27" s="144"/>
      <c r="E27" s="145"/>
      <c r="F27" s="146"/>
      <c r="G27" s="147"/>
      <c r="H27" s="418"/>
      <c r="I27" s="145"/>
      <c r="J27" s="145"/>
      <c r="K27" s="147"/>
      <c r="L27" s="148"/>
    </row>
    <row r="28" spans="1:16" x14ac:dyDescent="0.2">
      <c r="A28" s="142">
        <f t="shared" si="0"/>
        <v>23</v>
      </c>
      <c r="B28" s="163" t="s">
        <v>119</v>
      </c>
      <c r="C28" s="370" t="s">
        <v>1099</v>
      </c>
      <c r="D28" s="144"/>
      <c r="E28" s="145"/>
      <c r="F28" s="146"/>
      <c r="G28" s="147"/>
      <c r="H28" s="418"/>
      <c r="I28" s="145"/>
      <c r="J28" s="145"/>
      <c r="K28" s="147"/>
      <c r="L28" s="148"/>
    </row>
    <row r="29" spans="1:16" x14ac:dyDescent="0.2">
      <c r="A29" s="142">
        <f t="shared" si="0"/>
        <v>24</v>
      </c>
      <c r="B29" s="163" t="s">
        <v>1087</v>
      </c>
      <c r="C29" s="370" t="s">
        <v>1583</v>
      </c>
      <c r="D29" s="144"/>
      <c r="E29" s="145"/>
      <c r="F29" s="146"/>
      <c r="G29" s="147"/>
      <c r="H29" s="418"/>
      <c r="I29" s="145"/>
      <c r="J29" s="145"/>
      <c r="K29" s="147"/>
      <c r="L29" s="148"/>
    </row>
    <row r="30" spans="1:16" x14ac:dyDescent="0.2">
      <c r="A30" s="142">
        <f t="shared" si="0"/>
        <v>25</v>
      </c>
      <c r="B30" s="163" t="s">
        <v>120</v>
      </c>
      <c r="C30" s="370" t="s">
        <v>1100</v>
      </c>
      <c r="D30" s="144"/>
      <c r="E30" s="145"/>
      <c r="F30" s="146"/>
      <c r="G30" s="147"/>
      <c r="H30" s="418"/>
      <c r="I30" s="145"/>
      <c r="J30" s="145"/>
      <c r="K30" s="147"/>
      <c r="L30" s="148"/>
    </row>
    <row r="31" spans="1:16" x14ac:dyDescent="0.2">
      <c r="A31" s="142">
        <f t="shared" si="0"/>
        <v>26</v>
      </c>
      <c r="B31" s="163" t="s">
        <v>121</v>
      </c>
      <c r="C31" s="370" t="s">
        <v>1101</v>
      </c>
      <c r="D31" s="144"/>
      <c r="E31" s="145"/>
      <c r="F31" s="146"/>
      <c r="G31" s="147"/>
      <c r="H31" s="418"/>
      <c r="I31" s="145"/>
      <c r="J31" s="145"/>
      <c r="K31" s="147"/>
      <c r="L31" s="148"/>
    </row>
    <row r="32" spans="1:16" x14ac:dyDescent="0.2">
      <c r="A32" s="142">
        <f t="shared" si="0"/>
        <v>27</v>
      </c>
      <c r="B32" s="163" t="s">
        <v>1092</v>
      </c>
      <c r="C32" s="370" t="s">
        <v>1102</v>
      </c>
      <c r="D32" s="144"/>
      <c r="E32" s="145"/>
      <c r="F32" s="146"/>
      <c r="G32" s="147"/>
      <c r="H32" s="418"/>
      <c r="I32" s="145"/>
      <c r="J32" s="145"/>
      <c r="K32" s="147"/>
      <c r="L32" s="148"/>
    </row>
    <row r="33" spans="1:12" x14ac:dyDescent="0.2">
      <c r="A33" s="142">
        <f t="shared" si="0"/>
        <v>28</v>
      </c>
      <c r="B33" s="163" t="s">
        <v>128</v>
      </c>
      <c r="C33" s="377" t="s">
        <v>1103</v>
      </c>
      <c r="D33" s="144"/>
      <c r="E33" s="145"/>
      <c r="F33" s="146"/>
      <c r="G33" s="147"/>
      <c r="H33" s="418"/>
      <c r="I33" s="145"/>
      <c r="J33" s="145"/>
      <c r="K33" s="147"/>
      <c r="L33" s="148"/>
    </row>
    <row r="34" spans="1:12" x14ac:dyDescent="0.2">
      <c r="A34" s="142">
        <f t="shared" si="0"/>
        <v>29</v>
      </c>
      <c r="B34" s="163" t="s">
        <v>129</v>
      </c>
      <c r="C34" s="377" t="s">
        <v>1584</v>
      </c>
      <c r="D34" s="144"/>
      <c r="E34" s="145"/>
      <c r="F34" s="146"/>
      <c r="G34" s="147"/>
      <c r="H34" s="418"/>
      <c r="I34" s="145"/>
      <c r="J34" s="145"/>
      <c r="K34" s="147"/>
      <c r="L34" s="148"/>
    </row>
    <row r="35" spans="1:12" x14ac:dyDescent="0.2">
      <c r="A35" s="142">
        <f t="shared" si="0"/>
        <v>30</v>
      </c>
      <c r="B35" s="163" t="s">
        <v>1784</v>
      </c>
      <c r="C35" s="377"/>
      <c r="D35" s="144"/>
      <c r="E35" s="145"/>
      <c r="F35" s="146"/>
      <c r="G35" s="147"/>
      <c r="H35" s="418"/>
      <c r="I35" s="145"/>
      <c r="J35" s="145"/>
      <c r="K35" s="147"/>
      <c r="L35" s="148"/>
    </row>
    <row r="36" spans="1:12" x14ac:dyDescent="0.2">
      <c r="A36" s="142">
        <f t="shared" si="0"/>
        <v>31</v>
      </c>
      <c r="B36" s="163" t="s">
        <v>1785</v>
      </c>
      <c r="C36" s="377"/>
      <c r="D36" s="144"/>
      <c r="E36" s="145"/>
      <c r="F36" s="146"/>
      <c r="G36" s="147"/>
      <c r="H36" s="418"/>
      <c r="I36" s="145"/>
      <c r="J36" s="145"/>
      <c r="K36" s="147"/>
      <c r="L36" s="148"/>
    </row>
    <row r="37" spans="1:12" x14ac:dyDescent="0.2">
      <c r="A37" s="250">
        <f>A36+1</f>
        <v>32</v>
      </c>
      <c r="B37" s="178" t="s">
        <v>130</v>
      </c>
      <c r="C37" s="368" t="s">
        <v>1779</v>
      </c>
      <c r="D37" s="155"/>
      <c r="E37" s="156"/>
      <c r="F37" s="157"/>
      <c r="G37" s="158"/>
      <c r="H37" s="420"/>
      <c r="I37" s="156"/>
      <c r="J37" s="156"/>
      <c r="K37" s="158"/>
      <c r="L37" s="159"/>
    </row>
    <row r="38" spans="1:12" x14ac:dyDescent="0.2">
      <c r="A38" s="135">
        <f t="shared" si="0"/>
        <v>33</v>
      </c>
      <c r="B38" s="136" t="s">
        <v>131</v>
      </c>
      <c r="C38" s="365" t="s">
        <v>1104</v>
      </c>
      <c r="D38" s="137"/>
      <c r="E38" s="138"/>
      <c r="F38" s="139"/>
      <c r="G38" s="140"/>
      <c r="H38" s="417"/>
      <c r="I38" s="138"/>
      <c r="J38" s="138"/>
      <c r="K38" s="140"/>
      <c r="L38" s="141"/>
    </row>
    <row r="39" spans="1:12" x14ac:dyDescent="0.2">
      <c r="A39" s="142">
        <f t="shared" si="0"/>
        <v>34</v>
      </c>
      <c r="B39" s="143" t="s">
        <v>132</v>
      </c>
      <c r="C39" s="366" t="s">
        <v>1105</v>
      </c>
      <c r="D39" s="144"/>
      <c r="E39" s="145"/>
      <c r="F39" s="146"/>
      <c r="G39" s="147"/>
      <c r="H39" s="418"/>
      <c r="I39" s="145"/>
      <c r="J39" s="145"/>
      <c r="K39" s="147"/>
      <c r="L39" s="148"/>
    </row>
    <row r="40" spans="1:12" x14ac:dyDescent="0.2">
      <c r="A40" s="142">
        <f t="shared" si="0"/>
        <v>35</v>
      </c>
      <c r="B40" s="143" t="s">
        <v>1510</v>
      </c>
      <c r="C40" s="366" t="s">
        <v>1106</v>
      </c>
      <c r="D40" s="179"/>
      <c r="E40" s="145"/>
      <c r="F40" s="146"/>
      <c r="G40" s="147"/>
      <c r="H40" s="418"/>
      <c r="I40" s="145"/>
      <c r="J40" s="145"/>
      <c r="K40" s="147"/>
      <c r="L40" s="148"/>
    </row>
    <row r="41" spans="1:12" x14ac:dyDescent="0.2">
      <c r="A41" s="142">
        <f t="shared" si="0"/>
        <v>36</v>
      </c>
      <c r="B41" s="160" t="s">
        <v>133</v>
      </c>
      <c r="C41" s="367" t="s">
        <v>1107</v>
      </c>
      <c r="D41" s="144"/>
      <c r="E41" s="145"/>
      <c r="F41" s="146"/>
      <c r="G41" s="147"/>
      <c r="H41" s="418"/>
      <c r="I41" s="145"/>
      <c r="J41" s="145"/>
      <c r="K41" s="147"/>
      <c r="L41" s="148"/>
    </row>
    <row r="42" spans="1:12" x14ac:dyDescent="0.2">
      <c r="A42" s="142">
        <f t="shared" si="0"/>
        <v>37</v>
      </c>
      <c r="B42" s="160" t="s">
        <v>134</v>
      </c>
      <c r="C42" s="367" t="s">
        <v>1108</v>
      </c>
      <c r="D42" s="144"/>
      <c r="E42" s="145"/>
      <c r="F42" s="146"/>
      <c r="G42" s="147"/>
      <c r="H42" s="418"/>
      <c r="I42" s="145"/>
      <c r="J42" s="145"/>
      <c r="K42" s="147"/>
      <c r="L42" s="148"/>
    </row>
    <row r="43" spans="1:12" x14ac:dyDescent="0.2">
      <c r="A43" s="142">
        <f>A42+1</f>
        <v>38</v>
      </c>
      <c r="B43" s="160" t="s">
        <v>1511</v>
      </c>
      <c r="C43" s="367" t="s">
        <v>1168</v>
      </c>
      <c r="D43" s="144"/>
      <c r="E43" s="145"/>
      <c r="F43" s="146"/>
      <c r="G43" s="147"/>
      <c r="H43" s="418"/>
      <c r="I43" s="145"/>
      <c r="J43" s="145"/>
      <c r="K43" s="147"/>
      <c r="L43" s="148"/>
    </row>
    <row r="44" spans="1:12" x14ac:dyDescent="0.2">
      <c r="A44" s="142">
        <f t="shared" ref="A44:A46" si="1">A43+1</f>
        <v>39</v>
      </c>
      <c r="B44" s="160" t="s">
        <v>1784</v>
      </c>
      <c r="C44" s="367"/>
      <c r="D44" s="144"/>
      <c r="E44" s="145"/>
      <c r="F44" s="146"/>
      <c r="G44" s="147"/>
      <c r="H44" s="418"/>
      <c r="I44" s="145"/>
      <c r="J44" s="145"/>
      <c r="K44" s="147"/>
      <c r="L44" s="148"/>
    </row>
    <row r="45" spans="1:12" x14ac:dyDescent="0.2">
      <c r="A45" s="142">
        <f t="shared" si="1"/>
        <v>40</v>
      </c>
      <c r="B45" s="160" t="s">
        <v>1785</v>
      </c>
      <c r="C45" s="367"/>
      <c r="D45" s="144"/>
      <c r="E45" s="145"/>
      <c r="F45" s="146"/>
      <c r="G45" s="147"/>
      <c r="H45" s="418"/>
      <c r="I45" s="145"/>
      <c r="J45" s="145"/>
      <c r="K45" s="147"/>
      <c r="L45" s="148"/>
    </row>
    <row r="46" spans="1:12" x14ac:dyDescent="0.2">
      <c r="A46" s="250">
        <f t="shared" si="1"/>
        <v>41</v>
      </c>
      <c r="B46" s="178" t="s">
        <v>1814</v>
      </c>
      <c r="C46" s="368" t="s">
        <v>1780</v>
      </c>
      <c r="D46" s="155"/>
      <c r="E46" s="156"/>
      <c r="F46" s="157"/>
      <c r="G46" s="158"/>
      <c r="H46" s="420"/>
      <c r="I46" s="156"/>
      <c r="J46" s="156"/>
      <c r="K46" s="158"/>
      <c r="L46" s="159"/>
    </row>
    <row r="47" spans="1:12" ht="12" thickBot="1" x14ac:dyDescent="0.25">
      <c r="A47" s="390">
        <f>A46+1</f>
        <v>42</v>
      </c>
      <c r="B47" s="172" t="s">
        <v>1775</v>
      </c>
      <c r="C47" s="809" t="s">
        <v>1781</v>
      </c>
      <c r="D47" s="770"/>
      <c r="E47" s="174"/>
      <c r="F47" s="175"/>
      <c r="G47" s="176"/>
      <c r="H47" s="422"/>
      <c r="I47" s="174"/>
      <c r="J47" s="174"/>
      <c r="K47" s="176"/>
      <c r="L47" s="177"/>
    </row>
    <row r="48" spans="1:12" ht="12" thickTop="1" x14ac:dyDescent="0.2">
      <c r="A48" s="135">
        <f>A47+1</f>
        <v>43</v>
      </c>
      <c r="B48" s="180" t="s">
        <v>1217</v>
      </c>
      <c r="C48" s="365" t="s">
        <v>1512</v>
      </c>
      <c r="D48" s="181"/>
      <c r="E48" s="182"/>
      <c r="F48" s="182"/>
      <c r="G48" s="183"/>
      <c r="H48" s="423"/>
      <c r="I48" s="182"/>
      <c r="J48" s="182"/>
      <c r="K48" s="183"/>
      <c r="L48" s="184"/>
    </row>
    <row r="49" spans="1:12" x14ac:dyDescent="0.2">
      <c r="A49" s="142">
        <f t="shared" si="0"/>
        <v>44</v>
      </c>
      <c r="B49" s="185" t="s">
        <v>137</v>
      </c>
      <c r="C49" s="367" t="s">
        <v>1171</v>
      </c>
      <c r="D49" s="186"/>
      <c r="E49" s="187"/>
      <c r="F49" s="187"/>
      <c r="G49" s="188"/>
      <c r="H49" s="424"/>
      <c r="I49" s="187"/>
      <c r="J49" s="187"/>
      <c r="K49" s="188"/>
      <c r="L49" s="189"/>
    </row>
    <row r="50" spans="1:12" x14ac:dyDescent="0.2">
      <c r="A50" s="142">
        <f t="shared" si="0"/>
        <v>45</v>
      </c>
      <c r="B50" s="185" t="s">
        <v>1514</v>
      </c>
      <c r="C50" s="367" t="s">
        <v>1513</v>
      </c>
      <c r="D50" s="186"/>
      <c r="E50" s="187"/>
      <c r="F50" s="187"/>
      <c r="G50" s="188"/>
      <c r="H50" s="424"/>
      <c r="I50" s="187"/>
      <c r="J50" s="187"/>
      <c r="K50" s="188"/>
      <c r="L50" s="189"/>
    </row>
    <row r="51" spans="1:12" x14ac:dyDescent="0.2">
      <c r="A51" s="142">
        <f t="shared" si="0"/>
        <v>46</v>
      </c>
      <c r="B51" s="185" t="s">
        <v>1543</v>
      </c>
      <c r="C51" s="367" t="s">
        <v>1585</v>
      </c>
      <c r="D51" s="186"/>
      <c r="E51" s="187"/>
      <c r="F51" s="187"/>
      <c r="G51" s="188"/>
      <c r="H51" s="424"/>
      <c r="I51" s="187"/>
      <c r="J51" s="187"/>
      <c r="K51" s="188"/>
      <c r="L51" s="189"/>
    </row>
    <row r="52" spans="1:12" x14ac:dyDescent="0.2">
      <c r="A52" s="142">
        <f t="shared" si="0"/>
        <v>47</v>
      </c>
      <c r="B52" s="185" t="s">
        <v>138</v>
      </c>
      <c r="C52" s="367" t="s">
        <v>1219</v>
      </c>
      <c r="D52" s="186"/>
      <c r="E52" s="187"/>
      <c r="F52" s="187"/>
      <c r="G52" s="188"/>
      <c r="H52" s="424"/>
      <c r="I52" s="187"/>
      <c r="J52" s="187"/>
      <c r="K52" s="188"/>
      <c r="L52" s="189"/>
    </row>
    <row r="53" spans="1:12" x14ac:dyDescent="0.2">
      <c r="A53" s="142">
        <f t="shared" si="0"/>
        <v>48</v>
      </c>
      <c r="B53" s="185" t="s">
        <v>139</v>
      </c>
      <c r="C53" s="367" t="s">
        <v>1218</v>
      </c>
      <c r="D53" s="186"/>
      <c r="E53" s="187"/>
      <c r="F53" s="187"/>
      <c r="G53" s="188"/>
      <c r="H53" s="424"/>
      <c r="I53" s="187"/>
      <c r="J53" s="187"/>
      <c r="K53" s="188"/>
      <c r="L53" s="189"/>
    </row>
    <row r="54" spans="1:12" x14ac:dyDescent="0.2">
      <c r="A54" s="142">
        <f t="shared" si="0"/>
        <v>49</v>
      </c>
      <c r="B54" s="185" t="s">
        <v>140</v>
      </c>
      <c r="C54" s="367" t="s">
        <v>1203</v>
      </c>
      <c r="D54" s="186"/>
      <c r="E54" s="187"/>
      <c r="F54" s="187"/>
      <c r="G54" s="188"/>
      <c r="H54" s="424"/>
      <c r="I54" s="187"/>
      <c r="J54" s="187"/>
      <c r="K54" s="188"/>
      <c r="L54" s="189"/>
    </row>
    <row r="55" spans="1:12" x14ac:dyDescent="0.2">
      <c r="A55" s="142">
        <f t="shared" si="0"/>
        <v>50</v>
      </c>
      <c r="B55" s="185" t="s">
        <v>141</v>
      </c>
      <c r="C55" s="367" t="s">
        <v>1586</v>
      </c>
      <c r="D55" s="186"/>
      <c r="E55" s="187"/>
      <c r="F55" s="187"/>
      <c r="G55" s="188"/>
      <c r="H55" s="424"/>
      <c r="I55" s="187"/>
      <c r="J55" s="187"/>
      <c r="K55" s="188"/>
      <c r="L55" s="189"/>
    </row>
    <row r="56" spans="1:12" x14ac:dyDescent="0.2">
      <c r="A56" s="142">
        <f t="shared" si="0"/>
        <v>51</v>
      </c>
      <c r="B56" s="185" t="s">
        <v>1784</v>
      </c>
      <c r="C56" s="367"/>
      <c r="D56" s="186"/>
      <c r="E56" s="187"/>
      <c r="F56" s="187"/>
      <c r="G56" s="188"/>
      <c r="H56" s="424"/>
      <c r="I56" s="187"/>
      <c r="J56" s="187"/>
      <c r="K56" s="188"/>
      <c r="L56" s="189"/>
    </row>
    <row r="57" spans="1:12" x14ac:dyDescent="0.2">
      <c r="A57" s="142">
        <f t="shared" si="0"/>
        <v>52</v>
      </c>
      <c r="B57" s="185" t="s">
        <v>1785</v>
      </c>
      <c r="C57" s="367"/>
      <c r="D57" s="186"/>
      <c r="E57" s="187"/>
      <c r="F57" s="187"/>
      <c r="G57" s="188"/>
      <c r="H57" s="424"/>
      <c r="I57" s="187"/>
      <c r="J57" s="187"/>
      <c r="K57" s="188"/>
      <c r="L57" s="189"/>
    </row>
    <row r="58" spans="1:12" x14ac:dyDescent="0.2">
      <c r="A58" s="250">
        <f>A57+1</f>
        <v>53</v>
      </c>
      <c r="B58" s="178" t="s">
        <v>142</v>
      </c>
      <c r="C58" s="368" t="s">
        <v>1782</v>
      </c>
      <c r="D58" s="190"/>
      <c r="E58" s="191"/>
      <c r="F58" s="191"/>
      <c r="G58" s="192"/>
      <c r="H58" s="425"/>
      <c r="I58" s="191"/>
      <c r="J58" s="191"/>
      <c r="K58" s="192"/>
      <c r="L58" s="193"/>
    </row>
    <row r="59" spans="1:12" ht="12" thickBot="1" x14ac:dyDescent="0.25">
      <c r="A59" s="392">
        <f t="shared" si="0"/>
        <v>54</v>
      </c>
      <c r="B59" s="172" t="s">
        <v>143</v>
      </c>
      <c r="C59" s="372" t="s">
        <v>1783</v>
      </c>
      <c r="D59" s="194"/>
      <c r="E59" s="195"/>
      <c r="F59" s="195"/>
      <c r="G59" s="196"/>
      <c r="H59" s="426"/>
      <c r="I59" s="195"/>
      <c r="J59" s="195"/>
      <c r="K59" s="196"/>
      <c r="L59" s="197"/>
    </row>
    <row r="60" spans="1:12" ht="12" thickTop="1" x14ac:dyDescent="0.2"/>
  </sheetData>
  <mergeCells count="9">
    <mergeCell ref="A5:B5"/>
    <mergeCell ref="D4:G4"/>
    <mergeCell ref="H4:L4"/>
    <mergeCell ref="A1:B1"/>
    <mergeCell ref="D1:G1"/>
    <mergeCell ref="H1:L1"/>
    <mergeCell ref="D3:G3"/>
    <mergeCell ref="H3:L3"/>
    <mergeCell ref="A3:B3"/>
  </mergeCells>
  <printOptions horizontalCentered="1" gridLines="1"/>
  <pageMargins left="0.7" right="0.7" top="0.75" bottom="0.75" header="0.3" footer="0.3"/>
  <pageSetup paperSize="9" scale="91" fitToHeight="100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zoomScale="110" zoomScaleNormal="110" zoomScaleSheetLayoutView="120" workbookViewId="0">
      <pane xSplit="2" ySplit="3" topLeftCell="C7" activePane="bottomRight" state="frozen"/>
      <selection activeCell="T247" sqref="T247"/>
      <selection pane="topRight" activeCell="T247" sqref="T247"/>
      <selection pane="bottomLeft" activeCell="T247" sqref="T247"/>
      <selection pane="bottomRight" activeCell="C45" sqref="C45"/>
    </sheetView>
  </sheetViews>
  <sheetFormatPr defaultRowHeight="11.25" x14ac:dyDescent="0.2"/>
  <cols>
    <col min="1" max="1" width="3" style="133" customWidth="1"/>
    <col min="2" max="2" width="25.85546875" style="133" bestFit="1" customWidth="1"/>
    <col min="3" max="3" width="35.5703125" style="133" customWidth="1"/>
    <col min="4" max="4" width="6.28515625" style="658" customWidth="1"/>
    <col min="5" max="6" width="6.28515625" style="659" customWidth="1"/>
    <col min="7" max="7" width="7.28515625" style="659" customWidth="1"/>
    <col min="8" max="8" width="6.140625" style="660" bestFit="1" customWidth="1"/>
    <col min="9" max="9" width="6.28515625" style="659" customWidth="1"/>
    <col min="10" max="11" width="6.140625" style="659" bestFit="1" customWidth="1"/>
    <col min="12" max="12" width="7.5703125" style="202" customWidth="1"/>
    <col min="13" max="16384" width="9.140625" style="133"/>
  </cols>
  <sheetData>
    <row r="1" spans="1:12" x14ac:dyDescent="0.2">
      <c r="A1" s="908" t="s">
        <v>66</v>
      </c>
      <c r="B1" s="909"/>
      <c r="C1" s="767"/>
      <c r="D1" s="910" t="str">
        <f>'F24'!D1:G1</f>
        <v>AS OF: 11-Oct-2017</v>
      </c>
      <c r="E1" s="911"/>
      <c r="F1" s="911"/>
      <c r="G1" s="911"/>
      <c r="H1" s="912"/>
      <c r="I1" s="913" t="s">
        <v>1407</v>
      </c>
      <c r="J1" s="914"/>
      <c r="K1" s="914"/>
      <c r="L1" s="915"/>
    </row>
    <row r="2" spans="1:12" x14ac:dyDescent="0.2">
      <c r="A2" s="555" t="s">
        <v>92</v>
      </c>
      <c r="B2" s="556"/>
      <c r="C2" s="768"/>
      <c r="D2" s="625" t="s">
        <v>93</v>
      </c>
      <c r="E2" s="626"/>
      <c r="F2" s="626"/>
      <c r="G2" s="626"/>
      <c r="H2" s="627"/>
      <c r="I2" s="628" t="s">
        <v>63</v>
      </c>
      <c r="J2" s="629"/>
      <c r="K2" s="629"/>
      <c r="L2" s="630"/>
    </row>
    <row r="3" spans="1:12" x14ac:dyDescent="0.2">
      <c r="A3" s="916" t="s">
        <v>1490</v>
      </c>
      <c r="B3" s="917"/>
      <c r="C3" s="768"/>
      <c r="D3" s="918" t="s">
        <v>62</v>
      </c>
      <c r="E3" s="900"/>
      <c r="F3" s="900"/>
      <c r="G3" s="900"/>
      <c r="H3" s="900"/>
      <c r="I3" s="902" t="s">
        <v>61</v>
      </c>
      <c r="J3" s="902"/>
      <c r="K3" s="902"/>
      <c r="L3" s="903"/>
    </row>
    <row r="4" spans="1:12" x14ac:dyDescent="0.2">
      <c r="A4" s="906" t="s">
        <v>1509</v>
      </c>
      <c r="B4" s="907"/>
      <c r="C4" s="771"/>
      <c r="D4" s="631" t="s">
        <v>94</v>
      </c>
      <c r="E4" s="632" t="s">
        <v>95</v>
      </c>
      <c r="F4" s="632" t="s">
        <v>96</v>
      </c>
      <c r="G4" s="632" t="s">
        <v>97</v>
      </c>
      <c r="H4" s="632" t="s">
        <v>98</v>
      </c>
      <c r="I4" s="632" t="s">
        <v>99</v>
      </c>
      <c r="J4" s="632" t="s">
        <v>100</v>
      </c>
      <c r="K4" s="633" t="s">
        <v>101</v>
      </c>
      <c r="L4" s="631" t="s">
        <v>14</v>
      </c>
    </row>
    <row r="5" spans="1:12" x14ac:dyDescent="0.2">
      <c r="A5" s="250">
        <v>1</v>
      </c>
      <c r="B5" s="154" t="str">
        <f>'F24'!B6</f>
        <v>Manufacturing Costs</v>
      </c>
      <c r="C5" s="769"/>
      <c r="D5" s="638"/>
      <c r="E5" s="156"/>
      <c r="F5" s="157"/>
      <c r="G5" s="158"/>
      <c r="H5" s="158"/>
      <c r="I5" s="158"/>
      <c r="J5" s="156"/>
      <c r="K5" s="639"/>
      <c r="L5" s="640"/>
    </row>
    <row r="6" spans="1:12" x14ac:dyDescent="0.2">
      <c r="A6" s="135">
        <f t="shared" ref="A6:A16" si="0">A5+1</f>
        <v>2</v>
      </c>
      <c r="B6" s="136" t="str">
        <f>'F24'!B7</f>
        <v>DM–Raw Materials</v>
      </c>
      <c r="C6" s="365">
        <f>'F24'!C7</f>
        <v>6101</v>
      </c>
      <c r="D6" s="634"/>
      <c r="E6" s="151"/>
      <c r="F6" s="150"/>
      <c r="G6" s="151"/>
      <c r="H6" s="150"/>
      <c r="I6" s="151"/>
      <c r="J6" s="150"/>
      <c r="K6" s="635"/>
      <c r="L6" s="636"/>
    </row>
    <row r="7" spans="1:12" x14ac:dyDescent="0.2">
      <c r="A7" s="142">
        <f t="shared" si="0"/>
        <v>3</v>
      </c>
      <c r="B7" s="160" t="str">
        <f>'F24'!B8</f>
        <v>DM–Parts &amp; Access</v>
      </c>
      <c r="C7" s="772">
        <f>'F24'!C8</f>
        <v>6102</v>
      </c>
      <c r="D7" s="634"/>
      <c r="E7" s="151"/>
      <c r="F7" s="150"/>
      <c r="G7" s="151"/>
      <c r="H7" s="150"/>
      <c r="I7" s="151"/>
      <c r="J7" s="150"/>
      <c r="K7" s="635"/>
      <c r="L7" s="641"/>
    </row>
    <row r="8" spans="1:12" x14ac:dyDescent="0.2">
      <c r="A8" s="142">
        <f t="shared" si="0"/>
        <v>4</v>
      </c>
      <c r="B8" s="143" t="str">
        <f>'F24'!B9</f>
        <v>DM–Packing &amp; Label Materials</v>
      </c>
      <c r="C8" s="773" t="str">
        <f>'F24'!C9</f>
        <v>6103 to 6104</v>
      </c>
      <c r="D8" s="634"/>
      <c r="E8" s="151"/>
      <c r="F8" s="150"/>
      <c r="G8" s="151"/>
      <c r="H8" s="150"/>
      <c r="I8" s="151"/>
      <c r="J8" s="150"/>
      <c r="K8" s="635"/>
      <c r="L8" s="637"/>
    </row>
    <row r="9" spans="1:12" x14ac:dyDescent="0.2">
      <c r="A9" s="249">
        <f t="shared" si="0"/>
        <v>5</v>
      </c>
      <c r="B9" s="143" t="str">
        <f>'F24'!B10</f>
        <v>DM–Others</v>
      </c>
      <c r="C9" s="773" t="str">
        <f>'F24'!C10</f>
        <v>6105 to 6199</v>
      </c>
      <c r="D9" s="634"/>
      <c r="E9" s="151"/>
      <c r="F9" s="150"/>
      <c r="G9" s="151"/>
      <c r="H9" s="150"/>
      <c r="I9" s="151"/>
      <c r="J9" s="150"/>
      <c r="K9" s="635"/>
      <c r="L9" s="637"/>
    </row>
    <row r="10" spans="1:12" x14ac:dyDescent="0.2">
      <c r="A10" s="250">
        <f t="shared" si="0"/>
        <v>6</v>
      </c>
      <c r="B10" s="161" t="str">
        <f>'F24'!B11</f>
        <v xml:space="preserve">Direct Material </v>
      </c>
      <c r="C10" s="368" t="s">
        <v>1786</v>
      </c>
      <c r="D10" s="638"/>
      <c r="E10" s="156"/>
      <c r="F10" s="157"/>
      <c r="G10" s="158"/>
      <c r="H10" s="158"/>
      <c r="I10" s="158"/>
      <c r="J10" s="156"/>
      <c r="K10" s="639"/>
      <c r="L10" s="640"/>
    </row>
    <row r="11" spans="1:12" x14ac:dyDescent="0.2">
      <c r="A11" s="135">
        <f t="shared" si="0"/>
        <v>7</v>
      </c>
      <c r="B11" s="642" t="str">
        <f>'F24'!B12</f>
        <v>Salary &amp; Leave</v>
      </c>
      <c r="C11" s="775" t="str">
        <f>'F24'!C12</f>
        <v>6201 to 6202</v>
      </c>
      <c r="D11" s="634"/>
      <c r="E11" s="150"/>
      <c r="F11" s="150"/>
      <c r="G11" s="150"/>
      <c r="H11" s="150"/>
      <c r="I11" s="150"/>
      <c r="J11" s="150"/>
      <c r="K11" s="152"/>
      <c r="L11" s="643"/>
    </row>
    <row r="12" spans="1:12" x14ac:dyDescent="0.2">
      <c r="A12" s="142">
        <f t="shared" si="0"/>
        <v>8</v>
      </c>
      <c r="B12" s="644" t="str">
        <f>'F24'!B13</f>
        <v>Bonus</v>
      </c>
      <c r="C12" s="776" t="str">
        <f>'F24'!C13</f>
        <v>6203 to 6204</v>
      </c>
      <c r="D12" s="634"/>
      <c r="E12" s="150"/>
      <c r="F12" s="150"/>
      <c r="G12" s="150"/>
      <c r="H12" s="150"/>
      <c r="I12" s="150"/>
      <c r="J12" s="150"/>
      <c r="K12" s="152"/>
      <c r="L12" s="645"/>
    </row>
    <row r="13" spans="1:12" x14ac:dyDescent="0.2">
      <c r="A13" s="142">
        <f t="shared" si="0"/>
        <v>9</v>
      </c>
      <c r="B13" s="644" t="str">
        <f>'F24'!B14</f>
        <v xml:space="preserve">Foreign Workers/Casual/Temp </v>
      </c>
      <c r="C13" s="776" t="str">
        <f>'F24'!C14</f>
        <v>6206, 6208</v>
      </c>
      <c r="D13" s="634"/>
      <c r="E13" s="150"/>
      <c r="F13" s="150"/>
      <c r="G13" s="150"/>
      <c r="H13" s="150"/>
      <c r="I13" s="150"/>
      <c r="J13" s="150"/>
      <c r="K13" s="152"/>
      <c r="L13" s="645"/>
    </row>
    <row r="14" spans="1:12" x14ac:dyDescent="0.2">
      <c r="A14" s="142">
        <f t="shared" si="0"/>
        <v>10</v>
      </c>
      <c r="B14" s="644" t="str">
        <f>'F24'!B15</f>
        <v>Overtime</v>
      </c>
      <c r="C14" s="776" t="str">
        <f>'F24'!C15</f>
        <v>6209 to 6210</v>
      </c>
      <c r="D14" s="634"/>
      <c r="E14" s="150"/>
      <c r="F14" s="150"/>
      <c r="G14" s="150"/>
      <c r="H14" s="150"/>
      <c r="I14" s="150"/>
      <c r="J14" s="150"/>
      <c r="K14" s="152"/>
      <c r="L14" s="645"/>
    </row>
    <row r="15" spans="1:12" x14ac:dyDescent="0.2">
      <c r="A15" s="142">
        <f t="shared" si="0"/>
        <v>11</v>
      </c>
      <c r="B15" s="644" t="str">
        <f>'F24'!B16</f>
        <v>Shift Allowance &amp; Incentive</v>
      </c>
      <c r="C15" s="776" t="str">
        <f>'F24'!C16</f>
        <v>6205, 6211 to 6212</v>
      </c>
      <c r="D15" s="634"/>
      <c r="E15" s="150"/>
      <c r="F15" s="150"/>
      <c r="G15" s="150"/>
      <c r="H15" s="150"/>
      <c r="I15" s="150"/>
      <c r="J15" s="150"/>
      <c r="K15" s="152"/>
      <c r="L15" s="645"/>
    </row>
    <row r="16" spans="1:12" x14ac:dyDescent="0.2">
      <c r="A16" s="142">
        <f t="shared" si="0"/>
        <v>12</v>
      </c>
      <c r="B16" s="644" t="str">
        <f>'F24'!B17</f>
        <v>Staff Transport/Vehicle Rental</v>
      </c>
      <c r="C16" s="776" t="str">
        <f>'F24'!C17</f>
        <v>6213</v>
      </c>
      <c r="D16" s="634"/>
      <c r="E16" s="150"/>
      <c r="F16" s="150"/>
      <c r="G16" s="150"/>
      <c r="H16" s="150"/>
      <c r="I16" s="150"/>
      <c r="J16" s="150"/>
      <c r="K16" s="152"/>
      <c r="L16" s="645"/>
    </row>
    <row r="17" spans="1:16" x14ac:dyDescent="0.2">
      <c r="A17" s="142">
        <f t="shared" ref="A17:A58" si="1">A16+1</f>
        <v>13</v>
      </c>
      <c r="B17" s="644" t="str">
        <f>'F24'!B18</f>
        <v>Social Security Contribution</v>
      </c>
      <c r="C17" s="776" t="str">
        <f>'F24'!C18</f>
        <v>6214</v>
      </c>
      <c r="D17" s="634"/>
      <c r="E17" s="150"/>
      <c r="F17" s="150"/>
      <c r="G17" s="150"/>
      <c r="H17" s="150"/>
      <c r="I17" s="150"/>
      <c r="J17" s="150"/>
      <c r="K17" s="152"/>
      <c r="L17" s="645"/>
      <c r="P17" s="171"/>
    </row>
    <row r="18" spans="1:16" x14ac:dyDescent="0.2">
      <c r="A18" s="142">
        <f t="shared" si="1"/>
        <v>14</v>
      </c>
      <c r="B18" s="644" t="str">
        <f>'F24'!B19</f>
        <v>Workers' Levy</v>
      </c>
      <c r="C18" s="776" t="str">
        <f>'F24'!C19</f>
        <v>6215</v>
      </c>
      <c r="D18" s="634"/>
      <c r="E18" s="150"/>
      <c r="F18" s="150"/>
      <c r="G18" s="150"/>
      <c r="H18" s="150"/>
      <c r="I18" s="150"/>
      <c r="J18" s="150"/>
      <c r="K18" s="152"/>
      <c r="L18" s="645"/>
      <c r="P18" s="171"/>
    </row>
    <row r="19" spans="1:16" x14ac:dyDescent="0.2">
      <c r="A19" s="249">
        <f t="shared" si="1"/>
        <v>15</v>
      </c>
      <c r="B19" s="164" t="str">
        <f>'F24'!B20</f>
        <v>Others Direct Labor Costs</v>
      </c>
      <c r="C19" s="773" t="str">
        <f>'F24'!C20</f>
        <v>6207, 6216 to 6229</v>
      </c>
      <c r="D19" s="634"/>
      <c r="E19" s="150"/>
      <c r="F19" s="150"/>
      <c r="G19" s="150"/>
      <c r="H19" s="150"/>
      <c r="I19" s="150"/>
      <c r="J19" s="150"/>
      <c r="K19" s="152"/>
      <c r="L19" s="646"/>
    </row>
    <row r="20" spans="1:16" x14ac:dyDescent="0.2">
      <c r="A20" s="250">
        <f t="shared" si="1"/>
        <v>16</v>
      </c>
      <c r="B20" s="161" t="str">
        <f>'F24'!B21</f>
        <v xml:space="preserve">Direct Labor </v>
      </c>
      <c r="C20" s="368" t="s">
        <v>1787</v>
      </c>
      <c r="D20" s="420"/>
      <c r="E20" s="158"/>
      <c r="F20" s="158"/>
      <c r="G20" s="158"/>
      <c r="H20" s="158"/>
      <c r="I20" s="158"/>
      <c r="J20" s="158"/>
      <c r="K20" s="158"/>
      <c r="L20" s="640"/>
    </row>
    <row r="21" spans="1:16" s="171" customFormat="1" x14ac:dyDescent="0.2">
      <c r="A21" s="250">
        <f t="shared" si="1"/>
        <v>17</v>
      </c>
      <c r="B21" s="165" t="str">
        <f>'F24'!B22</f>
        <v xml:space="preserve">Direct Expenses </v>
      </c>
      <c r="C21" s="777" t="str">
        <f>'F24'!C22</f>
        <v>6251 to 6299</v>
      </c>
      <c r="D21" s="420"/>
      <c r="E21" s="158"/>
      <c r="F21" s="158"/>
      <c r="G21" s="158"/>
      <c r="H21" s="158"/>
      <c r="I21" s="158"/>
      <c r="J21" s="158"/>
      <c r="K21" s="158"/>
      <c r="L21" s="640"/>
    </row>
    <row r="22" spans="1:16" s="171" customFormat="1" ht="12" thickBot="1" x14ac:dyDescent="0.25">
      <c r="A22" s="390">
        <f t="shared" si="1"/>
        <v>18</v>
      </c>
      <c r="B22" s="172" t="str">
        <f>'F24'!B23</f>
        <v>Prime Cost</v>
      </c>
      <c r="C22" s="372" t="s">
        <v>1788</v>
      </c>
      <c r="D22" s="422"/>
      <c r="E22" s="176"/>
      <c r="F22" s="176"/>
      <c r="G22" s="176"/>
      <c r="H22" s="176"/>
      <c r="I22" s="176"/>
      <c r="J22" s="176"/>
      <c r="K22" s="176"/>
      <c r="L22" s="647"/>
    </row>
    <row r="23" spans="1:16" s="171" customFormat="1" ht="12" thickTop="1" x14ac:dyDescent="0.2">
      <c r="A23" s="391">
        <f t="shared" si="1"/>
        <v>19</v>
      </c>
      <c r="B23" s="648" t="str">
        <f>'F24'!B24</f>
        <v>Indirect Material</v>
      </c>
      <c r="C23" s="779" t="str">
        <f>'F24'!C24</f>
        <v>6301 to 6310</v>
      </c>
      <c r="D23" s="649"/>
      <c r="E23" s="650"/>
      <c r="F23" s="650"/>
      <c r="G23" s="650"/>
      <c r="H23" s="650"/>
      <c r="I23" s="650"/>
      <c r="J23" s="650"/>
      <c r="K23" s="650"/>
      <c r="L23" s="651"/>
    </row>
    <row r="24" spans="1:16" x14ac:dyDescent="0.2">
      <c r="A24" s="135">
        <f t="shared" si="1"/>
        <v>20</v>
      </c>
      <c r="B24" s="642" t="str">
        <f>'F24'!B25</f>
        <v>Salary &amp; Leave</v>
      </c>
      <c r="C24" s="775" t="str">
        <f>'F24'!C25</f>
        <v>6311</v>
      </c>
      <c r="D24" s="634"/>
      <c r="E24" s="150"/>
      <c r="F24" s="150"/>
      <c r="G24" s="150"/>
      <c r="H24" s="150"/>
      <c r="I24" s="150"/>
      <c r="J24" s="150"/>
      <c r="K24" s="152"/>
      <c r="L24" s="643"/>
    </row>
    <row r="25" spans="1:16" x14ac:dyDescent="0.2">
      <c r="A25" s="142">
        <f t="shared" si="1"/>
        <v>21</v>
      </c>
      <c r="B25" s="644" t="str">
        <f>'F24'!B26</f>
        <v>Bonus</v>
      </c>
      <c r="C25" s="776" t="str">
        <f>'F24'!C26</f>
        <v>6312</v>
      </c>
      <c r="D25" s="634"/>
      <c r="E25" s="150"/>
      <c r="F25" s="150"/>
      <c r="G25" s="150"/>
      <c r="H25" s="150"/>
      <c r="I25" s="150"/>
      <c r="J25" s="150"/>
      <c r="K25" s="152"/>
      <c r="L25" s="645"/>
    </row>
    <row r="26" spans="1:16" x14ac:dyDescent="0.2">
      <c r="A26" s="142">
        <f t="shared" si="1"/>
        <v>22</v>
      </c>
      <c r="B26" s="644" t="str">
        <f>'F24'!B27</f>
        <v>Foreign Workers/Casual/Temp</v>
      </c>
      <c r="C26" s="776" t="str">
        <f>'F24'!C27</f>
        <v>6314, 6316</v>
      </c>
      <c r="D26" s="634"/>
      <c r="E26" s="150"/>
      <c r="F26" s="150"/>
      <c r="G26" s="150"/>
      <c r="H26" s="150"/>
      <c r="I26" s="150"/>
      <c r="J26" s="150"/>
      <c r="K26" s="152"/>
      <c r="L26" s="645"/>
    </row>
    <row r="27" spans="1:16" x14ac:dyDescent="0.2">
      <c r="A27" s="142">
        <f t="shared" si="1"/>
        <v>23</v>
      </c>
      <c r="B27" s="644" t="str">
        <f>'F24'!B28</f>
        <v>Overtime</v>
      </c>
      <c r="C27" s="776" t="str">
        <f>'F24'!C28</f>
        <v>6317</v>
      </c>
      <c r="D27" s="634"/>
      <c r="E27" s="150"/>
      <c r="F27" s="150"/>
      <c r="G27" s="150"/>
      <c r="H27" s="150"/>
      <c r="I27" s="150"/>
      <c r="J27" s="150"/>
      <c r="K27" s="152"/>
      <c r="L27" s="645"/>
    </row>
    <row r="28" spans="1:16" x14ac:dyDescent="0.2">
      <c r="A28" s="142">
        <f t="shared" si="1"/>
        <v>24</v>
      </c>
      <c r="B28" s="644" t="str">
        <f>'F24'!B29</f>
        <v>Shift Allowance &amp; Incentive</v>
      </c>
      <c r="C28" s="776" t="str">
        <f>'F24'!C29</f>
        <v>6313, 6318 to 6319</v>
      </c>
      <c r="D28" s="634"/>
      <c r="E28" s="150"/>
      <c r="F28" s="150"/>
      <c r="G28" s="150"/>
      <c r="H28" s="150"/>
      <c r="I28" s="150"/>
      <c r="J28" s="150"/>
      <c r="K28" s="152"/>
      <c r="L28" s="645"/>
    </row>
    <row r="29" spans="1:16" x14ac:dyDescent="0.2">
      <c r="A29" s="142">
        <f t="shared" si="1"/>
        <v>25</v>
      </c>
      <c r="B29" s="644" t="str">
        <f>'F24'!B30</f>
        <v>Staff Transport/Vehicle Rental</v>
      </c>
      <c r="C29" s="776" t="str">
        <f>'F24'!C30</f>
        <v>6320</v>
      </c>
      <c r="D29" s="634"/>
      <c r="E29" s="150"/>
      <c r="F29" s="150"/>
      <c r="G29" s="150"/>
      <c r="H29" s="150"/>
      <c r="I29" s="150"/>
      <c r="J29" s="150"/>
      <c r="K29" s="152"/>
      <c r="L29" s="645"/>
    </row>
    <row r="30" spans="1:16" x14ac:dyDescent="0.2">
      <c r="A30" s="142">
        <f t="shared" si="1"/>
        <v>26</v>
      </c>
      <c r="B30" s="644" t="str">
        <f>'F24'!B31</f>
        <v>Social Security Contribution</v>
      </c>
      <c r="C30" s="776" t="str">
        <f>'F24'!C31</f>
        <v>6321</v>
      </c>
      <c r="D30" s="634"/>
      <c r="E30" s="150"/>
      <c r="F30" s="150"/>
      <c r="G30" s="150"/>
      <c r="H30" s="150"/>
      <c r="I30" s="150"/>
      <c r="J30" s="150"/>
      <c r="K30" s="152"/>
      <c r="L30" s="645"/>
    </row>
    <row r="31" spans="1:16" x14ac:dyDescent="0.2">
      <c r="A31" s="142">
        <f t="shared" si="1"/>
        <v>27</v>
      </c>
      <c r="B31" s="644" t="str">
        <f>'F24'!B32</f>
        <v>Workers' Levy</v>
      </c>
      <c r="C31" s="776" t="str">
        <f>'F24'!C32</f>
        <v>6322</v>
      </c>
      <c r="D31" s="634"/>
      <c r="E31" s="150"/>
      <c r="F31" s="150"/>
      <c r="G31" s="150"/>
      <c r="H31" s="150"/>
      <c r="I31" s="150"/>
      <c r="J31" s="150"/>
      <c r="K31" s="152"/>
      <c r="L31" s="645"/>
    </row>
    <row r="32" spans="1:16" x14ac:dyDescent="0.2">
      <c r="A32" s="142">
        <f t="shared" si="1"/>
        <v>28</v>
      </c>
      <c r="B32" s="644" t="str">
        <f>'F24'!B33</f>
        <v>Expats' Expenses</v>
      </c>
      <c r="C32" s="776" t="str">
        <f>'F24'!C33</f>
        <v>6351 to 6399</v>
      </c>
      <c r="D32" s="634"/>
      <c r="E32" s="150"/>
      <c r="F32" s="150"/>
      <c r="G32" s="150"/>
      <c r="H32" s="150"/>
      <c r="I32" s="150"/>
      <c r="J32" s="150"/>
      <c r="K32" s="152"/>
      <c r="L32" s="645"/>
    </row>
    <row r="33" spans="1:12" x14ac:dyDescent="0.2">
      <c r="A33" s="142">
        <f t="shared" si="1"/>
        <v>29</v>
      </c>
      <c r="B33" s="644" t="str">
        <f>'F24'!B34</f>
        <v>Other Indirect Labor Costs</v>
      </c>
      <c r="C33" s="776" t="str">
        <f>'F24'!C34</f>
        <v>6315, 6323 to 6349</v>
      </c>
      <c r="D33" s="634"/>
      <c r="E33" s="150"/>
      <c r="F33" s="150"/>
      <c r="G33" s="150"/>
      <c r="H33" s="150"/>
      <c r="I33" s="150"/>
      <c r="J33" s="150"/>
      <c r="K33" s="152"/>
      <c r="L33" s="645"/>
    </row>
    <row r="34" spans="1:12" x14ac:dyDescent="0.2">
      <c r="A34" s="142">
        <f t="shared" si="1"/>
        <v>30</v>
      </c>
      <c r="B34" s="644" t="str">
        <f>'F24'!B35</f>
        <v>QA Allocated Cost</v>
      </c>
      <c r="C34" s="776"/>
      <c r="D34" s="634"/>
      <c r="E34" s="150"/>
      <c r="F34" s="150"/>
      <c r="G34" s="150"/>
      <c r="H34" s="150"/>
      <c r="I34" s="150"/>
      <c r="J34" s="150"/>
      <c r="K34" s="152"/>
      <c r="L34" s="645"/>
    </row>
    <row r="35" spans="1:12" x14ac:dyDescent="0.2">
      <c r="A35" s="142">
        <f t="shared" si="1"/>
        <v>31</v>
      </c>
      <c r="B35" s="644" t="str">
        <f>'F24'!B36</f>
        <v>PM Allocated Cost</v>
      </c>
      <c r="C35" s="776"/>
      <c r="D35" s="634"/>
      <c r="E35" s="150"/>
      <c r="F35" s="150"/>
      <c r="G35" s="150"/>
      <c r="H35" s="150"/>
      <c r="I35" s="150"/>
      <c r="J35" s="150"/>
      <c r="K35" s="152"/>
      <c r="L35" s="645"/>
    </row>
    <row r="36" spans="1:12" x14ac:dyDescent="0.2">
      <c r="A36" s="250">
        <f t="shared" si="1"/>
        <v>32</v>
      </c>
      <c r="B36" s="178" t="str">
        <f>'F24'!B37</f>
        <v>Indirect Labor</v>
      </c>
      <c r="C36" s="368" t="s">
        <v>1789</v>
      </c>
      <c r="D36" s="420"/>
      <c r="E36" s="158"/>
      <c r="F36" s="158"/>
      <c r="G36" s="158"/>
      <c r="H36" s="158"/>
      <c r="I36" s="158"/>
      <c r="J36" s="158"/>
      <c r="K36" s="158"/>
      <c r="L36" s="640"/>
    </row>
    <row r="37" spans="1:12" x14ac:dyDescent="0.2">
      <c r="A37" s="135">
        <f t="shared" si="1"/>
        <v>33</v>
      </c>
      <c r="B37" s="136" t="str">
        <f>'F24'!B38</f>
        <v>Utilities - Elec, Water, Gas</v>
      </c>
      <c r="C37" s="780" t="str">
        <f>'F24'!C38</f>
        <v>6401 to 6410</v>
      </c>
      <c r="D37" s="634"/>
      <c r="E37" s="150"/>
      <c r="F37" s="150"/>
      <c r="G37" s="150"/>
      <c r="H37" s="150"/>
      <c r="I37" s="150"/>
      <c r="J37" s="150"/>
      <c r="K37" s="152"/>
      <c r="L37" s="636"/>
    </row>
    <row r="38" spans="1:12" x14ac:dyDescent="0.2">
      <c r="A38" s="142">
        <f t="shared" si="1"/>
        <v>34</v>
      </c>
      <c r="B38" s="143" t="str">
        <f>'F24'!B39</f>
        <v xml:space="preserve">Product Development/Testing </v>
      </c>
      <c r="C38" s="773" t="str">
        <f>'F24'!C39</f>
        <v>6421 to 6430</v>
      </c>
      <c r="D38" s="634"/>
      <c r="E38" s="150"/>
      <c r="F38" s="150"/>
      <c r="G38" s="150"/>
      <c r="H38" s="150"/>
      <c r="I38" s="150"/>
      <c r="J38" s="150"/>
      <c r="K38" s="152"/>
      <c r="L38" s="637"/>
    </row>
    <row r="39" spans="1:12" x14ac:dyDescent="0.2">
      <c r="A39" s="142">
        <f t="shared" si="1"/>
        <v>35</v>
      </c>
      <c r="B39" s="143" t="str">
        <f>'F24'!B40</f>
        <v>Carriage/Transport/Storage</v>
      </c>
      <c r="C39" s="773" t="str">
        <f>'F24'!C40</f>
        <v>6411 to 6420</v>
      </c>
      <c r="D39" s="634"/>
      <c r="E39" s="150"/>
      <c r="F39" s="150"/>
      <c r="G39" s="150"/>
      <c r="H39" s="150"/>
      <c r="I39" s="150"/>
      <c r="J39" s="150"/>
      <c r="K39" s="152"/>
      <c r="L39" s="637"/>
    </row>
    <row r="40" spans="1:12" x14ac:dyDescent="0.2">
      <c r="A40" s="142">
        <f t="shared" si="1"/>
        <v>36</v>
      </c>
      <c r="B40" s="160" t="str">
        <f>'F24'!B41</f>
        <v>Manufacturing Loss/Wastage</v>
      </c>
      <c r="C40" s="772" t="str">
        <f>'F24'!C41</f>
        <v>6431, 6432</v>
      </c>
      <c r="D40" s="634"/>
      <c r="E40" s="150"/>
      <c r="F40" s="150"/>
      <c r="G40" s="150"/>
      <c r="H40" s="150"/>
      <c r="I40" s="150"/>
      <c r="J40" s="150"/>
      <c r="K40" s="152"/>
      <c r="L40" s="641"/>
    </row>
    <row r="41" spans="1:12" x14ac:dyDescent="0.2">
      <c r="A41" s="142">
        <f t="shared" si="1"/>
        <v>37</v>
      </c>
      <c r="B41" s="160" t="str">
        <f>'F24'!B42</f>
        <v>Rejects/Reworks/Scrap</v>
      </c>
      <c r="C41" s="772" t="str">
        <f>'F24'!C42</f>
        <v>6433 to 6435</v>
      </c>
      <c r="D41" s="634"/>
      <c r="E41" s="150"/>
      <c r="F41" s="150"/>
      <c r="G41" s="150"/>
      <c r="H41" s="150"/>
      <c r="I41" s="150"/>
      <c r="J41" s="150"/>
      <c r="K41" s="152"/>
      <c r="L41" s="641"/>
    </row>
    <row r="42" spans="1:12" x14ac:dyDescent="0.2">
      <c r="A42" s="142">
        <f t="shared" si="1"/>
        <v>38</v>
      </c>
      <c r="B42" s="160" t="str">
        <f>'F24'!B43</f>
        <v>Disposal of Sludge/Others</v>
      </c>
      <c r="C42" s="772" t="str">
        <f>'F24'!C43</f>
        <v>6436 to 6499</v>
      </c>
      <c r="D42" s="634"/>
      <c r="E42" s="150"/>
      <c r="F42" s="150"/>
      <c r="G42" s="150"/>
      <c r="H42" s="150"/>
      <c r="I42" s="150"/>
      <c r="J42" s="150"/>
      <c r="K42" s="152"/>
      <c r="L42" s="641"/>
    </row>
    <row r="43" spans="1:12" x14ac:dyDescent="0.2">
      <c r="A43" s="142">
        <f t="shared" si="1"/>
        <v>39</v>
      </c>
      <c r="B43" s="160" t="str">
        <f>'F24'!B44</f>
        <v>QA Allocated Cost</v>
      </c>
      <c r="C43" s="772"/>
      <c r="D43" s="634"/>
      <c r="E43" s="150"/>
      <c r="F43" s="150"/>
      <c r="G43" s="150"/>
      <c r="H43" s="150"/>
      <c r="I43" s="150"/>
      <c r="J43" s="150"/>
      <c r="K43" s="152"/>
      <c r="L43" s="641"/>
    </row>
    <row r="44" spans="1:12" x14ac:dyDescent="0.2">
      <c r="A44" s="142">
        <f t="shared" si="1"/>
        <v>40</v>
      </c>
      <c r="B44" s="160" t="str">
        <f>'F24'!B45</f>
        <v>PM Allocated Cost</v>
      </c>
      <c r="C44" s="772"/>
      <c r="D44" s="634"/>
      <c r="E44" s="150"/>
      <c r="F44" s="150"/>
      <c r="G44" s="150"/>
      <c r="H44" s="150"/>
      <c r="I44" s="150"/>
      <c r="J44" s="150"/>
      <c r="K44" s="152"/>
      <c r="L44" s="641"/>
    </row>
    <row r="45" spans="1:12" x14ac:dyDescent="0.2">
      <c r="A45" s="250">
        <f t="shared" si="1"/>
        <v>41</v>
      </c>
      <c r="B45" s="178" t="str">
        <f>'F24'!B46</f>
        <v xml:space="preserve">Other Variable Overhead </v>
      </c>
      <c r="C45" s="368" t="s">
        <v>1790</v>
      </c>
      <c r="D45" s="420"/>
      <c r="E45" s="158"/>
      <c r="F45" s="158"/>
      <c r="G45" s="158"/>
      <c r="H45" s="158"/>
      <c r="I45" s="158"/>
      <c r="J45" s="158"/>
      <c r="K45" s="158"/>
      <c r="L45" s="640"/>
    </row>
    <row r="46" spans="1:12" ht="12" thickBot="1" x14ac:dyDescent="0.25">
      <c r="A46" s="390">
        <f t="shared" si="1"/>
        <v>42</v>
      </c>
      <c r="B46" s="172" t="str">
        <f>'F24'!B47</f>
        <v xml:space="preserve">Total Variable Overhead </v>
      </c>
      <c r="C46" s="372" t="s">
        <v>1791</v>
      </c>
      <c r="D46" s="422"/>
      <c r="E46" s="176"/>
      <c r="F46" s="176"/>
      <c r="G46" s="176"/>
      <c r="H46" s="176"/>
      <c r="I46" s="176"/>
      <c r="J46" s="176"/>
      <c r="K46" s="176"/>
      <c r="L46" s="647"/>
    </row>
    <row r="47" spans="1:12" ht="12" thickTop="1" x14ac:dyDescent="0.2">
      <c r="A47" s="135">
        <f t="shared" si="1"/>
        <v>43</v>
      </c>
      <c r="B47" s="180" t="str">
        <f>'F24'!B48</f>
        <v>Factory Rental/Upkeep</v>
      </c>
      <c r="C47" s="780" t="str">
        <f>'F24'!C48</f>
        <v>6501 to 6502, 6506</v>
      </c>
      <c r="D47" s="781"/>
      <c r="E47" s="167"/>
      <c r="F47" s="167"/>
      <c r="G47" s="167"/>
      <c r="H47" s="167"/>
      <c r="I47" s="167"/>
      <c r="J47" s="167"/>
      <c r="K47" s="169"/>
      <c r="L47" s="652"/>
    </row>
    <row r="48" spans="1:12" x14ac:dyDescent="0.2">
      <c r="A48" s="142">
        <f t="shared" si="1"/>
        <v>44</v>
      </c>
      <c r="B48" s="185" t="str">
        <f>'F24'!B49</f>
        <v>Property Tax for Factory</v>
      </c>
      <c r="C48" s="772" t="str">
        <f>'F24'!C49</f>
        <v>6503</v>
      </c>
      <c r="D48" s="634"/>
      <c r="E48" s="150"/>
      <c r="F48" s="150"/>
      <c r="G48" s="150"/>
      <c r="H48" s="150"/>
      <c r="I48" s="150"/>
      <c r="J48" s="150"/>
      <c r="K48" s="152"/>
      <c r="L48" s="653"/>
    </row>
    <row r="49" spans="1:12" x14ac:dyDescent="0.2">
      <c r="A49" s="142">
        <f t="shared" si="1"/>
        <v>45</v>
      </c>
      <c r="B49" s="185" t="str">
        <f>'F24'!B50</f>
        <v>Repair &amp; Maintainance/Upkeep</v>
      </c>
      <c r="C49" s="772" t="str">
        <f>'F24'!C50</f>
        <v>6601 to 6620</v>
      </c>
      <c r="D49" s="634"/>
      <c r="E49" s="150"/>
      <c r="F49" s="150"/>
      <c r="G49" s="150"/>
      <c r="H49" s="150"/>
      <c r="I49" s="150"/>
      <c r="J49" s="150"/>
      <c r="K49" s="152"/>
      <c r="L49" s="653"/>
    </row>
    <row r="50" spans="1:12" x14ac:dyDescent="0.2">
      <c r="A50" s="142">
        <f t="shared" si="1"/>
        <v>46</v>
      </c>
      <c r="B50" s="185" t="str">
        <f>'F24'!B51</f>
        <v>Leasing of Mac&amp;Equip/Vehicles/Cyl</v>
      </c>
      <c r="C50" s="772" t="str">
        <f>'F24'!C51</f>
        <v>6621 to 6623</v>
      </c>
      <c r="D50" s="634"/>
      <c r="E50" s="150"/>
      <c r="F50" s="150"/>
      <c r="G50" s="150"/>
      <c r="H50" s="150"/>
      <c r="I50" s="150"/>
      <c r="J50" s="150"/>
      <c r="K50" s="152"/>
      <c r="L50" s="653"/>
    </row>
    <row r="51" spans="1:12" x14ac:dyDescent="0.2">
      <c r="A51" s="142">
        <f t="shared" si="1"/>
        <v>47</v>
      </c>
      <c r="B51" s="185" t="str">
        <f>'F24'!B52</f>
        <v>Depreciation</v>
      </c>
      <c r="C51" s="772" t="str">
        <f>'F24'!C52</f>
        <v>6701 to 6749</v>
      </c>
      <c r="D51" s="634"/>
      <c r="E51" s="150"/>
      <c r="F51" s="150"/>
      <c r="G51" s="150"/>
      <c r="H51" s="150"/>
      <c r="I51" s="150"/>
      <c r="J51" s="150"/>
      <c r="K51" s="152"/>
      <c r="L51" s="653"/>
    </row>
    <row r="52" spans="1:12" x14ac:dyDescent="0.2">
      <c r="A52" s="142">
        <f t="shared" si="1"/>
        <v>48</v>
      </c>
      <c r="B52" s="185" t="str">
        <f>'F24'!B53</f>
        <v>Licenses &amp; Insurance</v>
      </c>
      <c r="C52" s="772" t="str">
        <f>'F24'!C53</f>
        <v>6504, 6751 to 6759</v>
      </c>
      <c r="D52" s="634"/>
      <c r="E52" s="150"/>
      <c r="F52" s="150"/>
      <c r="G52" s="150"/>
      <c r="H52" s="150"/>
      <c r="I52" s="150"/>
      <c r="J52" s="150"/>
      <c r="K52" s="152"/>
      <c r="L52" s="653"/>
    </row>
    <row r="53" spans="1:12" x14ac:dyDescent="0.2">
      <c r="A53" s="142">
        <f t="shared" si="1"/>
        <v>49</v>
      </c>
      <c r="B53" s="185" t="str">
        <f>'F24'!B54</f>
        <v>Non Capitalised Purchases</v>
      </c>
      <c r="C53" s="772" t="str">
        <f>'F24'!C54</f>
        <v>6761 to 6769</v>
      </c>
      <c r="D53" s="634"/>
      <c r="E53" s="150"/>
      <c r="F53" s="150"/>
      <c r="G53" s="150"/>
      <c r="H53" s="150"/>
      <c r="I53" s="150"/>
      <c r="J53" s="150"/>
      <c r="K53" s="152"/>
      <c r="L53" s="653"/>
    </row>
    <row r="54" spans="1:12" x14ac:dyDescent="0.2">
      <c r="A54" s="142">
        <f t="shared" si="1"/>
        <v>50</v>
      </c>
      <c r="B54" s="185" t="str">
        <f>'F24'!B55</f>
        <v>Others Fixed Overhead</v>
      </c>
      <c r="C54" s="772" t="str">
        <f>'F24'!C55</f>
        <v>6505, 6771 to 6799</v>
      </c>
      <c r="D54" s="634"/>
      <c r="E54" s="150"/>
      <c r="F54" s="150"/>
      <c r="G54" s="150"/>
      <c r="H54" s="150"/>
      <c r="I54" s="150"/>
      <c r="J54" s="150"/>
      <c r="K54" s="152"/>
      <c r="L54" s="653"/>
    </row>
    <row r="55" spans="1:12" x14ac:dyDescent="0.2">
      <c r="A55" s="142">
        <f t="shared" si="1"/>
        <v>51</v>
      </c>
      <c r="B55" s="185" t="str">
        <f>'F24'!B56</f>
        <v>QA Allocated Cost</v>
      </c>
      <c r="C55" s="772"/>
      <c r="D55" s="634"/>
      <c r="E55" s="150"/>
      <c r="F55" s="150"/>
      <c r="G55" s="150"/>
      <c r="H55" s="150"/>
      <c r="I55" s="150"/>
      <c r="J55" s="150"/>
      <c r="K55" s="152"/>
      <c r="L55" s="653"/>
    </row>
    <row r="56" spans="1:12" x14ac:dyDescent="0.2">
      <c r="A56" s="142">
        <f t="shared" si="1"/>
        <v>52</v>
      </c>
      <c r="B56" s="185" t="str">
        <f>'F24'!B57</f>
        <v>PM Allocated Cost</v>
      </c>
      <c r="C56" s="772"/>
      <c r="D56" s="634"/>
      <c r="E56" s="150"/>
      <c r="F56" s="150"/>
      <c r="G56" s="150"/>
      <c r="H56" s="150"/>
      <c r="I56" s="150"/>
      <c r="J56" s="150"/>
      <c r="K56" s="152"/>
      <c r="L56" s="653"/>
    </row>
    <row r="57" spans="1:12" x14ac:dyDescent="0.2">
      <c r="A57" s="250">
        <f t="shared" si="1"/>
        <v>53</v>
      </c>
      <c r="B57" s="178" t="str">
        <f>'F24'!B58</f>
        <v>Fixed Overhead</v>
      </c>
      <c r="C57" s="368" t="s">
        <v>1792</v>
      </c>
      <c r="D57" s="420"/>
      <c r="E57" s="158"/>
      <c r="F57" s="158"/>
      <c r="G57" s="158"/>
      <c r="H57" s="158"/>
      <c r="I57" s="158"/>
      <c r="J57" s="158"/>
      <c r="K57" s="158"/>
      <c r="L57" s="640"/>
    </row>
    <row r="58" spans="1:12" ht="12" thickBot="1" x14ac:dyDescent="0.25">
      <c r="A58" s="390">
        <f t="shared" si="1"/>
        <v>54</v>
      </c>
      <c r="B58" s="172" t="str">
        <f>'F24'!B59</f>
        <v>Cost of Goods Manufactured</v>
      </c>
      <c r="C58" s="372" t="s">
        <v>1793</v>
      </c>
      <c r="D58" s="422"/>
      <c r="E58" s="176"/>
      <c r="F58" s="176"/>
      <c r="G58" s="176"/>
      <c r="H58" s="176"/>
      <c r="I58" s="176"/>
      <c r="J58" s="176"/>
      <c r="K58" s="176"/>
      <c r="L58" s="647"/>
    </row>
    <row r="59" spans="1:12" ht="12" thickTop="1" x14ac:dyDescent="0.2"/>
  </sheetData>
  <mergeCells count="7">
    <mergeCell ref="A4:B4"/>
    <mergeCell ref="A1:B1"/>
    <mergeCell ref="D1:H1"/>
    <mergeCell ref="I1:L1"/>
    <mergeCell ref="A3:B3"/>
    <mergeCell ref="D3:H3"/>
    <mergeCell ref="I3:L3"/>
  </mergeCells>
  <printOptions horizontalCentered="1"/>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zoomScale="110" zoomScaleNormal="110" zoomScaleSheetLayoutView="130" workbookViewId="0">
      <pane xSplit="2" ySplit="3" topLeftCell="C37" activePane="bottomRight" state="frozen"/>
      <selection activeCell="T247" sqref="T247"/>
      <selection pane="topRight" activeCell="T247" sqref="T247"/>
      <selection pane="bottomLeft" activeCell="T247" sqref="T247"/>
      <selection pane="bottomRight" activeCell="C45" sqref="C45"/>
    </sheetView>
  </sheetViews>
  <sheetFormatPr defaultRowHeight="11.25" x14ac:dyDescent="0.2"/>
  <cols>
    <col min="1" max="1" width="3" style="133" customWidth="1"/>
    <col min="2" max="2" width="25.85546875" style="133" bestFit="1" customWidth="1"/>
    <col min="3" max="3" width="35.5703125" style="133" customWidth="1"/>
    <col min="4" max="4" width="6.28515625" style="658" customWidth="1"/>
    <col min="5" max="6" width="6.28515625" style="659" customWidth="1"/>
    <col min="7" max="7" width="7.28515625" style="659" customWidth="1"/>
    <col min="8" max="8" width="6.140625" style="660" bestFit="1" customWidth="1"/>
    <col min="9" max="9" width="6.28515625" style="659" customWidth="1"/>
    <col min="10" max="11" width="6.140625" style="659" bestFit="1" customWidth="1"/>
    <col min="12" max="12" width="7.5703125" style="202" customWidth="1"/>
    <col min="13" max="16384" width="9.140625" style="133"/>
  </cols>
  <sheetData>
    <row r="1" spans="1:16" x14ac:dyDescent="0.2">
      <c r="A1" s="908" t="s">
        <v>66</v>
      </c>
      <c r="B1" s="909"/>
      <c r="C1" s="767"/>
      <c r="D1" s="910" t="str">
        <f>'F24'!D1:G1</f>
        <v>AS OF: 11-Oct-2017</v>
      </c>
      <c r="E1" s="911"/>
      <c r="F1" s="911"/>
      <c r="G1" s="911"/>
      <c r="H1" s="912"/>
      <c r="I1" s="913" t="s">
        <v>1407</v>
      </c>
      <c r="J1" s="914"/>
      <c r="K1" s="914"/>
      <c r="L1" s="915"/>
    </row>
    <row r="2" spans="1:16" x14ac:dyDescent="0.2">
      <c r="A2" s="680" t="s">
        <v>1486</v>
      </c>
      <c r="B2" s="681"/>
      <c r="C2" s="768"/>
      <c r="D2" s="625" t="s">
        <v>93</v>
      </c>
      <c r="E2" s="682"/>
      <c r="F2" s="682"/>
      <c r="G2" s="682"/>
      <c r="H2" s="683"/>
      <c r="I2" s="628" t="s">
        <v>63</v>
      </c>
      <c r="J2" s="684"/>
      <c r="K2" s="684"/>
      <c r="L2" s="685"/>
    </row>
    <row r="3" spans="1:16" x14ac:dyDescent="0.2">
      <c r="A3" s="916" t="str">
        <f>'F25-Div'!A3:B3</f>
        <v>F25 MANUFACTURING ACCOUNT</v>
      </c>
      <c r="B3" s="917"/>
      <c r="C3" s="768"/>
      <c r="D3" s="918" t="s">
        <v>62</v>
      </c>
      <c r="E3" s="900"/>
      <c r="F3" s="900"/>
      <c r="G3" s="900"/>
      <c r="H3" s="900"/>
      <c r="I3" s="902" t="s">
        <v>61</v>
      </c>
      <c r="J3" s="902"/>
      <c r="K3" s="902"/>
      <c r="L3" s="903"/>
    </row>
    <row r="4" spans="1:16" x14ac:dyDescent="0.2">
      <c r="A4" s="906" t="str">
        <f>'F25-Div'!A4:B4</f>
        <v>BY DIV/DEPT/SEC/UNITS</v>
      </c>
      <c r="B4" s="907"/>
      <c r="C4" s="771"/>
      <c r="D4" s="631" t="s">
        <v>102</v>
      </c>
      <c r="E4" s="632" t="s">
        <v>103</v>
      </c>
      <c r="F4" s="632" t="s">
        <v>18</v>
      </c>
      <c r="G4" s="632" t="s">
        <v>104</v>
      </c>
      <c r="H4" s="632" t="s">
        <v>17</v>
      </c>
      <c r="I4" s="632" t="s">
        <v>16</v>
      </c>
      <c r="J4" s="632" t="s">
        <v>105</v>
      </c>
      <c r="K4" s="633" t="s">
        <v>15</v>
      </c>
      <c r="L4" s="631" t="s">
        <v>14</v>
      </c>
    </row>
    <row r="5" spans="1:16" x14ac:dyDescent="0.2">
      <c r="A5" s="250">
        <v>1</v>
      </c>
      <c r="B5" s="154" t="str">
        <f>'F25-Div'!B5</f>
        <v>Manufacturing Costs</v>
      </c>
      <c r="C5" s="769"/>
      <c r="D5" s="638"/>
      <c r="E5" s="156"/>
      <c r="F5" s="157"/>
      <c r="G5" s="158"/>
      <c r="H5" s="158"/>
      <c r="I5" s="158"/>
      <c r="J5" s="156"/>
      <c r="K5" s="639"/>
      <c r="L5" s="640"/>
    </row>
    <row r="6" spans="1:16" x14ac:dyDescent="0.2">
      <c r="A6" s="135">
        <f t="shared" ref="A6:A58" si="0">A5+1</f>
        <v>2</v>
      </c>
      <c r="B6" s="136" t="str">
        <f>'F25-Div'!B6</f>
        <v>DM–Raw Materials</v>
      </c>
      <c r="C6" s="365">
        <f>'F25-Div'!C6</f>
        <v>6101</v>
      </c>
      <c r="D6" s="634"/>
      <c r="E6" s="151"/>
      <c r="F6" s="150"/>
      <c r="G6" s="151"/>
      <c r="H6" s="150"/>
      <c r="I6" s="151"/>
      <c r="J6" s="150"/>
      <c r="K6" s="635"/>
      <c r="L6" s="636"/>
    </row>
    <row r="7" spans="1:16" x14ac:dyDescent="0.2">
      <c r="A7" s="142">
        <f t="shared" si="0"/>
        <v>3</v>
      </c>
      <c r="B7" s="160" t="str">
        <f>'F25-Div'!B7</f>
        <v>DM–Parts &amp; Access</v>
      </c>
      <c r="C7" s="772">
        <f>'F25-Div'!C7</f>
        <v>6102</v>
      </c>
      <c r="D7" s="634"/>
      <c r="E7" s="151"/>
      <c r="F7" s="150"/>
      <c r="G7" s="151"/>
      <c r="H7" s="150"/>
      <c r="I7" s="151"/>
      <c r="J7" s="150"/>
      <c r="K7" s="635"/>
      <c r="L7" s="641"/>
    </row>
    <row r="8" spans="1:16" x14ac:dyDescent="0.2">
      <c r="A8" s="142">
        <f t="shared" si="0"/>
        <v>4</v>
      </c>
      <c r="B8" s="143" t="str">
        <f>'F25-Div'!B8</f>
        <v>DM–Packing &amp; Label Materials</v>
      </c>
      <c r="C8" s="773" t="str">
        <f>'F25-Div'!C8</f>
        <v>6103 to 6104</v>
      </c>
      <c r="D8" s="634"/>
      <c r="E8" s="151"/>
      <c r="F8" s="150"/>
      <c r="G8" s="151"/>
      <c r="H8" s="150"/>
      <c r="I8" s="151"/>
      <c r="J8" s="150"/>
      <c r="K8" s="635"/>
      <c r="L8" s="637"/>
    </row>
    <row r="9" spans="1:16" x14ac:dyDescent="0.2">
      <c r="A9" s="249">
        <f t="shared" si="0"/>
        <v>5</v>
      </c>
      <c r="B9" s="143" t="str">
        <f>'F25-Div'!B9</f>
        <v>DM–Others</v>
      </c>
      <c r="C9" s="773" t="str">
        <f>'F25-Div'!C9</f>
        <v>6105 to 6199</v>
      </c>
      <c r="D9" s="634"/>
      <c r="E9" s="151"/>
      <c r="F9" s="150"/>
      <c r="G9" s="151"/>
      <c r="H9" s="150"/>
      <c r="I9" s="151"/>
      <c r="J9" s="150"/>
      <c r="K9" s="635"/>
      <c r="L9" s="637"/>
    </row>
    <row r="10" spans="1:16" x14ac:dyDescent="0.2">
      <c r="A10" s="250">
        <f t="shared" si="0"/>
        <v>6</v>
      </c>
      <c r="B10" s="161" t="str">
        <f>'F25-Div'!B10</f>
        <v xml:space="preserve">Direct Material </v>
      </c>
      <c r="C10" s="774" t="str">
        <f>'F25-Div'!C10</f>
        <v>=SUM(C6:C9)</v>
      </c>
      <c r="D10" s="638"/>
      <c r="E10" s="156"/>
      <c r="F10" s="157"/>
      <c r="G10" s="158"/>
      <c r="H10" s="158"/>
      <c r="I10" s="158"/>
      <c r="J10" s="156"/>
      <c r="K10" s="639"/>
      <c r="L10" s="640"/>
    </row>
    <row r="11" spans="1:16" x14ac:dyDescent="0.2">
      <c r="A11" s="135">
        <f t="shared" si="0"/>
        <v>7</v>
      </c>
      <c r="B11" s="642" t="str">
        <f>'F25-Div'!B11</f>
        <v>Salary &amp; Leave</v>
      </c>
      <c r="C11" s="775" t="str">
        <f>'F25-Div'!C11</f>
        <v>6201 to 6202</v>
      </c>
      <c r="D11" s="634"/>
      <c r="E11" s="150"/>
      <c r="F11" s="150"/>
      <c r="G11" s="150"/>
      <c r="H11" s="150"/>
      <c r="I11" s="150"/>
      <c r="J11" s="150"/>
      <c r="K11" s="152"/>
      <c r="L11" s="643"/>
    </row>
    <row r="12" spans="1:16" x14ac:dyDescent="0.2">
      <c r="A12" s="142">
        <f t="shared" si="0"/>
        <v>8</v>
      </c>
      <c r="B12" s="644" t="str">
        <f>'F25-Div'!B12</f>
        <v>Bonus</v>
      </c>
      <c r="C12" s="776" t="str">
        <f>'F25-Div'!C12</f>
        <v>6203 to 6204</v>
      </c>
      <c r="D12" s="634"/>
      <c r="E12" s="150"/>
      <c r="F12" s="150"/>
      <c r="G12" s="150"/>
      <c r="H12" s="150"/>
      <c r="I12" s="150"/>
      <c r="J12" s="150"/>
      <c r="K12" s="152"/>
      <c r="L12" s="645"/>
    </row>
    <row r="13" spans="1:16" x14ac:dyDescent="0.2">
      <c r="A13" s="142">
        <f t="shared" si="0"/>
        <v>9</v>
      </c>
      <c r="B13" s="644" t="str">
        <f>'F25-Div'!B13</f>
        <v xml:space="preserve">Foreign Workers/Casual/Temp </v>
      </c>
      <c r="C13" s="776" t="str">
        <f>'F25-Div'!C13</f>
        <v>6206, 6208</v>
      </c>
      <c r="D13" s="634"/>
      <c r="E13" s="150"/>
      <c r="F13" s="150"/>
      <c r="G13" s="150"/>
      <c r="H13" s="150"/>
      <c r="I13" s="150"/>
      <c r="J13" s="150"/>
      <c r="K13" s="152"/>
      <c r="L13" s="645"/>
    </row>
    <row r="14" spans="1:16" x14ac:dyDescent="0.2">
      <c r="A14" s="142">
        <f t="shared" si="0"/>
        <v>10</v>
      </c>
      <c r="B14" s="644" t="str">
        <f>'F25-Div'!B14</f>
        <v>Overtime</v>
      </c>
      <c r="C14" s="776" t="str">
        <f>'F25-Div'!C14</f>
        <v>6209 to 6210</v>
      </c>
      <c r="D14" s="634"/>
      <c r="E14" s="150"/>
      <c r="F14" s="150"/>
      <c r="G14" s="150"/>
      <c r="H14" s="150"/>
      <c r="I14" s="150"/>
      <c r="J14" s="150"/>
      <c r="K14" s="152"/>
      <c r="L14" s="645"/>
    </row>
    <row r="15" spans="1:16" x14ac:dyDescent="0.2">
      <c r="A15" s="142">
        <f t="shared" si="0"/>
        <v>11</v>
      </c>
      <c r="B15" s="644" t="str">
        <f>'F25-Div'!B15</f>
        <v>Shift Allowance &amp; Incentive</v>
      </c>
      <c r="C15" s="776" t="str">
        <f>'F25-Div'!C15</f>
        <v>6205, 6211 to 6212</v>
      </c>
      <c r="D15" s="634"/>
      <c r="E15" s="150"/>
      <c r="F15" s="150"/>
      <c r="G15" s="150"/>
      <c r="H15" s="150"/>
      <c r="I15" s="150"/>
      <c r="J15" s="150"/>
      <c r="K15" s="152"/>
      <c r="L15" s="645"/>
    </row>
    <row r="16" spans="1:16" x14ac:dyDescent="0.2">
      <c r="A16" s="142">
        <f t="shared" si="0"/>
        <v>12</v>
      </c>
      <c r="B16" s="644" t="str">
        <f>'F25-Div'!B16</f>
        <v>Staff Transport/Vehicle Rental</v>
      </c>
      <c r="C16" s="776" t="str">
        <f>'F25-Div'!C16</f>
        <v>6213</v>
      </c>
      <c r="D16" s="634"/>
      <c r="E16" s="150"/>
      <c r="F16" s="150"/>
      <c r="G16" s="150"/>
      <c r="H16" s="150"/>
      <c r="I16" s="150"/>
      <c r="J16" s="150"/>
      <c r="K16" s="152"/>
      <c r="L16" s="645"/>
      <c r="P16" s="171"/>
    </row>
    <row r="17" spans="1:16" x14ac:dyDescent="0.2">
      <c r="A17" s="142">
        <f t="shared" si="0"/>
        <v>13</v>
      </c>
      <c r="B17" s="644" t="str">
        <f>'F25-Div'!B17</f>
        <v>Social Security Contribution</v>
      </c>
      <c r="C17" s="776" t="str">
        <f>'F25-Div'!C17</f>
        <v>6214</v>
      </c>
      <c r="D17" s="634"/>
      <c r="E17" s="150"/>
      <c r="F17" s="150"/>
      <c r="G17" s="150"/>
      <c r="H17" s="150"/>
      <c r="I17" s="150"/>
      <c r="J17" s="150"/>
      <c r="K17" s="152"/>
      <c r="L17" s="645"/>
      <c r="P17" s="171"/>
    </row>
    <row r="18" spans="1:16" x14ac:dyDescent="0.2">
      <c r="A18" s="142">
        <f t="shared" si="0"/>
        <v>14</v>
      </c>
      <c r="B18" s="644" t="str">
        <f>'F25-Div'!B18</f>
        <v>Workers' Levy</v>
      </c>
      <c r="C18" s="776" t="str">
        <f>'F25-Div'!C18</f>
        <v>6215</v>
      </c>
      <c r="D18" s="634"/>
      <c r="E18" s="150"/>
      <c r="F18" s="150"/>
      <c r="G18" s="150"/>
      <c r="H18" s="150"/>
      <c r="I18" s="150"/>
      <c r="J18" s="150"/>
      <c r="K18" s="152"/>
      <c r="L18" s="645"/>
      <c r="P18" s="171"/>
    </row>
    <row r="19" spans="1:16" x14ac:dyDescent="0.2">
      <c r="A19" s="249">
        <f t="shared" si="0"/>
        <v>15</v>
      </c>
      <c r="B19" s="164" t="str">
        <f>'F25-Div'!B19</f>
        <v>Others Direct Labor Costs</v>
      </c>
      <c r="C19" s="773" t="str">
        <f>'F25-Div'!C19</f>
        <v>6207, 6216 to 6229</v>
      </c>
      <c r="D19" s="634"/>
      <c r="E19" s="150"/>
      <c r="F19" s="150"/>
      <c r="G19" s="150"/>
      <c r="H19" s="150"/>
      <c r="I19" s="150"/>
      <c r="J19" s="150"/>
      <c r="K19" s="152"/>
      <c r="L19" s="646"/>
    </row>
    <row r="20" spans="1:16" x14ac:dyDescent="0.2">
      <c r="A20" s="250">
        <f t="shared" si="0"/>
        <v>16</v>
      </c>
      <c r="B20" s="161" t="str">
        <f>'F25-Div'!B20</f>
        <v xml:space="preserve">Direct Labor </v>
      </c>
      <c r="C20" s="774" t="str">
        <f>'F25-Div'!C20</f>
        <v>=SUM(C11:C19)</v>
      </c>
      <c r="D20" s="420"/>
      <c r="E20" s="158"/>
      <c r="F20" s="158"/>
      <c r="G20" s="158"/>
      <c r="H20" s="158"/>
      <c r="I20" s="158"/>
      <c r="J20" s="158"/>
      <c r="K20" s="158"/>
      <c r="L20" s="640"/>
    </row>
    <row r="21" spans="1:16" s="171" customFormat="1" x14ac:dyDescent="0.2">
      <c r="A21" s="250">
        <f t="shared" si="0"/>
        <v>17</v>
      </c>
      <c r="B21" s="165" t="str">
        <f>'F25-Div'!B21</f>
        <v xml:space="preserve">Direct Expenses </v>
      </c>
      <c r="C21" s="777" t="str">
        <f>'F25-Div'!C21</f>
        <v>6251 to 6299</v>
      </c>
      <c r="D21" s="420"/>
      <c r="E21" s="158"/>
      <c r="F21" s="158"/>
      <c r="G21" s="158"/>
      <c r="H21" s="158"/>
      <c r="I21" s="158"/>
      <c r="J21" s="158"/>
      <c r="K21" s="158"/>
      <c r="L21" s="640"/>
    </row>
    <row r="22" spans="1:16" s="171" customFormat="1" ht="12" thickBot="1" x14ac:dyDescent="0.25">
      <c r="A22" s="390">
        <f t="shared" si="0"/>
        <v>18</v>
      </c>
      <c r="B22" s="172" t="str">
        <f>'F25-Div'!B22</f>
        <v>Prime Cost</v>
      </c>
      <c r="C22" s="778" t="str">
        <f>'F25-Div'!C22</f>
        <v>=C10+C20+C21</v>
      </c>
      <c r="D22" s="422"/>
      <c r="E22" s="176"/>
      <c r="F22" s="176"/>
      <c r="G22" s="176"/>
      <c r="H22" s="176"/>
      <c r="I22" s="176"/>
      <c r="J22" s="176"/>
      <c r="K22" s="176"/>
      <c r="L22" s="647"/>
    </row>
    <row r="23" spans="1:16" s="171" customFormat="1" ht="12" thickTop="1" x14ac:dyDescent="0.2">
      <c r="A23" s="391">
        <f t="shared" si="0"/>
        <v>19</v>
      </c>
      <c r="B23" s="648" t="str">
        <f>'F25-Div'!B23</f>
        <v>Indirect Material</v>
      </c>
      <c r="C23" s="779" t="str">
        <f>'F25-Div'!C23</f>
        <v>6301 to 6310</v>
      </c>
      <c r="D23" s="649"/>
      <c r="E23" s="650"/>
      <c r="F23" s="650"/>
      <c r="G23" s="650"/>
      <c r="H23" s="650"/>
      <c r="I23" s="650"/>
      <c r="J23" s="650"/>
      <c r="K23" s="650"/>
      <c r="L23" s="651"/>
    </row>
    <row r="24" spans="1:16" x14ac:dyDescent="0.2">
      <c r="A24" s="135">
        <f t="shared" si="0"/>
        <v>20</v>
      </c>
      <c r="B24" s="642" t="str">
        <f>'F25-Div'!B24</f>
        <v>Salary &amp; Leave</v>
      </c>
      <c r="C24" s="775" t="str">
        <f>'F25-Div'!C24</f>
        <v>6311</v>
      </c>
      <c r="D24" s="634"/>
      <c r="E24" s="150"/>
      <c r="F24" s="150"/>
      <c r="G24" s="150"/>
      <c r="H24" s="150"/>
      <c r="I24" s="150"/>
      <c r="J24" s="150"/>
      <c r="K24" s="152"/>
      <c r="L24" s="643"/>
    </row>
    <row r="25" spans="1:16" x14ac:dyDescent="0.2">
      <c r="A25" s="142">
        <f t="shared" si="0"/>
        <v>21</v>
      </c>
      <c r="B25" s="644" t="str">
        <f>'F25-Div'!B25</f>
        <v>Bonus</v>
      </c>
      <c r="C25" s="776" t="str">
        <f>'F25-Div'!C25</f>
        <v>6312</v>
      </c>
      <c r="D25" s="634"/>
      <c r="E25" s="150"/>
      <c r="F25" s="150"/>
      <c r="G25" s="150"/>
      <c r="H25" s="150"/>
      <c r="I25" s="150"/>
      <c r="J25" s="150"/>
      <c r="K25" s="152"/>
      <c r="L25" s="645"/>
    </row>
    <row r="26" spans="1:16" x14ac:dyDescent="0.2">
      <c r="A26" s="142">
        <f t="shared" si="0"/>
        <v>22</v>
      </c>
      <c r="B26" s="644" t="str">
        <f>'F25-Div'!B26</f>
        <v>Foreign Workers/Casual/Temp</v>
      </c>
      <c r="C26" s="776" t="str">
        <f>'F25-Div'!C26</f>
        <v>6314, 6316</v>
      </c>
      <c r="D26" s="634"/>
      <c r="E26" s="150"/>
      <c r="F26" s="150"/>
      <c r="G26" s="150"/>
      <c r="H26" s="150"/>
      <c r="I26" s="150"/>
      <c r="J26" s="150"/>
      <c r="K26" s="152"/>
      <c r="L26" s="645"/>
    </row>
    <row r="27" spans="1:16" x14ac:dyDescent="0.2">
      <c r="A27" s="142">
        <f t="shared" si="0"/>
        <v>23</v>
      </c>
      <c r="B27" s="644" t="str">
        <f>'F25-Div'!B27</f>
        <v>Overtime</v>
      </c>
      <c r="C27" s="776" t="str">
        <f>'F25-Div'!C27</f>
        <v>6317</v>
      </c>
      <c r="D27" s="634"/>
      <c r="E27" s="150"/>
      <c r="F27" s="150"/>
      <c r="G27" s="150"/>
      <c r="H27" s="150"/>
      <c r="I27" s="150"/>
      <c r="J27" s="150"/>
      <c r="K27" s="152"/>
      <c r="L27" s="645"/>
    </row>
    <row r="28" spans="1:16" x14ac:dyDescent="0.2">
      <c r="A28" s="142">
        <f t="shared" si="0"/>
        <v>24</v>
      </c>
      <c r="B28" s="644" t="str">
        <f>'F25-Div'!B28</f>
        <v>Shift Allowance &amp; Incentive</v>
      </c>
      <c r="C28" s="776" t="str">
        <f>'F25-Div'!C28</f>
        <v>6313, 6318 to 6319</v>
      </c>
      <c r="D28" s="634"/>
      <c r="E28" s="150"/>
      <c r="F28" s="150"/>
      <c r="G28" s="150"/>
      <c r="H28" s="150"/>
      <c r="I28" s="150"/>
      <c r="J28" s="150"/>
      <c r="K28" s="152"/>
      <c r="L28" s="645"/>
    </row>
    <row r="29" spans="1:16" x14ac:dyDescent="0.2">
      <c r="A29" s="142">
        <f t="shared" si="0"/>
        <v>25</v>
      </c>
      <c r="B29" s="644" t="str">
        <f>'F25-Div'!B29</f>
        <v>Staff Transport/Vehicle Rental</v>
      </c>
      <c r="C29" s="776" t="str">
        <f>'F25-Div'!C29</f>
        <v>6320</v>
      </c>
      <c r="D29" s="634"/>
      <c r="E29" s="150"/>
      <c r="F29" s="150"/>
      <c r="G29" s="150"/>
      <c r="H29" s="150"/>
      <c r="I29" s="150"/>
      <c r="J29" s="150"/>
      <c r="K29" s="152"/>
      <c r="L29" s="645"/>
    </row>
    <row r="30" spans="1:16" x14ac:dyDescent="0.2">
      <c r="A30" s="142">
        <f t="shared" si="0"/>
        <v>26</v>
      </c>
      <c r="B30" s="644" t="str">
        <f>'F25-Div'!B30</f>
        <v>Social Security Contribution</v>
      </c>
      <c r="C30" s="776" t="str">
        <f>'F25-Div'!C30</f>
        <v>6321</v>
      </c>
      <c r="D30" s="634"/>
      <c r="E30" s="150"/>
      <c r="F30" s="150"/>
      <c r="G30" s="150"/>
      <c r="H30" s="150"/>
      <c r="I30" s="150"/>
      <c r="J30" s="150"/>
      <c r="K30" s="152"/>
      <c r="L30" s="645"/>
    </row>
    <row r="31" spans="1:16" x14ac:dyDescent="0.2">
      <c r="A31" s="142">
        <f t="shared" si="0"/>
        <v>27</v>
      </c>
      <c r="B31" s="644" t="str">
        <f>'F25-Div'!B31</f>
        <v>Workers' Levy</v>
      </c>
      <c r="C31" s="776" t="str">
        <f>'F25-Div'!C31</f>
        <v>6322</v>
      </c>
      <c r="D31" s="634"/>
      <c r="E31" s="150"/>
      <c r="F31" s="150"/>
      <c r="G31" s="150"/>
      <c r="H31" s="150"/>
      <c r="I31" s="150"/>
      <c r="J31" s="150"/>
      <c r="K31" s="152"/>
      <c r="L31" s="645"/>
    </row>
    <row r="32" spans="1:16" x14ac:dyDescent="0.2">
      <c r="A32" s="142">
        <f t="shared" si="0"/>
        <v>28</v>
      </c>
      <c r="B32" s="644" t="str">
        <f>'F25-Div'!B32</f>
        <v>Expats' Expenses</v>
      </c>
      <c r="C32" s="776" t="str">
        <f>'F25-Div'!C32</f>
        <v>6351 to 6399</v>
      </c>
      <c r="D32" s="634"/>
      <c r="E32" s="150"/>
      <c r="F32" s="150"/>
      <c r="G32" s="150"/>
      <c r="H32" s="150"/>
      <c r="I32" s="150"/>
      <c r="J32" s="150"/>
      <c r="K32" s="152"/>
      <c r="L32" s="645"/>
    </row>
    <row r="33" spans="1:12" x14ac:dyDescent="0.2">
      <c r="A33" s="142">
        <f t="shared" si="0"/>
        <v>29</v>
      </c>
      <c r="B33" s="644" t="str">
        <f>'F25-Div'!B33</f>
        <v>Other Indirect Labor Costs</v>
      </c>
      <c r="C33" s="776" t="str">
        <f>'F25-Div'!C33</f>
        <v>6315, 6323 to 6349</v>
      </c>
      <c r="D33" s="634"/>
      <c r="E33" s="150"/>
      <c r="F33" s="150"/>
      <c r="G33" s="150"/>
      <c r="H33" s="150"/>
      <c r="I33" s="150"/>
      <c r="J33" s="150"/>
      <c r="K33" s="152"/>
      <c r="L33" s="645"/>
    </row>
    <row r="34" spans="1:12" x14ac:dyDescent="0.2">
      <c r="A34" s="142">
        <f t="shared" si="0"/>
        <v>30</v>
      </c>
      <c r="B34" s="644" t="str">
        <f>'F25-Div'!B34</f>
        <v>QA Allocated Cost</v>
      </c>
      <c r="C34" s="776"/>
      <c r="D34" s="634"/>
      <c r="E34" s="150"/>
      <c r="F34" s="150"/>
      <c r="G34" s="150"/>
      <c r="H34" s="150"/>
      <c r="I34" s="150"/>
      <c r="J34" s="150"/>
      <c r="K34" s="152"/>
      <c r="L34" s="645"/>
    </row>
    <row r="35" spans="1:12" x14ac:dyDescent="0.2">
      <c r="A35" s="142">
        <f t="shared" si="0"/>
        <v>31</v>
      </c>
      <c r="B35" s="644" t="str">
        <f>'F25-Div'!B35</f>
        <v>PM Allocated Cost</v>
      </c>
      <c r="C35" s="776"/>
      <c r="D35" s="634"/>
      <c r="E35" s="150"/>
      <c r="F35" s="150"/>
      <c r="G35" s="150"/>
      <c r="H35" s="150"/>
      <c r="I35" s="150"/>
      <c r="J35" s="150"/>
      <c r="K35" s="152"/>
      <c r="L35" s="645"/>
    </row>
    <row r="36" spans="1:12" x14ac:dyDescent="0.2">
      <c r="A36" s="250">
        <f t="shared" si="0"/>
        <v>32</v>
      </c>
      <c r="B36" s="178" t="str">
        <f>'F25-Div'!B36</f>
        <v>Indirect Labor</v>
      </c>
      <c r="C36" s="774" t="str">
        <f>'F25-Div'!C36</f>
        <v>=SUM(C24:C35)</v>
      </c>
      <c r="D36" s="420"/>
      <c r="E36" s="158"/>
      <c r="F36" s="158"/>
      <c r="G36" s="158"/>
      <c r="H36" s="158"/>
      <c r="I36" s="158"/>
      <c r="J36" s="158"/>
      <c r="K36" s="158"/>
      <c r="L36" s="640"/>
    </row>
    <row r="37" spans="1:12" x14ac:dyDescent="0.2">
      <c r="A37" s="135">
        <f t="shared" si="0"/>
        <v>33</v>
      </c>
      <c r="B37" s="136" t="str">
        <f>'F25-Div'!B37</f>
        <v>Utilities - Elec, Water, Gas</v>
      </c>
      <c r="C37" s="780" t="str">
        <f>'F25-Div'!C37</f>
        <v>6401 to 6410</v>
      </c>
      <c r="D37" s="634"/>
      <c r="E37" s="150"/>
      <c r="F37" s="150"/>
      <c r="G37" s="150"/>
      <c r="H37" s="150"/>
      <c r="I37" s="150"/>
      <c r="J37" s="150"/>
      <c r="K37" s="152"/>
      <c r="L37" s="636"/>
    </row>
    <row r="38" spans="1:12" x14ac:dyDescent="0.2">
      <c r="A38" s="142">
        <f t="shared" si="0"/>
        <v>34</v>
      </c>
      <c r="B38" s="143" t="str">
        <f>'F25-Div'!B38</f>
        <v xml:space="preserve">Product Development/Testing </v>
      </c>
      <c r="C38" s="773" t="str">
        <f>'F25-Div'!C38</f>
        <v>6421 to 6430</v>
      </c>
      <c r="D38" s="634"/>
      <c r="E38" s="150"/>
      <c r="F38" s="150"/>
      <c r="G38" s="150"/>
      <c r="H38" s="150"/>
      <c r="I38" s="150"/>
      <c r="J38" s="150"/>
      <c r="K38" s="152"/>
      <c r="L38" s="637"/>
    </row>
    <row r="39" spans="1:12" x14ac:dyDescent="0.2">
      <c r="A39" s="142">
        <f t="shared" si="0"/>
        <v>35</v>
      </c>
      <c r="B39" s="143" t="str">
        <f>'F25-Div'!B39</f>
        <v>Carriage/Transport/Storage</v>
      </c>
      <c r="C39" s="773" t="str">
        <f>'F25-Div'!C39</f>
        <v>6411 to 6420</v>
      </c>
      <c r="D39" s="634"/>
      <c r="E39" s="150"/>
      <c r="F39" s="150"/>
      <c r="G39" s="150"/>
      <c r="H39" s="150"/>
      <c r="I39" s="150"/>
      <c r="J39" s="150"/>
      <c r="K39" s="152"/>
      <c r="L39" s="637"/>
    </row>
    <row r="40" spans="1:12" x14ac:dyDescent="0.2">
      <c r="A40" s="142">
        <f t="shared" si="0"/>
        <v>36</v>
      </c>
      <c r="B40" s="160" t="str">
        <f>'F25-Div'!B40</f>
        <v>Manufacturing Loss/Wastage</v>
      </c>
      <c r="C40" s="772" t="str">
        <f>'F25-Div'!C40</f>
        <v>6431, 6432</v>
      </c>
      <c r="D40" s="634"/>
      <c r="E40" s="150"/>
      <c r="F40" s="150"/>
      <c r="G40" s="150"/>
      <c r="H40" s="150"/>
      <c r="I40" s="150"/>
      <c r="J40" s="150"/>
      <c r="K40" s="152"/>
      <c r="L40" s="641"/>
    </row>
    <row r="41" spans="1:12" x14ac:dyDescent="0.2">
      <c r="A41" s="142">
        <f t="shared" si="0"/>
        <v>37</v>
      </c>
      <c r="B41" s="160" t="str">
        <f>'F25-Div'!B41</f>
        <v>Rejects/Reworks/Scrap</v>
      </c>
      <c r="C41" s="772" t="str">
        <f>'F25-Div'!C41</f>
        <v>6433 to 6435</v>
      </c>
      <c r="D41" s="634"/>
      <c r="E41" s="150"/>
      <c r="F41" s="150"/>
      <c r="G41" s="150"/>
      <c r="H41" s="150"/>
      <c r="I41" s="150"/>
      <c r="J41" s="150"/>
      <c r="K41" s="152"/>
      <c r="L41" s="641"/>
    </row>
    <row r="42" spans="1:12" x14ac:dyDescent="0.2">
      <c r="A42" s="142">
        <f t="shared" si="0"/>
        <v>38</v>
      </c>
      <c r="B42" s="160" t="str">
        <f>'F25-Div'!B42</f>
        <v>Disposal of Sludge/Others</v>
      </c>
      <c r="C42" s="772" t="str">
        <f>'F25-Div'!C42</f>
        <v>6436 to 6499</v>
      </c>
      <c r="D42" s="634"/>
      <c r="E42" s="150"/>
      <c r="F42" s="150"/>
      <c r="G42" s="150"/>
      <c r="H42" s="150"/>
      <c r="I42" s="150"/>
      <c r="J42" s="150"/>
      <c r="K42" s="152"/>
      <c r="L42" s="641"/>
    </row>
    <row r="43" spans="1:12" x14ac:dyDescent="0.2">
      <c r="A43" s="142">
        <f t="shared" si="0"/>
        <v>39</v>
      </c>
      <c r="B43" s="160" t="str">
        <f>'F25-Div'!B43</f>
        <v>QA Allocated Cost</v>
      </c>
      <c r="C43" s="772"/>
      <c r="D43" s="634"/>
      <c r="E43" s="150"/>
      <c r="F43" s="150"/>
      <c r="G43" s="150"/>
      <c r="H43" s="150"/>
      <c r="I43" s="150"/>
      <c r="J43" s="150"/>
      <c r="K43" s="152"/>
      <c r="L43" s="641"/>
    </row>
    <row r="44" spans="1:12" x14ac:dyDescent="0.2">
      <c r="A44" s="142">
        <f t="shared" si="0"/>
        <v>40</v>
      </c>
      <c r="B44" s="160" t="str">
        <f>'F25-Div'!B44</f>
        <v>PM Allocated Cost</v>
      </c>
      <c r="C44" s="772"/>
      <c r="D44" s="634"/>
      <c r="E44" s="150"/>
      <c r="F44" s="150"/>
      <c r="G44" s="150"/>
      <c r="H44" s="150"/>
      <c r="I44" s="150"/>
      <c r="J44" s="150"/>
      <c r="K44" s="152"/>
      <c r="L44" s="641"/>
    </row>
    <row r="45" spans="1:12" x14ac:dyDescent="0.2">
      <c r="A45" s="250">
        <f t="shared" si="0"/>
        <v>41</v>
      </c>
      <c r="B45" s="178" t="str">
        <f>'F25-Div'!B45</f>
        <v xml:space="preserve">Other Variable Overhead </v>
      </c>
      <c r="C45" s="774" t="s">
        <v>1790</v>
      </c>
      <c r="D45" s="420"/>
      <c r="E45" s="158"/>
      <c r="F45" s="158"/>
      <c r="G45" s="158"/>
      <c r="H45" s="158"/>
      <c r="I45" s="158"/>
      <c r="J45" s="158"/>
      <c r="K45" s="158"/>
      <c r="L45" s="640"/>
    </row>
    <row r="46" spans="1:12" ht="12" thickBot="1" x14ac:dyDescent="0.25">
      <c r="A46" s="390">
        <f t="shared" si="0"/>
        <v>42</v>
      </c>
      <c r="B46" s="172" t="str">
        <f>'F25-Div'!B46</f>
        <v xml:space="preserve">Total Variable Overhead </v>
      </c>
      <c r="C46" s="778" t="str">
        <f>'F25-Div'!C46</f>
        <v>=C23+C36+c45</v>
      </c>
      <c r="D46" s="422"/>
      <c r="E46" s="176"/>
      <c r="F46" s="176"/>
      <c r="G46" s="176"/>
      <c r="H46" s="176"/>
      <c r="I46" s="176"/>
      <c r="J46" s="176"/>
      <c r="K46" s="176"/>
      <c r="L46" s="647"/>
    </row>
    <row r="47" spans="1:12" ht="12" thickTop="1" x14ac:dyDescent="0.2">
      <c r="A47" s="135">
        <f t="shared" si="0"/>
        <v>43</v>
      </c>
      <c r="B47" s="180" t="str">
        <f>'F25-Div'!B47</f>
        <v>Factory Rental/Upkeep</v>
      </c>
      <c r="C47" s="780" t="str">
        <f>'F25-Div'!C47</f>
        <v>6501 to 6502, 6506</v>
      </c>
      <c r="D47" s="781"/>
      <c r="E47" s="167"/>
      <c r="F47" s="167"/>
      <c r="G47" s="167"/>
      <c r="H47" s="167"/>
      <c r="I47" s="167"/>
      <c r="J47" s="167"/>
      <c r="K47" s="169"/>
      <c r="L47" s="652"/>
    </row>
    <row r="48" spans="1:12" x14ac:dyDescent="0.2">
      <c r="A48" s="142">
        <f t="shared" si="0"/>
        <v>44</v>
      </c>
      <c r="B48" s="185" t="str">
        <f>'F25-Div'!B48</f>
        <v>Property Tax for Factory</v>
      </c>
      <c r="C48" s="772" t="str">
        <f>'F25-Div'!C48</f>
        <v>6503</v>
      </c>
      <c r="D48" s="634"/>
      <c r="E48" s="150"/>
      <c r="F48" s="150"/>
      <c r="G48" s="150"/>
      <c r="H48" s="150"/>
      <c r="I48" s="150"/>
      <c r="J48" s="150"/>
      <c r="K48" s="152"/>
      <c r="L48" s="653"/>
    </row>
    <row r="49" spans="1:12" x14ac:dyDescent="0.2">
      <c r="A49" s="142">
        <f t="shared" si="0"/>
        <v>45</v>
      </c>
      <c r="B49" s="185" t="str">
        <f>'F25-Div'!B49</f>
        <v>Repair &amp; Maintainance/Upkeep</v>
      </c>
      <c r="C49" s="772" t="str">
        <f>'F25-Div'!C49</f>
        <v>6601 to 6620</v>
      </c>
      <c r="D49" s="634"/>
      <c r="E49" s="150"/>
      <c r="F49" s="150"/>
      <c r="G49" s="150"/>
      <c r="H49" s="150"/>
      <c r="I49" s="150"/>
      <c r="J49" s="150"/>
      <c r="K49" s="152"/>
      <c r="L49" s="653"/>
    </row>
    <row r="50" spans="1:12" x14ac:dyDescent="0.2">
      <c r="A50" s="142">
        <f t="shared" si="0"/>
        <v>46</v>
      </c>
      <c r="B50" s="185" t="str">
        <f>'F25-Div'!B50</f>
        <v>Leasing of Mac&amp;Equip/Vehicles/Cyl</v>
      </c>
      <c r="C50" s="772" t="str">
        <f>'F25-Div'!C50</f>
        <v>6621 to 6623</v>
      </c>
      <c r="D50" s="634"/>
      <c r="E50" s="150"/>
      <c r="F50" s="150"/>
      <c r="G50" s="150"/>
      <c r="H50" s="150"/>
      <c r="I50" s="150"/>
      <c r="J50" s="150"/>
      <c r="K50" s="152"/>
      <c r="L50" s="653"/>
    </row>
    <row r="51" spans="1:12" x14ac:dyDescent="0.2">
      <c r="A51" s="142">
        <f t="shared" si="0"/>
        <v>47</v>
      </c>
      <c r="B51" s="185" t="str">
        <f>'F25-Div'!B51</f>
        <v>Depreciation</v>
      </c>
      <c r="C51" s="772" t="str">
        <f>'F25-Div'!C51</f>
        <v>6701 to 6749</v>
      </c>
      <c r="D51" s="634"/>
      <c r="E51" s="150"/>
      <c r="F51" s="150"/>
      <c r="G51" s="150"/>
      <c r="H51" s="150"/>
      <c r="I51" s="150"/>
      <c r="J51" s="150"/>
      <c r="K51" s="152"/>
      <c r="L51" s="653"/>
    </row>
    <row r="52" spans="1:12" x14ac:dyDescent="0.2">
      <c r="A52" s="142">
        <f t="shared" si="0"/>
        <v>48</v>
      </c>
      <c r="B52" s="185" t="str">
        <f>'F25-Div'!B52</f>
        <v>Licenses &amp; Insurance</v>
      </c>
      <c r="C52" s="772" t="str">
        <f>'F25-Div'!C52</f>
        <v>6504, 6751 to 6759</v>
      </c>
      <c r="D52" s="634"/>
      <c r="E52" s="150"/>
      <c r="F52" s="150"/>
      <c r="G52" s="150"/>
      <c r="H52" s="150"/>
      <c r="I52" s="150"/>
      <c r="J52" s="150"/>
      <c r="K52" s="152"/>
      <c r="L52" s="653"/>
    </row>
    <row r="53" spans="1:12" x14ac:dyDescent="0.2">
      <c r="A53" s="142">
        <f t="shared" si="0"/>
        <v>49</v>
      </c>
      <c r="B53" s="185" t="str">
        <f>'F25-Div'!B53</f>
        <v>Non Capitalised Purchases</v>
      </c>
      <c r="C53" s="772" t="str">
        <f>'F25-Div'!C53</f>
        <v>6761 to 6769</v>
      </c>
      <c r="D53" s="634"/>
      <c r="E53" s="150"/>
      <c r="F53" s="150"/>
      <c r="G53" s="150"/>
      <c r="H53" s="150"/>
      <c r="I53" s="150"/>
      <c r="J53" s="150"/>
      <c r="K53" s="152"/>
      <c r="L53" s="653"/>
    </row>
    <row r="54" spans="1:12" x14ac:dyDescent="0.2">
      <c r="A54" s="142">
        <f t="shared" si="0"/>
        <v>50</v>
      </c>
      <c r="B54" s="185" t="str">
        <f>'F25-Div'!B54</f>
        <v>Others Fixed Overhead</v>
      </c>
      <c r="C54" s="772" t="str">
        <f>'F25-Div'!C54</f>
        <v>6505, 6771 to 6799</v>
      </c>
      <c r="D54" s="634"/>
      <c r="E54" s="150"/>
      <c r="F54" s="150"/>
      <c r="G54" s="150"/>
      <c r="H54" s="150"/>
      <c r="I54" s="150"/>
      <c r="J54" s="150"/>
      <c r="K54" s="152"/>
      <c r="L54" s="653"/>
    </row>
    <row r="55" spans="1:12" x14ac:dyDescent="0.2">
      <c r="A55" s="142">
        <f t="shared" si="0"/>
        <v>51</v>
      </c>
      <c r="B55" s="185" t="str">
        <f>'F25-Div'!B55</f>
        <v>QA Allocated Cost</v>
      </c>
      <c r="C55" s="772"/>
      <c r="D55" s="634"/>
      <c r="E55" s="150"/>
      <c r="F55" s="150"/>
      <c r="G55" s="150"/>
      <c r="H55" s="150"/>
      <c r="I55" s="150"/>
      <c r="J55" s="150"/>
      <c r="K55" s="152"/>
      <c r="L55" s="653"/>
    </row>
    <row r="56" spans="1:12" x14ac:dyDescent="0.2">
      <c r="A56" s="142">
        <f t="shared" si="0"/>
        <v>52</v>
      </c>
      <c r="B56" s="185" t="str">
        <f>'F25-Div'!B56</f>
        <v>PM Allocated Cost</v>
      </c>
      <c r="C56" s="772"/>
      <c r="D56" s="634"/>
      <c r="E56" s="150"/>
      <c r="F56" s="150"/>
      <c r="G56" s="150"/>
      <c r="H56" s="150"/>
      <c r="I56" s="150"/>
      <c r="J56" s="150"/>
      <c r="K56" s="152"/>
      <c r="L56" s="653"/>
    </row>
    <row r="57" spans="1:12" x14ac:dyDescent="0.2">
      <c r="A57" s="250">
        <f t="shared" si="0"/>
        <v>53</v>
      </c>
      <c r="B57" s="178" t="str">
        <f>'F25-Div'!B57</f>
        <v>Fixed Overhead</v>
      </c>
      <c r="C57" s="774" t="str">
        <f>'F25-Div'!C57</f>
        <v>=SUM(C47:C56)</v>
      </c>
      <c r="D57" s="420"/>
      <c r="E57" s="158"/>
      <c r="F57" s="158"/>
      <c r="G57" s="158"/>
      <c r="H57" s="158"/>
      <c r="I57" s="158"/>
      <c r="J57" s="158"/>
      <c r="K57" s="158"/>
      <c r="L57" s="640"/>
    </row>
    <row r="58" spans="1:12" ht="12" thickBot="1" x14ac:dyDescent="0.25">
      <c r="A58" s="390">
        <f t="shared" si="0"/>
        <v>54</v>
      </c>
      <c r="B58" s="172" t="str">
        <f>'F25-Div'!B58</f>
        <v>Cost of Goods Manufactured</v>
      </c>
      <c r="C58" s="778" t="str">
        <f>'F25-Div'!C58</f>
        <v>=C22+C46+C57</v>
      </c>
      <c r="D58" s="422"/>
      <c r="E58" s="176"/>
      <c r="F58" s="176"/>
      <c r="G58" s="176"/>
      <c r="H58" s="176"/>
      <c r="I58" s="176"/>
      <c r="J58" s="176"/>
      <c r="K58" s="176"/>
      <c r="L58" s="647"/>
    </row>
    <row r="59" spans="1:12" ht="12" thickTop="1" x14ac:dyDescent="0.2"/>
  </sheetData>
  <mergeCells count="7">
    <mergeCell ref="A4:B4"/>
    <mergeCell ref="A1:B1"/>
    <mergeCell ref="D1:H1"/>
    <mergeCell ref="I1:L1"/>
    <mergeCell ref="A3:B3"/>
    <mergeCell ref="D3:H3"/>
    <mergeCell ref="I3:L3"/>
  </mergeCells>
  <printOptions horizontalCentered="1"/>
  <pageMargins left="0.25" right="0.25"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zoomScale="120" zoomScaleNormal="120" zoomScaleSheetLayoutView="130" workbookViewId="0">
      <pane xSplit="2" ySplit="3" topLeftCell="C17" activePane="bottomRight" state="frozen"/>
      <selection activeCell="T247" sqref="T247"/>
      <selection pane="topRight" activeCell="T247" sqref="T247"/>
      <selection pane="bottomLeft" activeCell="T247" sqref="T247"/>
      <selection pane="bottomRight" activeCell="C45" sqref="C45"/>
    </sheetView>
  </sheetViews>
  <sheetFormatPr defaultRowHeight="11.25" x14ac:dyDescent="0.2"/>
  <cols>
    <col min="1" max="1" width="3" style="133" customWidth="1"/>
    <col min="2" max="2" width="25.85546875" style="133" bestFit="1" customWidth="1"/>
    <col min="3" max="3" width="35.5703125" style="133" customWidth="1"/>
    <col min="4" max="4" width="6.28515625" style="658" customWidth="1"/>
    <col min="5" max="6" width="6.28515625" style="659" customWidth="1"/>
    <col min="7" max="7" width="6.28515625" style="659" bestFit="1" customWidth="1"/>
    <col min="8" max="8" width="6.28515625" style="660" bestFit="1" customWidth="1"/>
    <col min="9" max="9" width="6.28515625" style="659" customWidth="1"/>
    <col min="10" max="11" width="6.28515625" style="659" bestFit="1" customWidth="1"/>
    <col min="12" max="12" width="7.5703125" style="202" customWidth="1"/>
    <col min="13" max="16384" width="9.140625" style="133"/>
  </cols>
  <sheetData>
    <row r="1" spans="1:12" x14ac:dyDescent="0.2">
      <c r="A1" s="908" t="s">
        <v>66</v>
      </c>
      <c r="B1" s="909"/>
      <c r="C1" s="767"/>
      <c r="D1" s="910" t="str">
        <f>'F25-Div'!D1:H1</f>
        <v>AS OF: 11-Oct-2017</v>
      </c>
      <c r="E1" s="911"/>
      <c r="F1" s="911"/>
      <c r="G1" s="911"/>
      <c r="H1" s="912"/>
      <c r="I1" s="913" t="str">
        <f>'F25-Div'!I1:L1</f>
        <v>FOR THE MONTH OF:   Sep -17</v>
      </c>
      <c r="J1" s="914"/>
      <c r="K1" s="914"/>
      <c r="L1" s="915"/>
    </row>
    <row r="2" spans="1:12" x14ac:dyDescent="0.2">
      <c r="A2" s="555" t="str">
        <f>'F25-Dep'!A2</f>
        <v>DIVISION: GAS</v>
      </c>
      <c r="B2" s="556"/>
      <c r="C2" s="768"/>
      <c r="D2" s="625" t="s">
        <v>93</v>
      </c>
      <c r="E2" s="687" t="s">
        <v>1491</v>
      </c>
      <c r="F2" s="626"/>
      <c r="G2" s="626"/>
      <c r="H2" s="627"/>
      <c r="I2" s="661" t="s">
        <v>63</v>
      </c>
      <c r="J2" s="629"/>
      <c r="K2" s="629"/>
      <c r="L2" s="630"/>
    </row>
    <row r="3" spans="1:12" x14ac:dyDescent="0.2">
      <c r="A3" s="916" t="str">
        <f>'F25-Dep'!A3:B3</f>
        <v>F25 MANUFACTURING ACCOUNT</v>
      </c>
      <c r="B3" s="917"/>
      <c r="C3" s="768"/>
      <c r="D3" s="918" t="s">
        <v>62</v>
      </c>
      <c r="E3" s="900"/>
      <c r="F3" s="900"/>
      <c r="G3" s="900"/>
      <c r="H3" s="900"/>
      <c r="I3" s="902" t="s">
        <v>61</v>
      </c>
      <c r="J3" s="902"/>
      <c r="K3" s="902"/>
      <c r="L3" s="903"/>
    </row>
    <row r="4" spans="1:12" x14ac:dyDescent="0.2">
      <c r="A4" s="906" t="str">
        <f>'F25-Div'!A4:B4</f>
        <v>BY DIV/DEPT/SEC/UNITS</v>
      </c>
      <c r="B4" s="907"/>
      <c r="C4" s="771"/>
      <c r="D4" s="631" t="s">
        <v>106</v>
      </c>
      <c r="E4" s="632" t="s">
        <v>107</v>
      </c>
      <c r="F4" s="632" t="s">
        <v>108</v>
      </c>
      <c r="G4" s="632" t="s">
        <v>109</v>
      </c>
      <c r="H4" s="632" t="s">
        <v>110</v>
      </c>
      <c r="I4" s="632" t="s">
        <v>111</v>
      </c>
      <c r="J4" s="632" t="s">
        <v>112</v>
      </c>
      <c r="K4" s="633" t="s">
        <v>113</v>
      </c>
      <c r="L4" s="631" t="s">
        <v>14</v>
      </c>
    </row>
    <row r="5" spans="1:12" x14ac:dyDescent="0.2">
      <c r="A5" s="250">
        <v>1</v>
      </c>
      <c r="B5" s="154" t="str">
        <f>'F25-Dep'!B5</f>
        <v>Manufacturing Costs</v>
      </c>
      <c r="C5" s="769"/>
      <c r="D5" s="638"/>
      <c r="E5" s="156"/>
      <c r="F5" s="157"/>
      <c r="G5" s="158"/>
      <c r="H5" s="158"/>
      <c r="I5" s="158"/>
      <c r="J5" s="156"/>
      <c r="K5" s="639"/>
      <c r="L5" s="662"/>
    </row>
    <row r="6" spans="1:12" x14ac:dyDescent="0.2">
      <c r="A6" s="135">
        <f t="shared" ref="A6:A58" si="0">A5+1</f>
        <v>2</v>
      </c>
      <c r="B6" s="136" t="str">
        <f>'F25-Dep'!B6</f>
        <v>DM–Raw Materials</v>
      </c>
      <c r="C6" s="365">
        <f>'F25-Dep'!C6</f>
        <v>6101</v>
      </c>
      <c r="D6" s="663"/>
      <c r="E6" s="150"/>
      <c r="F6" s="151"/>
      <c r="G6" s="150"/>
      <c r="H6" s="151"/>
      <c r="I6" s="150"/>
      <c r="J6" s="151"/>
      <c r="K6" s="152"/>
      <c r="L6" s="636"/>
    </row>
    <row r="7" spans="1:12" x14ac:dyDescent="0.2">
      <c r="A7" s="142">
        <f t="shared" si="0"/>
        <v>3</v>
      </c>
      <c r="B7" s="160" t="str">
        <f>'F25-Dep'!B7</f>
        <v>DM–Parts &amp; Access</v>
      </c>
      <c r="C7" s="772">
        <f>'F25-Dep'!C7</f>
        <v>6102</v>
      </c>
      <c r="D7" s="663"/>
      <c r="E7" s="150"/>
      <c r="F7" s="151"/>
      <c r="G7" s="150"/>
      <c r="H7" s="151"/>
      <c r="I7" s="150"/>
      <c r="J7" s="151"/>
      <c r="K7" s="152"/>
      <c r="L7" s="641"/>
    </row>
    <row r="8" spans="1:12" x14ac:dyDescent="0.2">
      <c r="A8" s="142">
        <f t="shared" si="0"/>
        <v>4</v>
      </c>
      <c r="B8" s="143" t="str">
        <f>'F25-Dep'!B8</f>
        <v>DM–Packing &amp; Label Materials</v>
      </c>
      <c r="C8" s="773" t="str">
        <f>'F25-Dep'!C8</f>
        <v>6103 to 6104</v>
      </c>
      <c r="D8" s="663"/>
      <c r="E8" s="150"/>
      <c r="F8" s="151"/>
      <c r="G8" s="150"/>
      <c r="H8" s="151"/>
      <c r="I8" s="150"/>
      <c r="J8" s="151"/>
      <c r="K8" s="152"/>
      <c r="L8" s="637"/>
    </row>
    <row r="9" spans="1:12" x14ac:dyDescent="0.2">
      <c r="A9" s="249">
        <f t="shared" si="0"/>
        <v>5</v>
      </c>
      <c r="B9" s="143" t="str">
        <f>'F25-Dep'!B9</f>
        <v>DM–Others</v>
      </c>
      <c r="C9" s="773" t="str">
        <f>'F25-Dep'!C9</f>
        <v>6105 to 6199</v>
      </c>
      <c r="D9" s="663"/>
      <c r="E9" s="150"/>
      <c r="F9" s="151"/>
      <c r="G9" s="150"/>
      <c r="H9" s="151"/>
      <c r="I9" s="150"/>
      <c r="J9" s="151"/>
      <c r="K9" s="152"/>
      <c r="L9" s="637"/>
    </row>
    <row r="10" spans="1:12" x14ac:dyDescent="0.2">
      <c r="A10" s="250">
        <f t="shared" si="0"/>
        <v>6</v>
      </c>
      <c r="B10" s="161" t="str">
        <f>'F25-Dep'!B10</f>
        <v xml:space="preserve">Direct Material </v>
      </c>
      <c r="C10" s="774" t="str">
        <f>'F25-Dep'!C10</f>
        <v>=SUM(C6:C9)</v>
      </c>
      <c r="D10" s="664"/>
      <c r="E10" s="158"/>
      <c r="F10" s="157"/>
      <c r="G10" s="158"/>
      <c r="H10" s="157"/>
      <c r="I10" s="158"/>
      <c r="J10" s="157"/>
      <c r="K10" s="158"/>
      <c r="L10" s="665"/>
    </row>
    <row r="11" spans="1:12" x14ac:dyDescent="0.2">
      <c r="A11" s="135">
        <f t="shared" si="0"/>
        <v>7</v>
      </c>
      <c r="B11" s="642" t="str">
        <f>'F25-Dep'!B11</f>
        <v>Salary &amp; Leave</v>
      </c>
      <c r="C11" s="775" t="str">
        <f>'F25-Dep'!C11</f>
        <v>6201 to 6202</v>
      </c>
      <c r="D11" s="663"/>
      <c r="E11" s="150"/>
      <c r="F11" s="151"/>
      <c r="G11" s="150"/>
      <c r="H11" s="151"/>
      <c r="I11" s="150"/>
      <c r="J11" s="151"/>
      <c r="K11" s="152"/>
      <c r="L11" s="643"/>
    </row>
    <row r="12" spans="1:12" x14ac:dyDescent="0.2">
      <c r="A12" s="142">
        <f t="shared" si="0"/>
        <v>8</v>
      </c>
      <c r="B12" s="644" t="str">
        <f>'F25-Dep'!B12</f>
        <v>Bonus</v>
      </c>
      <c r="C12" s="776" t="str">
        <f>'F25-Dep'!C12</f>
        <v>6203 to 6204</v>
      </c>
      <c r="D12" s="663"/>
      <c r="E12" s="150"/>
      <c r="F12" s="151"/>
      <c r="G12" s="150"/>
      <c r="H12" s="151"/>
      <c r="I12" s="150"/>
      <c r="J12" s="151"/>
      <c r="K12" s="152"/>
      <c r="L12" s="645"/>
    </row>
    <row r="13" spans="1:12" x14ac:dyDescent="0.2">
      <c r="A13" s="142">
        <f t="shared" si="0"/>
        <v>9</v>
      </c>
      <c r="B13" s="644" t="str">
        <f>'F25-Dep'!B13</f>
        <v xml:space="preserve">Foreign Workers/Casual/Temp </v>
      </c>
      <c r="C13" s="776" t="str">
        <f>'F25-Dep'!C13</f>
        <v>6206, 6208</v>
      </c>
      <c r="D13" s="663"/>
      <c r="E13" s="150"/>
      <c r="F13" s="151"/>
      <c r="G13" s="150"/>
      <c r="H13" s="151"/>
      <c r="I13" s="150"/>
      <c r="J13" s="151"/>
      <c r="K13" s="152"/>
      <c r="L13" s="645"/>
    </row>
    <row r="14" spans="1:12" x14ac:dyDescent="0.2">
      <c r="A14" s="142">
        <f t="shared" si="0"/>
        <v>10</v>
      </c>
      <c r="B14" s="644" t="str">
        <f>'F25-Dep'!B14</f>
        <v>Overtime</v>
      </c>
      <c r="C14" s="776" t="str">
        <f>'F25-Dep'!C14</f>
        <v>6209 to 6210</v>
      </c>
      <c r="D14" s="663"/>
      <c r="E14" s="150"/>
      <c r="F14" s="151"/>
      <c r="G14" s="150"/>
      <c r="H14" s="151"/>
      <c r="I14" s="150"/>
      <c r="J14" s="151"/>
      <c r="K14" s="152"/>
      <c r="L14" s="645"/>
    </row>
    <row r="15" spans="1:12" x14ac:dyDescent="0.2">
      <c r="A15" s="142">
        <f t="shared" si="0"/>
        <v>11</v>
      </c>
      <c r="B15" s="644" t="str">
        <f>'F25-Dep'!B15</f>
        <v>Shift Allowance &amp; Incentive</v>
      </c>
      <c r="C15" s="776" t="str">
        <f>'F25-Dep'!C15</f>
        <v>6205, 6211 to 6212</v>
      </c>
      <c r="D15" s="663"/>
      <c r="E15" s="150"/>
      <c r="F15" s="151"/>
      <c r="G15" s="150"/>
      <c r="H15" s="151"/>
      <c r="I15" s="150"/>
      <c r="J15" s="151"/>
      <c r="K15" s="152"/>
      <c r="L15" s="645"/>
    </row>
    <row r="16" spans="1:12" x14ac:dyDescent="0.2">
      <c r="A16" s="142">
        <f t="shared" si="0"/>
        <v>12</v>
      </c>
      <c r="B16" s="644" t="str">
        <f>'F25-Dep'!B16</f>
        <v>Staff Transport/Vehicle Rental</v>
      </c>
      <c r="C16" s="776" t="str">
        <f>'F25-Dep'!C16</f>
        <v>6213</v>
      </c>
      <c r="D16" s="663"/>
      <c r="E16" s="150"/>
      <c r="F16" s="151"/>
      <c r="G16" s="150"/>
      <c r="H16" s="151"/>
      <c r="I16" s="150"/>
      <c r="J16" s="151"/>
      <c r="K16" s="152"/>
      <c r="L16" s="645"/>
    </row>
    <row r="17" spans="1:16" x14ac:dyDescent="0.2">
      <c r="A17" s="142">
        <f t="shared" si="0"/>
        <v>13</v>
      </c>
      <c r="B17" s="644" t="str">
        <f>'F25-Dep'!B17</f>
        <v>Social Security Contribution</v>
      </c>
      <c r="C17" s="776" t="str">
        <f>'F25-Dep'!C17</f>
        <v>6214</v>
      </c>
      <c r="D17" s="663"/>
      <c r="E17" s="150"/>
      <c r="F17" s="151"/>
      <c r="G17" s="150"/>
      <c r="H17" s="151"/>
      <c r="I17" s="150"/>
      <c r="J17" s="151"/>
      <c r="K17" s="152"/>
      <c r="L17" s="645"/>
      <c r="P17" s="171"/>
    </row>
    <row r="18" spans="1:16" x14ac:dyDescent="0.2">
      <c r="A18" s="142">
        <f t="shared" si="0"/>
        <v>14</v>
      </c>
      <c r="B18" s="644" t="str">
        <f>'F25-Dep'!B18</f>
        <v>Workers' Levy</v>
      </c>
      <c r="C18" s="776" t="str">
        <f>'F25-Dep'!C18</f>
        <v>6215</v>
      </c>
      <c r="D18" s="663"/>
      <c r="E18" s="150"/>
      <c r="F18" s="151"/>
      <c r="G18" s="150"/>
      <c r="H18" s="151"/>
      <c r="I18" s="150"/>
      <c r="J18" s="151"/>
      <c r="K18" s="152"/>
      <c r="L18" s="645"/>
    </row>
    <row r="19" spans="1:16" x14ac:dyDescent="0.2">
      <c r="A19" s="249">
        <f t="shared" si="0"/>
        <v>15</v>
      </c>
      <c r="B19" s="164" t="str">
        <f>'F25-Dep'!B19</f>
        <v>Others Direct Labor Costs</v>
      </c>
      <c r="C19" s="773" t="str">
        <f>'F25-Dep'!C19</f>
        <v>6207, 6216 to 6229</v>
      </c>
      <c r="D19" s="663"/>
      <c r="E19" s="150"/>
      <c r="F19" s="151"/>
      <c r="G19" s="150"/>
      <c r="H19" s="151"/>
      <c r="I19" s="150"/>
      <c r="J19" s="151"/>
      <c r="K19" s="152"/>
      <c r="L19" s="646"/>
    </row>
    <row r="20" spans="1:16" s="171" customFormat="1" x14ac:dyDescent="0.2">
      <c r="A20" s="250">
        <f t="shared" si="0"/>
        <v>16</v>
      </c>
      <c r="B20" s="161" t="str">
        <f>'F25-Dep'!B20</f>
        <v xml:space="preserve">Direct Labor </v>
      </c>
      <c r="C20" s="774" t="str">
        <f>'F25-Dep'!C20</f>
        <v>=SUM(C11:C19)</v>
      </c>
      <c r="D20" s="420"/>
      <c r="E20" s="157"/>
      <c r="F20" s="158"/>
      <c r="G20" s="157"/>
      <c r="H20" s="158"/>
      <c r="I20" s="157"/>
      <c r="J20" s="158"/>
      <c r="K20" s="639"/>
      <c r="L20" s="640"/>
    </row>
    <row r="21" spans="1:16" s="171" customFormat="1" x14ac:dyDescent="0.2">
      <c r="A21" s="250">
        <f t="shared" si="0"/>
        <v>17</v>
      </c>
      <c r="B21" s="165" t="str">
        <f>'F25-Dep'!B21</f>
        <v xml:space="preserve">Direct Expenses </v>
      </c>
      <c r="C21" s="777" t="str">
        <f>'F25-Dep'!C21</f>
        <v>6251 to 6299</v>
      </c>
      <c r="D21" s="420"/>
      <c r="E21" s="157"/>
      <c r="F21" s="158"/>
      <c r="G21" s="157"/>
      <c r="H21" s="158"/>
      <c r="I21" s="157"/>
      <c r="J21" s="158"/>
      <c r="K21" s="639"/>
      <c r="L21" s="640"/>
    </row>
    <row r="22" spans="1:16" s="171" customFormat="1" ht="12" thickBot="1" x14ac:dyDescent="0.25">
      <c r="A22" s="392">
        <f t="shared" si="0"/>
        <v>18</v>
      </c>
      <c r="B22" s="172" t="str">
        <f>'F25-Dep'!B22</f>
        <v>Prime Cost</v>
      </c>
      <c r="C22" s="778" t="str">
        <f>'F25-Dep'!C22</f>
        <v>=C10+C20+C21</v>
      </c>
      <c r="D22" s="422"/>
      <c r="E22" s="175"/>
      <c r="F22" s="176"/>
      <c r="G22" s="175"/>
      <c r="H22" s="176"/>
      <c r="I22" s="175"/>
      <c r="J22" s="176"/>
      <c r="K22" s="666"/>
      <c r="L22" s="647"/>
    </row>
    <row r="23" spans="1:16" ht="12" thickTop="1" x14ac:dyDescent="0.2">
      <c r="A23" s="667">
        <f t="shared" si="0"/>
        <v>19</v>
      </c>
      <c r="B23" s="161" t="str">
        <f>'F25-Dep'!B23</f>
        <v>Indirect Material</v>
      </c>
      <c r="C23" s="774" t="str">
        <f>'F25-Dep'!C23</f>
        <v>6301 to 6310</v>
      </c>
      <c r="D23" s="664"/>
      <c r="E23" s="158"/>
      <c r="F23" s="157"/>
      <c r="G23" s="158"/>
      <c r="H23" s="157"/>
      <c r="I23" s="158"/>
      <c r="J23" s="157"/>
      <c r="K23" s="158"/>
      <c r="L23" s="665"/>
    </row>
    <row r="24" spans="1:16" x14ac:dyDescent="0.2">
      <c r="A24" s="135">
        <f t="shared" si="0"/>
        <v>20</v>
      </c>
      <c r="B24" s="642" t="str">
        <f>'F25-Dep'!B24</f>
        <v>Salary &amp; Leave</v>
      </c>
      <c r="C24" s="775" t="str">
        <f>'F25-Dep'!C24</f>
        <v>6311</v>
      </c>
      <c r="D24" s="663"/>
      <c r="E24" s="151"/>
      <c r="F24" s="151"/>
      <c r="G24" s="151"/>
      <c r="H24" s="151"/>
      <c r="I24" s="151"/>
      <c r="J24" s="151"/>
      <c r="K24" s="635"/>
      <c r="L24" s="643"/>
    </row>
    <row r="25" spans="1:16" x14ac:dyDescent="0.2">
      <c r="A25" s="142">
        <f t="shared" si="0"/>
        <v>21</v>
      </c>
      <c r="B25" s="644" t="str">
        <f>'F25-Dep'!B25</f>
        <v>Bonus</v>
      </c>
      <c r="C25" s="776" t="str">
        <f>'F25-Dep'!C25</f>
        <v>6312</v>
      </c>
      <c r="D25" s="663"/>
      <c r="E25" s="151"/>
      <c r="F25" s="151"/>
      <c r="G25" s="151"/>
      <c r="H25" s="151"/>
      <c r="I25" s="151"/>
      <c r="J25" s="151"/>
      <c r="K25" s="635"/>
      <c r="L25" s="645"/>
    </row>
    <row r="26" spans="1:16" x14ac:dyDescent="0.2">
      <c r="A26" s="142">
        <f t="shared" si="0"/>
        <v>22</v>
      </c>
      <c r="B26" s="644" t="str">
        <f>'F25-Dep'!B26</f>
        <v>Foreign Workers/Casual/Temp</v>
      </c>
      <c r="C26" s="776" t="str">
        <f>'F25-Dep'!C26</f>
        <v>6314, 6316</v>
      </c>
      <c r="D26" s="663"/>
      <c r="E26" s="151"/>
      <c r="F26" s="151"/>
      <c r="G26" s="151"/>
      <c r="H26" s="151"/>
      <c r="I26" s="151"/>
      <c r="J26" s="151"/>
      <c r="K26" s="635"/>
      <c r="L26" s="645"/>
    </row>
    <row r="27" spans="1:16" x14ac:dyDescent="0.2">
      <c r="A27" s="142">
        <f t="shared" si="0"/>
        <v>23</v>
      </c>
      <c r="B27" s="644" t="str">
        <f>'F25-Dep'!B27</f>
        <v>Overtime</v>
      </c>
      <c r="C27" s="776" t="str">
        <f>'F25-Dep'!C27</f>
        <v>6317</v>
      </c>
      <c r="D27" s="663"/>
      <c r="E27" s="151"/>
      <c r="F27" s="151"/>
      <c r="G27" s="151"/>
      <c r="H27" s="151"/>
      <c r="I27" s="151"/>
      <c r="J27" s="151"/>
      <c r="K27" s="635"/>
      <c r="L27" s="645"/>
    </row>
    <row r="28" spans="1:16" x14ac:dyDescent="0.2">
      <c r="A28" s="142">
        <f t="shared" si="0"/>
        <v>24</v>
      </c>
      <c r="B28" s="644" t="str">
        <f>'F25-Dep'!B28</f>
        <v>Shift Allowance &amp; Incentive</v>
      </c>
      <c r="C28" s="776" t="str">
        <f>'F25-Dep'!C28</f>
        <v>6313, 6318 to 6319</v>
      </c>
      <c r="D28" s="663"/>
      <c r="E28" s="151"/>
      <c r="F28" s="151"/>
      <c r="G28" s="151"/>
      <c r="H28" s="151"/>
      <c r="I28" s="151"/>
      <c r="J28" s="151"/>
      <c r="K28" s="635"/>
      <c r="L28" s="645"/>
    </row>
    <row r="29" spans="1:16" x14ac:dyDescent="0.2">
      <c r="A29" s="142">
        <f t="shared" si="0"/>
        <v>25</v>
      </c>
      <c r="B29" s="644" t="str">
        <f>'F25-Dep'!B29</f>
        <v>Staff Transport/Vehicle Rental</v>
      </c>
      <c r="C29" s="776" t="str">
        <f>'F25-Dep'!C29</f>
        <v>6320</v>
      </c>
      <c r="D29" s="663"/>
      <c r="E29" s="151"/>
      <c r="F29" s="151"/>
      <c r="G29" s="151"/>
      <c r="H29" s="151"/>
      <c r="I29" s="151"/>
      <c r="J29" s="151"/>
      <c r="K29" s="635"/>
      <c r="L29" s="645"/>
    </row>
    <row r="30" spans="1:16" x14ac:dyDescent="0.2">
      <c r="A30" s="142">
        <f t="shared" si="0"/>
        <v>26</v>
      </c>
      <c r="B30" s="644" t="str">
        <f>'F25-Dep'!B30</f>
        <v>Social Security Contribution</v>
      </c>
      <c r="C30" s="776" t="str">
        <f>'F25-Dep'!C30</f>
        <v>6321</v>
      </c>
      <c r="D30" s="663"/>
      <c r="E30" s="151"/>
      <c r="F30" s="151"/>
      <c r="G30" s="151"/>
      <c r="H30" s="151"/>
      <c r="I30" s="151"/>
      <c r="J30" s="151"/>
      <c r="K30" s="635"/>
      <c r="L30" s="645"/>
    </row>
    <row r="31" spans="1:16" x14ac:dyDescent="0.2">
      <c r="A31" s="142">
        <f t="shared" si="0"/>
        <v>27</v>
      </c>
      <c r="B31" s="644" t="str">
        <f>'F25-Dep'!B31</f>
        <v>Workers' Levy</v>
      </c>
      <c r="C31" s="776" t="str">
        <f>'F25-Dep'!C31</f>
        <v>6322</v>
      </c>
      <c r="D31" s="663"/>
      <c r="E31" s="151"/>
      <c r="F31" s="151"/>
      <c r="G31" s="151"/>
      <c r="H31" s="151"/>
      <c r="I31" s="151"/>
      <c r="J31" s="151"/>
      <c r="K31" s="635"/>
      <c r="L31" s="645"/>
    </row>
    <row r="32" spans="1:16" x14ac:dyDescent="0.2">
      <c r="A32" s="142">
        <f t="shared" si="0"/>
        <v>28</v>
      </c>
      <c r="B32" s="644" t="str">
        <f>'F25-Dep'!B32</f>
        <v>Expats' Expenses</v>
      </c>
      <c r="C32" s="776" t="str">
        <f>'F25-Dep'!C32</f>
        <v>6351 to 6399</v>
      </c>
      <c r="D32" s="663"/>
      <c r="E32" s="151"/>
      <c r="F32" s="151"/>
      <c r="G32" s="151"/>
      <c r="H32" s="151"/>
      <c r="I32" s="151"/>
      <c r="J32" s="151"/>
      <c r="K32" s="635"/>
      <c r="L32" s="645"/>
    </row>
    <row r="33" spans="1:12" x14ac:dyDescent="0.2">
      <c r="A33" s="142">
        <f t="shared" si="0"/>
        <v>29</v>
      </c>
      <c r="B33" s="644" t="str">
        <f>'F25-Dep'!B33</f>
        <v>Other Indirect Labor Costs</v>
      </c>
      <c r="C33" s="776" t="str">
        <f>'F25-Dep'!C33</f>
        <v>6315, 6323 to 6349</v>
      </c>
      <c r="D33" s="663"/>
      <c r="E33" s="151"/>
      <c r="F33" s="151"/>
      <c r="G33" s="151"/>
      <c r="H33" s="151"/>
      <c r="I33" s="151"/>
      <c r="J33" s="151"/>
      <c r="K33" s="635"/>
      <c r="L33" s="645"/>
    </row>
    <row r="34" spans="1:12" x14ac:dyDescent="0.2">
      <c r="A34" s="142">
        <f t="shared" si="0"/>
        <v>30</v>
      </c>
      <c r="B34" s="644" t="str">
        <f>'F25-Dep'!B34</f>
        <v>QA Allocated Cost</v>
      </c>
      <c r="C34" s="776"/>
      <c r="D34" s="663"/>
      <c r="E34" s="151"/>
      <c r="F34" s="151"/>
      <c r="G34" s="151"/>
      <c r="H34" s="151"/>
      <c r="I34" s="151"/>
      <c r="J34" s="151"/>
      <c r="K34" s="635"/>
      <c r="L34" s="645"/>
    </row>
    <row r="35" spans="1:12" x14ac:dyDescent="0.2">
      <c r="A35" s="142">
        <f t="shared" si="0"/>
        <v>31</v>
      </c>
      <c r="B35" s="644" t="str">
        <f>'F25-Dep'!B35</f>
        <v>PM Allocated Cost</v>
      </c>
      <c r="C35" s="776"/>
      <c r="D35" s="663"/>
      <c r="E35" s="151"/>
      <c r="F35" s="151"/>
      <c r="G35" s="151"/>
      <c r="H35" s="151"/>
      <c r="I35" s="151"/>
      <c r="J35" s="151"/>
      <c r="K35" s="635"/>
      <c r="L35" s="645"/>
    </row>
    <row r="36" spans="1:12" x14ac:dyDescent="0.2">
      <c r="A36" s="250">
        <f t="shared" si="0"/>
        <v>32</v>
      </c>
      <c r="B36" s="178" t="str">
        <f>'F25-Dep'!B36</f>
        <v>Indirect Labor</v>
      </c>
      <c r="C36" s="774" t="str">
        <f>'F25-Dep'!C36</f>
        <v>=SUM(C24:C35)</v>
      </c>
      <c r="D36" s="664"/>
      <c r="E36" s="157"/>
      <c r="F36" s="157"/>
      <c r="G36" s="157"/>
      <c r="H36" s="157"/>
      <c r="I36" s="157"/>
      <c r="J36" s="157"/>
      <c r="K36" s="639"/>
      <c r="L36" s="668"/>
    </row>
    <row r="37" spans="1:12" x14ac:dyDescent="0.2">
      <c r="A37" s="135">
        <f t="shared" si="0"/>
        <v>33</v>
      </c>
      <c r="B37" s="136" t="str">
        <f>'F25-Dep'!B37</f>
        <v>Utilities - Elec, Water, Gas</v>
      </c>
      <c r="C37" s="780" t="str">
        <f>'F25-Dep'!C37</f>
        <v>6401 to 6410</v>
      </c>
      <c r="D37" s="669"/>
      <c r="E37" s="168"/>
      <c r="F37" s="168"/>
      <c r="G37" s="168"/>
      <c r="H37" s="168"/>
      <c r="I37" s="168"/>
      <c r="J37" s="168"/>
      <c r="K37" s="670"/>
      <c r="L37" s="636"/>
    </row>
    <row r="38" spans="1:12" x14ac:dyDescent="0.2">
      <c r="A38" s="142">
        <f t="shared" si="0"/>
        <v>34</v>
      </c>
      <c r="B38" s="143" t="str">
        <f>'F25-Dep'!B38</f>
        <v xml:space="preserve">Product Development/Testing </v>
      </c>
      <c r="C38" s="773" t="str">
        <f>'F25-Dep'!C38</f>
        <v>6421 to 6430</v>
      </c>
      <c r="D38" s="663"/>
      <c r="E38" s="151"/>
      <c r="F38" s="151"/>
      <c r="G38" s="151"/>
      <c r="H38" s="151"/>
      <c r="I38" s="151"/>
      <c r="J38" s="151"/>
      <c r="K38" s="635"/>
      <c r="L38" s="637"/>
    </row>
    <row r="39" spans="1:12" x14ac:dyDescent="0.2">
      <c r="A39" s="142">
        <f t="shared" si="0"/>
        <v>35</v>
      </c>
      <c r="B39" s="143" t="str">
        <f>'F25-Dep'!B39</f>
        <v>Carriage/Transport/Storage</v>
      </c>
      <c r="C39" s="773" t="str">
        <f>'F25-Dep'!C39</f>
        <v>6411 to 6420</v>
      </c>
      <c r="D39" s="663"/>
      <c r="E39" s="151"/>
      <c r="F39" s="151"/>
      <c r="G39" s="151"/>
      <c r="H39" s="151"/>
      <c r="I39" s="151"/>
      <c r="J39" s="151"/>
      <c r="K39" s="635"/>
      <c r="L39" s="637"/>
    </row>
    <row r="40" spans="1:12" x14ac:dyDescent="0.2">
      <c r="A40" s="142">
        <f t="shared" si="0"/>
        <v>36</v>
      </c>
      <c r="B40" s="160" t="str">
        <f>'F25-Dep'!B40</f>
        <v>Manufacturing Loss/Wastage</v>
      </c>
      <c r="C40" s="772" t="str">
        <f>'F25-Dep'!C40</f>
        <v>6431, 6432</v>
      </c>
      <c r="D40" s="663"/>
      <c r="E40" s="151"/>
      <c r="F40" s="151"/>
      <c r="G40" s="151"/>
      <c r="H40" s="151"/>
      <c r="I40" s="151"/>
      <c r="J40" s="151"/>
      <c r="K40" s="635"/>
      <c r="L40" s="641"/>
    </row>
    <row r="41" spans="1:12" x14ac:dyDescent="0.2">
      <c r="A41" s="142">
        <f t="shared" si="0"/>
        <v>37</v>
      </c>
      <c r="B41" s="143" t="str">
        <f>'F25-Dep'!B41</f>
        <v>Rejects/Reworks/Scrap</v>
      </c>
      <c r="C41" s="773" t="str">
        <f>'F25-Dep'!C41</f>
        <v>6433 to 6435</v>
      </c>
      <c r="D41" s="663"/>
      <c r="E41" s="151"/>
      <c r="F41" s="151"/>
      <c r="G41" s="151"/>
      <c r="H41" s="151"/>
      <c r="I41" s="151"/>
      <c r="J41" s="151"/>
      <c r="K41" s="635"/>
      <c r="L41" s="637"/>
    </row>
    <row r="42" spans="1:12" x14ac:dyDescent="0.2">
      <c r="A42" s="142">
        <f t="shared" si="0"/>
        <v>38</v>
      </c>
      <c r="B42" s="143" t="str">
        <f>'F25-Dep'!B42</f>
        <v>Disposal of Sludge/Others</v>
      </c>
      <c r="C42" s="773" t="str">
        <f>'F25-Dep'!C42</f>
        <v>6436 to 6499</v>
      </c>
      <c r="D42" s="663"/>
      <c r="E42" s="151"/>
      <c r="F42" s="151"/>
      <c r="G42" s="151"/>
      <c r="H42" s="151"/>
      <c r="I42" s="151"/>
      <c r="J42" s="151"/>
      <c r="K42" s="635"/>
      <c r="L42" s="637"/>
    </row>
    <row r="43" spans="1:12" x14ac:dyDescent="0.2">
      <c r="A43" s="142">
        <f t="shared" si="0"/>
        <v>39</v>
      </c>
      <c r="B43" s="143" t="str">
        <f>'F25-Dep'!B43</f>
        <v>QA Allocated Cost</v>
      </c>
      <c r="C43" s="773"/>
      <c r="D43" s="663"/>
      <c r="E43" s="151"/>
      <c r="F43" s="151"/>
      <c r="G43" s="151"/>
      <c r="H43" s="151"/>
      <c r="I43" s="151"/>
      <c r="J43" s="151"/>
      <c r="K43" s="635"/>
      <c r="L43" s="637"/>
    </row>
    <row r="44" spans="1:12" x14ac:dyDescent="0.2">
      <c r="A44" s="142">
        <f t="shared" si="0"/>
        <v>40</v>
      </c>
      <c r="B44" s="143" t="str">
        <f>'F25-Dep'!B44</f>
        <v>PM Allocated Cost</v>
      </c>
      <c r="C44" s="773"/>
      <c r="D44" s="663"/>
      <c r="E44" s="151"/>
      <c r="F44" s="151"/>
      <c r="G44" s="151"/>
      <c r="H44" s="151"/>
      <c r="I44" s="151"/>
      <c r="J44" s="151"/>
      <c r="K44" s="635"/>
      <c r="L44" s="637"/>
    </row>
    <row r="45" spans="1:12" x14ac:dyDescent="0.2">
      <c r="A45" s="250">
        <f t="shared" si="0"/>
        <v>41</v>
      </c>
      <c r="B45" s="178" t="str">
        <f>'F25-Dep'!B45</f>
        <v xml:space="preserve">Other Variable Overhead </v>
      </c>
      <c r="C45" s="774" t="s">
        <v>1790</v>
      </c>
      <c r="D45" s="664"/>
      <c r="E45" s="157"/>
      <c r="F45" s="157"/>
      <c r="G45" s="157"/>
      <c r="H45" s="157"/>
      <c r="I45" s="157"/>
      <c r="J45" s="157"/>
      <c r="K45" s="639"/>
      <c r="L45" s="668"/>
    </row>
    <row r="46" spans="1:12" ht="12" thickBot="1" x14ac:dyDescent="0.25">
      <c r="A46" s="390">
        <f t="shared" si="0"/>
        <v>42</v>
      </c>
      <c r="B46" s="172" t="str">
        <f>'F25-Dep'!B46</f>
        <v xml:space="preserve">Total Variable Overhead </v>
      </c>
      <c r="C46" s="778" t="str">
        <f>'F25-Dep'!C46</f>
        <v>=C23+C36+c45</v>
      </c>
      <c r="D46" s="671"/>
      <c r="E46" s="175"/>
      <c r="F46" s="175"/>
      <c r="G46" s="175"/>
      <c r="H46" s="175"/>
      <c r="I46" s="175"/>
      <c r="J46" s="175"/>
      <c r="K46" s="666"/>
      <c r="L46" s="782"/>
    </row>
    <row r="47" spans="1:12" ht="12" thickTop="1" x14ac:dyDescent="0.2">
      <c r="A47" s="135">
        <f t="shared" si="0"/>
        <v>43</v>
      </c>
      <c r="B47" s="180" t="str">
        <f>'F25-Dep'!B47</f>
        <v>Factory Rental/Upkeep</v>
      </c>
      <c r="C47" s="780" t="str">
        <f>'F25-Dep'!C47</f>
        <v>6501 to 6502, 6506</v>
      </c>
      <c r="D47" s="669"/>
      <c r="E47" s="168"/>
      <c r="F47" s="168"/>
      <c r="G47" s="168"/>
      <c r="H47" s="168"/>
      <c r="I47" s="168"/>
      <c r="J47" s="168"/>
      <c r="K47" s="670"/>
      <c r="L47" s="652"/>
    </row>
    <row r="48" spans="1:12" x14ac:dyDescent="0.2">
      <c r="A48" s="142">
        <f t="shared" si="0"/>
        <v>44</v>
      </c>
      <c r="B48" s="185" t="str">
        <f>'F25-Dep'!B48</f>
        <v>Property Tax for Factory</v>
      </c>
      <c r="C48" s="772" t="str">
        <f>'F25-Dep'!C48</f>
        <v>6503</v>
      </c>
      <c r="D48" s="663"/>
      <c r="E48" s="151"/>
      <c r="F48" s="151"/>
      <c r="G48" s="151"/>
      <c r="H48" s="151"/>
      <c r="I48" s="151"/>
      <c r="J48" s="151"/>
      <c r="K48" s="635"/>
      <c r="L48" s="653"/>
    </row>
    <row r="49" spans="1:12" x14ac:dyDescent="0.2">
      <c r="A49" s="142">
        <f t="shared" si="0"/>
        <v>45</v>
      </c>
      <c r="B49" s="185" t="str">
        <f>'F25-Dep'!B49</f>
        <v>Repair &amp; Maintainance/Upkeep</v>
      </c>
      <c r="C49" s="772" t="str">
        <f>'F25-Dep'!C49</f>
        <v>6601 to 6620</v>
      </c>
      <c r="D49" s="663"/>
      <c r="E49" s="151"/>
      <c r="F49" s="151"/>
      <c r="G49" s="151"/>
      <c r="H49" s="151"/>
      <c r="I49" s="151"/>
      <c r="J49" s="151"/>
      <c r="K49" s="635"/>
      <c r="L49" s="653"/>
    </row>
    <row r="50" spans="1:12" x14ac:dyDescent="0.2">
      <c r="A50" s="142">
        <f t="shared" si="0"/>
        <v>46</v>
      </c>
      <c r="B50" s="185" t="str">
        <f>'F25-Dep'!B50</f>
        <v>Leasing of Mac&amp;Equip/Vehicles/Cyl</v>
      </c>
      <c r="C50" s="772" t="str">
        <f>'F25-Dep'!C50</f>
        <v>6621 to 6623</v>
      </c>
      <c r="D50" s="663"/>
      <c r="E50" s="151"/>
      <c r="F50" s="151"/>
      <c r="G50" s="151"/>
      <c r="H50" s="151"/>
      <c r="I50" s="151"/>
      <c r="J50" s="151"/>
      <c r="K50" s="635"/>
      <c r="L50" s="653"/>
    </row>
    <row r="51" spans="1:12" x14ac:dyDescent="0.2">
      <c r="A51" s="142">
        <f t="shared" si="0"/>
        <v>47</v>
      </c>
      <c r="B51" s="185" t="str">
        <f>'F25-Dep'!B51</f>
        <v>Depreciation</v>
      </c>
      <c r="C51" s="772" t="str">
        <f>'F25-Dep'!C51</f>
        <v>6701 to 6749</v>
      </c>
      <c r="D51" s="663"/>
      <c r="E51" s="151"/>
      <c r="F51" s="151"/>
      <c r="G51" s="151"/>
      <c r="H51" s="151"/>
      <c r="I51" s="151"/>
      <c r="J51" s="151"/>
      <c r="K51" s="635"/>
      <c r="L51" s="653"/>
    </row>
    <row r="52" spans="1:12" x14ac:dyDescent="0.2">
      <c r="A52" s="142">
        <f t="shared" si="0"/>
        <v>48</v>
      </c>
      <c r="B52" s="185" t="str">
        <f>'F25-Dep'!B52</f>
        <v>Licenses &amp; Insurance</v>
      </c>
      <c r="C52" s="772" t="str">
        <f>'F25-Dep'!C52</f>
        <v>6504, 6751 to 6759</v>
      </c>
      <c r="D52" s="663"/>
      <c r="E52" s="151"/>
      <c r="F52" s="151"/>
      <c r="G52" s="151"/>
      <c r="H52" s="151"/>
      <c r="I52" s="151"/>
      <c r="J52" s="151"/>
      <c r="K52" s="635"/>
      <c r="L52" s="653"/>
    </row>
    <row r="53" spans="1:12" x14ac:dyDescent="0.2">
      <c r="A53" s="142">
        <f t="shared" si="0"/>
        <v>49</v>
      </c>
      <c r="B53" s="185" t="str">
        <f>'F25-Dep'!B53</f>
        <v>Non Capitalised Purchases</v>
      </c>
      <c r="C53" s="772" t="str">
        <f>'F25-Dep'!C53</f>
        <v>6761 to 6769</v>
      </c>
      <c r="D53" s="663"/>
      <c r="E53" s="151"/>
      <c r="F53" s="151"/>
      <c r="G53" s="151"/>
      <c r="H53" s="151"/>
      <c r="I53" s="151"/>
      <c r="J53" s="151"/>
      <c r="K53" s="635"/>
      <c r="L53" s="653"/>
    </row>
    <row r="54" spans="1:12" x14ac:dyDescent="0.2">
      <c r="A54" s="142">
        <f t="shared" si="0"/>
        <v>50</v>
      </c>
      <c r="B54" s="185" t="str">
        <f>'F25-Dep'!B54</f>
        <v>Others Fixed Overhead</v>
      </c>
      <c r="C54" s="772" t="str">
        <f>'F25-Dep'!C54</f>
        <v>6505, 6771 to 6799</v>
      </c>
      <c r="D54" s="663"/>
      <c r="E54" s="151"/>
      <c r="F54" s="151"/>
      <c r="G54" s="151"/>
      <c r="H54" s="151"/>
      <c r="I54" s="151"/>
      <c r="J54" s="151"/>
      <c r="K54" s="635"/>
      <c r="L54" s="653"/>
    </row>
    <row r="55" spans="1:12" x14ac:dyDescent="0.2">
      <c r="A55" s="142">
        <f t="shared" si="0"/>
        <v>51</v>
      </c>
      <c r="B55" s="185" t="str">
        <f>'F25-Dep'!B55</f>
        <v>QA Allocated Cost</v>
      </c>
      <c r="C55" s="772"/>
      <c r="D55" s="663"/>
      <c r="E55" s="151"/>
      <c r="F55" s="151"/>
      <c r="G55" s="151"/>
      <c r="H55" s="151"/>
      <c r="I55" s="151"/>
      <c r="J55" s="151"/>
      <c r="K55" s="635"/>
      <c r="L55" s="653"/>
    </row>
    <row r="56" spans="1:12" x14ac:dyDescent="0.2">
      <c r="A56" s="142">
        <f t="shared" si="0"/>
        <v>52</v>
      </c>
      <c r="B56" s="185" t="str">
        <f>'F25-Dep'!B56</f>
        <v>PM Allocated Cost</v>
      </c>
      <c r="C56" s="772"/>
      <c r="D56" s="663"/>
      <c r="E56" s="151"/>
      <c r="F56" s="151"/>
      <c r="G56" s="151"/>
      <c r="H56" s="151"/>
      <c r="I56" s="151"/>
      <c r="J56" s="151"/>
      <c r="K56" s="635"/>
      <c r="L56" s="653"/>
    </row>
    <row r="57" spans="1:12" x14ac:dyDescent="0.2">
      <c r="A57" s="250">
        <f t="shared" si="0"/>
        <v>53</v>
      </c>
      <c r="B57" s="178" t="str">
        <f>'F25-Dep'!B57</f>
        <v>Fixed Overhead</v>
      </c>
      <c r="C57" s="774" t="str">
        <f>'F25-Dep'!C57</f>
        <v>=SUM(C47:C56)</v>
      </c>
      <c r="D57" s="664"/>
      <c r="E57" s="157"/>
      <c r="F57" s="157"/>
      <c r="G57" s="157"/>
      <c r="H57" s="157"/>
      <c r="I57" s="157"/>
      <c r="J57" s="157"/>
      <c r="K57" s="639"/>
      <c r="L57" s="665"/>
    </row>
    <row r="58" spans="1:12" ht="12" thickBot="1" x14ac:dyDescent="0.25">
      <c r="A58" s="392">
        <f t="shared" si="0"/>
        <v>54</v>
      </c>
      <c r="B58" s="172" t="str">
        <f>'F25-Dep'!B58</f>
        <v>Cost of Goods Manufactured</v>
      </c>
      <c r="C58" s="778" t="str">
        <f>'F25-Dep'!C58</f>
        <v>=C22+C46+C57</v>
      </c>
      <c r="D58" s="671"/>
      <c r="E58" s="175"/>
      <c r="F58" s="175"/>
      <c r="G58" s="175"/>
      <c r="H58" s="175"/>
      <c r="I58" s="175"/>
      <c r="J58" s="175"/>
      <c r="K58" s="666"/>
      <c r="L58" s="672"/>
    </row>
    <row r="59" spans="1:12" ht="12" thickTop="1" x14ac:dyDescent="0.2"/>
  </sheetData>
  <mergeCells count="7">
    <mergeCell ref="A4:B4"/>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view="pageBreakPreview" zoomScale="130" zoomScaleNormal="120" zoomScaleSheetLayoutView="130" workbookViewId="0">
      <pane xSplit="2" ySplit="3" topLeftCell="C4" activePane="bottomRight" state="frozen"/>
      <selection activeCell="T247" sqref="T247"/>
      <selection pane="topRight" activeCell="T247" sqref="T247"/>
      <selection pane="bottomLeft" activeCell="T247" sqref="T247"/>
      <selection pane="bottomRight" activeCell="C17" sqref="C17"/>
    </sheetView>
  </sheetViews>
  <sheetFormatPr defaultRowHeight="11.25" x14ac:dyDescent="0.2"/>
  <cols>
    <col min="1" max="1" width="3" style="133" customWidth="1"/>
    <col min="2" max="2" width="25.85546875" style="133" bestFit="1" customWidth="1"/>
    <col min="3" max="3" width="35.5703125" style="133" customWidth="1"/>
    <col min="4" max="4" width="6.28515625" style="658" customWidth="1"/>
    <col min="5" max="6" width="6.28515625" style="659" customWidth="1"/>
    <col min="7" max="7" width="6.28515625" style="659" bestFit="1" customWidth="1"/>
    <col min="8" max="8" width="6.28515625" style="660" bestFit="1" customWidth="1"/>
    <col min="9" max="9" width="6.28515625" style="659" customWidth="1"/>
    <col min="10" max="11" width="6.28515625" style="659" bestFit="1" customWidth="1"/>
    <col min="12" max="12" width="7.5703125" style="202" customWidth="1"/>
    <col min="13" max="16384" width="9.140625" style="133"/>
  </cols>
  <sheetData>
    <row r="1" spans="1:12" x14ac:dyDescent="0.2">
      <c r="A1" s="908" t="s">
        <v>66</v>
      </c>
      <c r="B1" s="909"/>
      <c r="C1" s="767"/>
      <c r="D1" s="910" t="str">
        <f>'F25-Div'!D1:H1</f>
        <v>AS OF: 11-Oct-2017</v>
      </c>
      <c r="E1" s="911"/>
      <c r="F1" s="911"/>
      <c r="G1" s="911"/>
      <c r="H1" s="912"/>
      <c r="I1" s="913" t="str">
        <f>'F25-Div'!I1:L1</f>
        <v>FOR THE MONTH OF:   Sep -17</v>
      </c>
      <c r="J1" s="914"/>
      <c r="K1" s="914"/>
      <c r="L1" s="915"/>
    </row>
    <row r="2" spans="1:12" x14ac:dyDescent="0.2">
      <c r="A2" s="623" t="str">
        <f>'F25-Sec'!A2</f>
        <v>DIVISION: GAS</v>
      </c>
      <c r="B2" s="624"/>
      <c r="C2" s="768"/>
      <c r="D2" s="625" t="s">
        <v>93</v>
      </c>
      <c r="E2" s="687" t="s">
        <v>1491</v>
      </c>
      <c r="F2" s="626"/>
      <c r="G2" s="626"/>
      <c r="H2" s="627"/>
      <c r="I2" s="661" t="s">
        <v>1492</v>
      </c>
      <c r="J2" s="629"/>
      <c r="K2" s="629"/>
      <c r="L2" s="630"/>
    </row>
    <row r="3" spans="1:12" x14ac:dyDescent="0.2">
      <c r="A3" s="916" t="str">
        <f>'F25-Sec'!A3:B3</f>
        <v>F25 MANUFACTURING ACCOUNT</v>
      </c>
      <c r="B3" s="917"/>
      <c r="C3" s="768"/>
      <c r="D3" s="918" t="s">
        <v>62</v>
      </c>
      <c r="E3" s="900"/>
      <c r="F3" s="900"/>
      <c r="G3" s="900"/>
      <c r="H3" s="900"/>
      <c r="I3" s="902" t="s">
        <v>61</v>
      </c>
      <c r="J3" s="902"/>
      <c r="K3" s="902"/>
      <c r="L3" s="903"/>
    </row>
    <row r="4" spans="1:12" x14ac:dyDescent="0.2">
      <c r="A4" s="906" t="str">
        <f>'F25-Div'!A4:B4</f>
        <v>BY DIV/DEPT/SEC/UNITS</v>
      </c>
      <c r="B4" s="907"/>
      <c r="C4" s="771"/>
      <c r="D4" s="631" t="s">
        <v>1477</v>
      </c>
      <c r="E4" s="632" t="s">
        <v>1478</v>
      </c>
      <c r="F4" s="632" t="s">
        <v>1479</v>
      </c>
      <c r="G4" s="632" t="s">
        <v>1480</v>
      </c>
      <c r="H4" s="632" t="s">
        <v>1481</v>
      </c>
      <c r="I4" s="632" t="s">
        <v>1482</v>
      </c>
      <c r="J4" s="632" t="s">
        <v>1483</v>
      </c>
      <c r="K4" s="633" t="s">
        <v>1484</v>
      </c>
      <c r="L4" s="631" t="s">
        <v>14</v>
      </c>
    </row>
    <row r="5" spans="1:12" x14ac:dyDescent="0.2">
      <c r="A5" s="250">
        <v>1</v>
      </c>
      <c r="B5" s="154" t="str">
        <f>'F25-Sec'!B5</f>
        <v>Manufacturing Costs</v>
      </c>
      <c r="C5" s="769"/>
      <c r="D5" s="638"/>
      <c r="E5" s="156"/>
      <c r="F5" s="157"/>
      <c r="G5" s="158"/>
      <c r="H5" s="158"/>
      <c r="I5" s="158"/>
      <c r="J5" s="156"/>
      <c r="K5" s="639"/>
      <c r="L5" s="662"/>
    </row>
    <row r="6" spans="1:12" x14ac:dyDescent="0.2">
      <c r="A6" s="135">
        <f t="shared" ref="A6:A58" si="0">A5+1</f>
        <v>2</v>
      </c>
      <c r="B6" s="136" t="str">
        <f>'F25-Sec'!B6</f>
        <v>DM–Raw Materials</v>
      </c>
      <c r="C6" s="365">
        <f>'F25-Sec'!C6</f>
        <v>6101</v>
      </c>
      <c r="D6" s="663"/>
      <c r="E6" s="150"/>
      <c r="F6" s="151"/>
      <c r="G6" s="150"/>
      <c r="H6" s="151"/>
      <c r="I6" s="150"/>
      <c r="J6" s="151"/>
      <c r="K6" s="152"/>
      <c r="L6" s="636"/>
    </row>
    <row r="7" spans="1:12" x14ac:dyDescent="0.2">
      <c r="A7" s="142">
        <f t="shared" si="0"/>
        <v>3</v>
      </c>
      <c r="B7" s="160" t="str">
        <f>'F25-Sec'!B7</f>
        <v>DM–Parts &amp; Access</v>
      </c>
      <c r="C7" s="772">
        <f>'F25-Sec'!C7</f>
        <v>6102</v>
      </c>
      <c r="D7" s="663"/>
      <c r="E7" s="150"/>
      <c r="F7" s="151"/>
      <c r="G7" s="150"/>
      <c r="H7" s="151"/>
      <c r="I7" s="150"/>
      <c r="J7" s="151"/>
      <c r="K7" s="152"/>
      <c r="L7" s="641"/>
    </row>
    <row r="8" spans="1:12" x14ac:dyDescent="0.2">
      <c r="A8" s="142">
        <f t="shared" si="0"/>
        <v>4</v>
      </c>
      <c r="B8" s="143" t="str">
        <f>'F25-Sec'!B8</f>
        <v>DM–Packing &amp; Label Materials</v>
      </c>
      <c r="C8" s="773" t="str">
        <f>'F25-Sec'!C8</f>
        <v>6103 to 6104</v>
      </c>
      <c r="D8" s="663"/>
      <c r="E8" s="150"/>
      <c r="F8" s="151"/>
      <c r="G8" s="150"/>
      <c r="H8" s="151"/>
      <c r="I8" s="150"/>
      <c r="J8" s="151"/>
      <c r="K8" s="152"/>
      <c r="L8" s="637"/>
    </row>
    <row r="9" spans="1:12" x14ac:dyDescent="0.2">
      <c r="A9" s="249">
        <f t="shared" si="0"/>
        <v>5</v>
      </c>
      <c r="B9" s="143" t="str">
        <f>'F25-Sec'!B9</f>
        <v>DM–Others</v>
      </c>
      <c r="C9" s="773" t="str">
        <f>'F25-Sec'!C9</f>
        <v>6105 to 6199</v>
      </c>
      <c r="D9" s="663"/>
      <c r="E9" s="150"/>
      <c r="F9" s="151"/>
      <c r="G9" s="150"/>
      <c r="H9" s="151"/>
      <c r="I9" s="150"/>
      <c r="J9" s="151"/>
      <c r="K9" s="152"/>
      <c r="L9" s="637"/>
    </row>
    <row r="10" spans="1:12" x14ac:dyDescent="0.2">
      <c r="A10" s="250">
        <f t="shared" si="0"/>
        <v>6</v>
      </c>
      <c r="B10" s="161" t="str">
        <f>'F25-Sec'!B10</f>
        <v xml:space="preserve">Direct Material </v>
      </c>
      <c r="C10" s="774" t="str">
        <f>'F25-Sec'!C10</f>
        <v>=SUM(C6:C9)</v>
      </c>
      <c r="D10" s="664"/>
      <c r="E10" s="158"/>
      <c r="F10" s="157"/>
      <c r="G10" s="158"/>
      <c r="H10" s="157"/>
      <c r="I10" s="158"/>
      <c r="J10" s="157"/>
      <c r="K10" s="158"/>
      <c r="L10" s="665"/>
    </row>
    <row r="11" spans="1:12" x14ac:dyDescent="0.2">
      <c r="A11" s="135">
        <f t="shared" si="0"/>
        <v>7</v>
      </c>
      <c r="B11" s="642" t="str">
        <f>'F25-Sec'!B11</f>
        <v>Salary &amp; Leave</v>
      </c>
      <c r="C11" s="775" t="str">
        <f>'F25-Sec'!C11</f>
        <v>6201 to 6202</v>
      </c>
      <c r="D11" s="663"/>
      <c r="E11" s="150"/>
      <c r="F11" s="151"/>
      <c r="G11" s="150"/>
      <c r="H11" s="151"/>
      <c r="I11" s="150"/>
      <c r="J11" s="151"/>
      <c r="K11" s="152"/>
      <c r="L11" s="643"/>
    </row>
    <row r="12" spans="1:12" x14ac:dyDescent="0.2">
      <c r="A12" s="142">
        <f t="shared" si="0"/>
        <v>8</v>
      </c>
      <c r="B12" s="644" t="str">
        <f>'F25-Sec'!B12</f>
        <v>Bonus</v>
      </c>
      <c r="C12" s="776" t="str">
        <f>'F25-Sec'!C12</f>
        <v>6203 to 6204</v>
      </c>
      <c r="D12" s="663"/>
      <c r="E12" s="150"/>
      <c r="F12" s="151"/>
      <c r="G12" s="150"/>
      <c r="H12" s="151"/>
      <c r="I12" s="150"/>
      <c r="J12" s="151"/>
      <c r="K12" s="152"/>
      <c r="L12" s="645"/>
    </row>
    <row r="13" spans="1:12" x14ac:dyDescent="0.2">
      <c r="A13" s="142">
        <f t="shared" si="0"/>
        <v>9</v>
      </c>
      <c r="B13" s="644" t="str">
        <f>'F25-Sec'!B13</f>
        <v xml:space="preserve">Foreign Workers/Casual/Temp </v>
      </c>
      <c r="C13" s="776" t="str">
        <f>'F25-Sec'!C13</f>
        <v>6206, 6208</v>
      </c>
      <c r="D13" s="663"/>
      <c r="E13" s="150"/>
      <c r="F13" s="151"/>
      <c r="G13" s="150"/>
      <c r="H13" s="151"/>
      <c r="I13" s="150"/>
      <c r="J13" s="151"/>
      <c r="K13" s="152"/>
      <c r="L13" s="645"/>
    </row>
    <row r="14" spans="1:12" x14ac:dyDescent="0.2">
      <c r="A14" s="142">
        <f t="shared" si="0"/>
        <v>10</v>
      </c>
      <c r="B14" s="644" t="str">
        <f>'F25-Sec'!B14</f>
        <v>Overtime</v>
      </c>
      <c r="C14" s="776" t="str">
        <f>'F25-Sec'!C14</f>
        <v>6209 to 6210</v>
      </c>
      <c r="D14" s="663"/>
      <c r="E14" s="150"/>
      <c r="F14" s="151"/>
      <c r="G14" s="150"/>
      <c r="H14" s="151"/>
      <c r="I14" s="150"/>
      <c r="J14" s="151"/>
      <c r="K14" s="152"/>
      <c r="L14" s="645"/>
    </row>
    <row r="15" spans="1:12" x14ac:dyDescent="0.2">
      <c r="A15" s="142">
        <f t="shared" si="0"/>
        <v>11</v>
      </c>
      <c r="B15" s="644" t="str">
        <f>'F25-Sec'!B15</f>
        <v>Shift Allowance &amp; Incentive</v>
      </c>
      <c r="C15" s="776" t="str">
        <f>'F25-Sec'!C15</f>
        <v>6205, 6211 to 6212</v>
      </c>
      <c r="D15" s="663"/>
      <c r="E15" s="150"/>
      <c r="F15" s="151"/>
      <c r="G15" s="150"/>
      <c r="H15" s="151"/>
      <c r="I15" s="150"/>
      <c r="J15" s="151"/>
      <c r="K15" s="152"/>
      <c r="L15" s="645"/>
    </row>
    <row r="16" spans="1:12" x14ac:dyDescent="0.2">
      <c r="A16" s="142">
        <f t="shared" si="0"/>
        <v>12</v>
      </c>
      <c r="B16" s="644" t="str">
        <f>'F25-Sec'!B16</f>
        <v>Staff Transport/Vehicle Rental</v>
      </c>
      <c r="C16" s="776" t="str">
        <f>'F25-Sec'!C16</f>
        <v>6213</v>
      </c>
      <c r="D16" s="663"/>
      <c r="E16" s="150"/>
      <c r="F16" s="151"/>
      <c r="G16" s="150"/>
      <c r="H16" s="151"/>
      <c r="I16" s="150"/>
      <c r="J16" s="151"/>
      <c r="K16" s="152"/>
      <c r="L16" s="645"/>
    </row>
    <row r="17" spans="1:16" x14ac:dyDescent="0.2">
      <c r="A17" s="142">
        <f t="shared" si="0"/>
        <v>13</v>
      </c>
      <c r="B17" s="644" t="str">
        <f>'F25-Sec'!B17</f>
        <v>Social Security Contribution</v>
      </c>
      <c r="C17" s="776" t="str">
        <f>'F25-Sec'!C17</f>
        <v>6214</v>
      </c>
      <c r="D17" s="663"/>
      <c r="E17" s="150"/>
      <c r="F17" s="151"/>
      <c r="G17" s="150"/>
      <c r="H17" s="151"/>
      <c r="I17" s="150"/>
      <c r="J17" s="151"/>
      <c r="K17" s="152"/>
      <c r="L17" s="645"/>
      <c r="P17" s="171"/>
    </row>
    <row r="18" spans="1:16" x14ac:dyDescent="0.2">
      <c r="A18" s="142">
        <f t="shared" si="0"/>
        <v>14</v>
      </c>
      <c r="B18" s="644" t="str">
        <f>'F25-Sec'!B18</f>
        <v>Workers' Levy</v>
      </c>
      <c r="C18" s="776" t="str">
        <f>'F25-Sec'!C18</f>
        <v>6215</v>
      </c>
      <c r="D18" s="663"/>
      <c r="E18" s="150"/>
      <c r="F18" s="151"/>
      <c r="G18" s="150"/>
      <c r="H18" s="151"/>
      <c r="I18" s="150"/>
      <c r="J18" s="151"/>
      <c r="K18" s="152"/>
      <c r="L18" s="645"/>
    </row>
    <row r="19" spans="1:16" x14ac:dyDescent="0.2">
      <c r="A19" s="249">
        <f t="shared" si="0"/>
        <v>15</v>
      </c>
      <c r="B19" s="164" t="str">
        <f>'F25-Sec'!B19</f>
        <v>Others Direct Labor Costs</v>
      </c>
      <c r="C19" s="773" t="str">
        <f>'F25-Sec'!C19</f>
        <v>6207, 6216 to 6229</v>
      </c>
      <c r="D19" s="663"/>
      <c r="E19" s="150"/>
      <c r="F19" s="151"/>
      <c r="G19" s="150"/>
      <c r="H19" s="151"/>
      <c r="I19" s="150"/>
      <c r="J19" s="151"/>
      <c r="K19" s="152"/>
      <c r="L19" s="646"/>
    </row>
    <row r="20" spans="1:16" s="171" customFormat="1" x14ac:dyDescent="0.2">
      <c r="A20" s="250">
        <f t="shared" si="0"/>
        <v>16</v>
      </c>
      <c r="B20" s="161" t="str">
        <f>'F25-Sec'!B20</f>
        <v xml:space="preserve">Direct Labor </v>
      </c>
      <c r="C20" s="774" t="str">
        <f>'F25-Sec'!C20</f>
        <v>=SUM(C11:C19)</v>
      </c>
      <c r="D20" s="420"/>
      <c r="E20" s="157"/>
      <c r="F20" s="158"/>
      <c r="G20" s="157"/>
      <c r="H20" s="158"/>
      <c r="I20" s="157"/>
      <c r="J20" s="158"/>
      <c r="K20" s="639"/>
      <c r="L20" s="640"/>
    </row>
    <row r="21" spans="1:16" s="171" customFormat="1" x14ac:dyDescent="0.2">
      <c r="A21" s="250">
        <f t="shared" si="0"/>
        <v>17</v>
      </c>
      <c r="B21" s="165" t="str">
        <f>'F25-Sec'!B21</f>
        <v xml:space="preserve">Direct Expenses </v>
      </c>
      <c r="C21" s="777" t="str">
        <f>'F25-Sec'!C21</f>
        <v>6251 to 6299</v>
      </c>
      <c r="D21" s="420"/>
      <c r="E21" s="157"/>
      <c r="F21" s="158"/>
      <c r="G21" s="157"/>
      <c r="H21" s="158"/>
      <c r="I21" s="157"/>
      <c r="J21" s="158"/>
      <c r="K21" s="639"/>
      <c r="L21" s="640"/>
    </row>
    <row r="22" spans="1:16" s="171" customFormat="1" ht="12" thickBot="1" x14ac:dyDescent="0.25">
      <c r="A22" s="392">
        <f t="shared" si="0"/>
        <v>18</v>
      </c>
      <c r="B22" s="172" t="str">
        <f>'F25-Sec'!B22</f>
        <v>Prime Cost</v>
      </c>
      <c r="C22" s="778" t="str">
        <f>'F25-Sec'!C22</f>
        <v>=C10+C20+C21</v>
      </c>
      <c r="D22" s="422"/>
      <c r="E22" s="175"/>
      <c r="F22" s="176"/>
      <c r="G22" s="175"/>
      <c r="H22" s="176"/>
      <c r="I22" s="175"/>
      <c r="J22" s="176"/>
      <c r="K22" s="666"/>
      <c r="L22" s="647"/>
    </row>
    <row r="23" spans="1:16" ht="12" thickTop="1" x14ac:dyDescent="0.2">
      <c r="A23" s="667">
        <f t="shared" si="0"/>
        <v>19</v>
      </c>
      <c r="B23" s="161" t="str">
        <f>'F25-Sec'!B23</f>
        <v>Indirect Material</v>
      </c>
      <c r="C23" s="774" t="str">
        <f>'F25-Sec'!C23</f>
        <v>6301 to 6310</v>
      </c>
      <c r="D23" s="664"/>
      <c r="E23" s="158"/>
      <c r="F23" s="157"/>
      <c r="G23" s="158"/>
      <c r="H23" s="157"/>
      <c r="I23" s="158"/>
      <c r="J23" s="157"/>
      <c r="K23" s="158"/>
      <c r="L23" s="665"/>
    </row>
    <row r="24" spans="1:16" x14ac:dyDescent="0.2">
      <c r="A24" s="135">
        <f t="shared" si="0"/>
        <v>20</v>
      </c>
      <c r="B24" s="642" t="str">
        <f>'F25-Sec'!B24</f>
        <v>Salary &amp; Leave</v>
      </c>
      <c r="C24" s="775" t="str">
        <f>'F25-Sec'!C24</f>
        <v>6311</v>
      </c>
      <c r="D24" s="663"/>
      <c r="E24" s="151"/>
      <c r="F24" s="151"/>
      <c r="G24" s="151"/>
      <c r="H24" s="151"/>
      <c r="I24" s="151"/>
      <c r="J24" s="151"/>
      <c r="K24" s="635"/>
      <c r="L24" s="643"/>
    </row>
    <row r="25" spans="1:16" x14ac:dyDescent="0.2">
      <c r="A25" s="142">
        <f t="shared" si="0"/>
        <v>21</v>
      </c>
      <c r="B25" s="644" t="str">
        <f>'F25-Sec'!B25</f>
        <v>Bonus</v>
      </c>
      <c r="C25" s="776" t="str">
        <f>'F25-Sec'!C25</f>
        <v>6312</v>
      </c>
      <c r="D25" s="663"/>
      <c r="E25" s="151"/>
      <c r="F25" s="151"/>
      <c r="G25" s="151"/>
      <c r="H25" s="151"/>
      <c r="I25" s="151"/>
      <c r="J25" s="151"/>
      <c r="K25" s="635"/>
      <c r="L25" s="645"/>
    </row>
    <row r="26" spans="1:16" x14ac:dyDescent="0.2">
      <c r="A26" s="142">
        <f t="shared" si="0"/>
        <v>22</v>
      </c>
      <c r="B26" s="644" t="str">
        <f>'F25-Sec'!B26</f>
        <v>Foreign Workers/Casual/Temp</v>
      </c>
      <c r="C26" s="776" t="str">
        <f>'F25-Sec'!C26</f>
        <v>6314, 6316</v>
      </c>
      <c r="D26" s="663"/>
      <c r="E26" s="151"/>
      <c r="F26" s="151"/>
      <c r="G26" s="151"/>
      <c r="H26" s="151"/>
      <c r="I26" s="151"/>
      <c r="J26" s="151"/>
      <c r="K26" s="635"/>
      <c r="L26" s="645"/>
    </row>
    <row r="27" spans="1:16" x14ac:dyDescent="0.2">
      <c r="A27" s="142">
        <f t="shared" si="0"/>
        <v>23</v>
      </c>
      <c r="B27" s="644" t="str">
        <f>'F25-Sec'!B27</f>
        <v>Overtime</v>
      </c>
      <c r="C27" s="776" t="str">
        <f>'F25-Sec'!C27</f>
        <v>6317</v>
      </c>
      <c r="D27" s="663"/>
      <c r="E27" s="151"/>
      <c r="F27" s="151"/>
      <c r="G27" s="151"/>
      <c r="H27" s="151"/>
      <c r="I27" s="151"/>
      <c r="J27" s="151"/>
      <c r="K27" s="635"/>
      <c r="L27" s="645"/>
    </row>
    <row r="28" spans="1:16" x14ac:dyDescent="0.2">
      <c r="A28" s="142">
        <f t="shared" si="0"/>
        <v>24</v>
      </c>
      <c r="B28" s="644" t="str">
        <f>'F25-Sec'!B28</f>
        <v>Shift Allowance &amp; Incentive</v>
      </c>
      <c r="C28" s="776" t="str">
        <f>'F25-Sec'!C28</f>
        <v>6313, 6318 to 6319</v>
      </c>
      <c r="D28" s="663"/>
      <c r="E28" s="151"/>
      <c r="F28" s="151"/>
      <c r="G28" s="151"/>
      <c r="H28" s="151"/>
      <c r="I28" s="151"/>
      <c r="J28" s="151"/>
      <c r="K28" s="635"/>
      <c r="L28" s="645"/>
    </row>
    <row r="29" spans="1:16" x14ac:dyDescent="0.2">
      <c r="A29" s="142">
        <f t="shared" si="0"/>
        <v>25</v>
      </c>
      <c r="B29" s="644" t="str">
        <f>'F25-Sec'!B29</f>
        <v>Staff Transport/Vehicle Rental</v>
      </c>
      <c r="C29" s="776" t="str">
        <f>'F25-Sec'!C29</f>
        <v>6320</v>
      </c>
      <c r="D29" s="663"/>
      <c r="E29" s="151"/>
      <c r="F29" s="151"/>
      <c r="G29" s="151"/>
      <c r="H29" s="151"/>
      <c r="I29" s="151"/>
      <c r="J29" s="151"/>
      <c r="K29" s="635"/>
      <c r="L29" s="645"/>
    </row>
    <row r="30" spans="1:16" x14ac:dyDescent="0.2">
      <c r="A30" s="142">
        <f t="shared" si="0"/>
        <v>26</v>
      </c>
      <c r="B30" s="644" t="str">
        <f>'F25-Sec'!B30</f>
        <v>Social Security Contribution</v>
      </c>
      <c r="C30" s="776" t="str">
        <f>'F25-Sec'!C30</f>
        <v>6321</v>
      </c>
      <c r="D30" s="663"/>
      <c r="E30" s="151"/>
      <c r="F30" s="151"/>
      <c r="G30" s="151"/>
      <c r="H30" s="151"/>
      <c r="I30" s="151"/>
      <c r="J30" s="151"/>
      <c r="K30" s="635"/>
      <c r="L30" s="645"/>
    </row>
    <row r="31" spans="1:16" x14ac:dyDescent="0.2">
      <c r="A31" s="142">
        <f t="shared" si="0"/>
        <v>27</v>
      </c>
      <c r="B31" s="644" t="str">
        <f>'F25-Sec'!B31</f>
        <v>Workers' Levy</v>
      </c>
      <c r="C31" s="776" t="str">
        <f>'F25-Sec'!C31</f>
        <v>6322</v>
      </c>
      <c r="D31" s="663"/>
      <c r="E31" s="151"/>
      <c r="F31" s="151"/>
      <c r="G31" s="151"/>
      <c r="H31" s="151"/>
      <c r="I31" s="151"/>
      <c r="J31" s="151"/>
      <c r="K31" s="635"/>
      <c r="L31" s="645"/>
    </row>
    <row r="32" spans="1:16" x14ac:dyDescent="0.2">
      <c r="A32" s="142">
        <f t="shared" si="0"/>
        <v>28</v>
      </c>
      <c r="B32" s="644" t="str">
        <f>'F25-Sec'!B32</f>
        <v>Expats' Expenses</v>
      </c>
      <c r="C32" s="776" t="str">
        <f>'F25-Sec'!C32</f>
        <v>6351 to 6399</v>
      </c>
      <c r="D32" s="663"/>
      <c r="E32" s="151"/>
      <c r="F32" s="151"/>
      <c r="G32" s="151"/>
      <c r="H32" s="151"/>
      <c r="I32" s="151"/>
      <c r="J32" s="151"/>
      <c r="K32" s="635"/>
      <c r="L32" s="645"/>
    </row>
    <row r="33" spans="1:12" x14ac:dyDescent="0.2">
      <c r="A33" s="142">
        <f t="shared" si="0"/>
        <v>29</v>
      </c>
      <c r="B33" s="644" t="str">
        <f>'F25-Sec'!B33</f>
        <v>Other Indirect Labor Costs</v>
      </c>
      <c r="C33" s="776" t="str">
        <f>'F25-Sec'!C33</f>
        <v>6315, 6323 to 6349</v>
      </c>
      <c r="D33" s="663"/>
      <c r="E33" s="151"/>
      <c r="F33" s="151"/>
      <c r="G33" s="151"/>
      <c r="H33" s="151"/>
      <c r="I33" s="151"/>
      <c r="J33" s="151"/>
      <c r="K33" s="635"/>
      <c r="L33" s="645"/>
    </row>
    <row r="34" spans="1:12" x14ac:dyDescent="0.2">
      <c r="A34" s="142">
        <f t="shared" si="0"/>
        <v>30</v>
      </c>
      <c r="B34" s="644" t="str">
        <f>'F25-Sec'!B34</f>
        <v>QA Allocated Cost</v>
      </c>
      <c r="C34" s="776"/>
      <c r="D34" s="663"/>
      <c r="E34" s="151"/>
      <c r="F34" s="151"/>
      <c r="G34" s="151"/>
      <c r="H34" s="151"/>
      <c r="I34" s="151"/>
      <c r="J34" s="151"/>
      <c r="K34" s="635"/>
      <c r="L34" s="645"/>
    </row>
    <row r="35" spans="1:12" x14ac:dyDescent="0.2">
      <c r="A35" s="142">
        <f t="shared" si="0"/>
        <v>31</v>
      </c>
      <c r="B35" s="644" t="str">
        <f>'F25-Sec'!B35</f>
        <v>PM Allocated Cost</v>
      </c>
      <c r="C35" s="776"/>
      <c r="D35" s="663"/>
      <c r="E35" s="151"/>
      <c r="F35" s="151"/>
      <c r="G35" s="151"/>
      <c r="H35" s="151"/>
      <c r="I35" s="151"/>
      <c r="J35" s="151"/>
      <c r="K35" s="635"/>
      <c r="L35" s="645"/>
    </row>
    <row r="36" spans="1:12" x14ac:dyDescent="0.2">
      <c r="A36" s="250">
        <f t="shared" si="0"/>
        <v>32</v>
      </c>
      <c r="B36" s="178" t="str">
        <f>'F25-Sec'!B36</f>
        <v>Indirect Labor</v>
      </c>
      <c r="C36" s="774" t="str">
        <f>'F25-Sec'!C36</f>
        <v>=SUM(C24:C35)</v>
      </c>
      <c r="D36" s="664"/>
      <c r="E36" s="157"/>
      <c r="F36" s="157"/>
      <c r="G36" s="157"/>
      <c r="H36" s="157"/>
      <c r="I36" s="157"/>
      <c r="J36" s="157"/>
      <c r="K36" s="639"/>
      <c r="L36" s="668"/>
    </row>
    <row r="37" spans="1:12" x14ac:dyDescent="0.2">
      <c r="A37" s="135">
        <f t="shared" si="0"/>
        <v>33</v>
      </c>
      <c r="B37" s="136" t="str">
        <f>'F25-Sec'!B37</f>
        <v>Utilities - Elec, Water, Gas</v>
      </c>
      <c r="C37" s="780" t="str">
        <f>'F25-Sec'!C37</f>
        <v>6401 to 6410</v>
      </c>
      <c r="D37" s="669"/>
      <c r="E37" s="168"/>
      <c r="F37" s="168"/>
      <c r="G37" s="168"/>
      <c r="H37" s="168"/>
      <c r="I37" s="168"/>
      <c r="J37" s="168"/>
      <c r="K37" s="670"/>
      <c r="L37" s="636"/>
    </row>
    <row r="38" spans="1:12" x14ac:dyDescent="0.2">
      <c r="A38" s="142">
        <f t="shared" si="0"/>
        <v>34</v>
      </c>
      <c r="B38" s="143" t="str">
        <f>'F25-Sec'!B38</f>
        <v xml:space="preserve">Product Development/Testing </v>
      </c>
      <c r="C38" s="773" t="str">
        <f>'F25-Sec'!C38</f>
        <v>6421 to 6430</v>
      </c>
      <c r="D38" s="663"/>
      <c r="E38" s="151"/>
      <c r="F38" s="151"/>
      <c r="G38" s="151"/>
      <c r="H38" s="151"/>
      <c r="I38" s="151"/>
      <c r="J38" s="151"/>
      <c r="K38" s="635"/>
      <c r="L38" s="637"/>
    </row>
    <row r="39" spans="1:12" x14ac:dyDescent="0.2">
      <c r="A39" s="142">
        <f t="shared" si="0"/>
        <v>35</v>
      </c>
      <c r="B39" s="143" t="str">
        <f>'F25-Sec'!B39</f>
        <v>Carriage/Transport/Storage</v>
      </c>
      <c r="C39" s="773" t="str">
        <f>'F25-Sec'!C39</f>
        <v>6411 to 6420</v>
      </c>
      <c r="D39" s="663"/>
      <c r="E39" s="151"/>
      <c r="F39" s="151"/>
      <c r="G39" s="151"/>
      <c r="H39" s="151"/>
      <c r="I39" s="151"/>
      <c r="J39" s="151"/>
      <c r="K39" s="635"/>
      <c r="L39" s="637"/>
    </row>
    <row r="40" spans="1:12" x14ac:dyDescent="0.2">
      <c r="A40" s="142">
        <f t="shared" si="0"/>
        <v>36</v>
      </c>
      <c r="B40" s="160" t="str">
        <f>'F25-Sec'!B40</f>
        <v>Manufacturing Loss/Wastage</v>
      </c>
      <c r="C40" s="772" t="str">
        <f>'F25-Sec'!C40</f>
        <v>6431, 6432</v>
      </c>
      <c r="D40" s="663"/>
      <c r="E40" s="151"/>
      <c r="F40" s="151"/>
      <c r="G40" s="151"/>
      <c r="H40" s="151"/>
      <c r="I40" s="151"/>
      <c r="J40" s="151"/>
      <c r="K40" s="635"/>
      <c r="L40" s="641"/>
    </row>
    <row r="41" spans="1:12" x14ac:dyDescent="0.2">
      <c r="A41" s="142">
        <f t="shared" si="0"/>
        <v>37</v>
      </c>
      <c r="B41" s="143" t="str">
        <f>'F25-Sec'!B41</f>
        <v>Rejects/Reworks/Scrap</v>
      </c>
      <c r="C41" s="773" t="str">
        <f>'F25-Sec'!C41</f>
        <v>6433 to 6435</v>
      </c>
      <c r="D41" s="663"/>
      <c r="E41" s="151"/>
      <c r="F41" s="151"/>
      <c r="G41" s="151"/>
      <c r="H41" s="151"/>
      <c r="I41" s="151"/>
      <c r="J41" s="151"/>
      <c r="K41" s="635"/>
      <c r="L41" s="637"/>
    </row>
    <row r="42" spans="1:12" x14ac:dyDescent="0.2">
      <c r="A42" s="142">
        <f t="shared" si="0"/>
        <v>38</v>
      </c>
      <c r="B42" s="143" t="str">
        <f>'F25-Sec'!B42</f>
        <v>Disposal of Sludge/Others</v>
      </c>
      <c r="C42" s="773" t="str">
        <f>'F25-Sec'!C42</f>
        <v>6436 to 6499</v>
      </c>
      <c r="D42" s="663"/>
      <c r="E42" s="151"/>
      <c r="F42" s="151"/>
      <c r="G42" s="151"/>
      <c r="H42" s="151"/>
      <c r="I42" s="151"/>
      <c r="J42" s="151"/>
      <c r="K42" s="635"/>
      <c r="L42" s="637"/>
    </row>
    <row r="43" spans="1:12" x14ac:dyDescent="0.2">
      <c r="A43" s="142">
        <f t="shared" si="0"/>
        <v>39</v>
      </c>
      <c r="B43" s="143" t="str">
        <f>'F25-Sec'!B43</f>
        <v>QA Allocated Cost</v>
      </c>
      <c r="C43" s="773"/>
      <c r="D43" s="663"/>
      <c r="E43" s="151"/>
      <c r="F43" s="151"/>
      <c r="G43" s="151"/>
      <c r="H43" s="151"/>
      <c r="I43" s="151"/>
      <c r="J43" s="151"/>
      <c r="K43" s="635"/>
      <c r="L43" s="637"/>
    </row>
    <row r="44" spans="1:12" x14ac:dyDescent="0.2">
      <c r="A44" s="142">
        <f t="shared" si="0"/>
        <v>40</v>
      </c>
      <c r="B44" s="143" t="str">
        <f>'F25-Sec'!B44</f>
        <v>PM Allocated Cost</v>
      </c>
      <c r="C44" s="773"/>
      <c r="D44" s="663"/>
      <c r="E44" s="151"/>
      <c r="F44" s="151"/>
      <c r="G44" s="151"/>
      <c r="H44" s="151"/>
      <c r="I44" s="151"/>
      <c r="J44" s="151"/>
      <c r="K44" s="635"/>
      <c r="L44" s="637"/>
    </row>
    <row r="45" spans="1:12" x14ac:dyDescent="0.2">
      <c r="A45" s="250">
        <f t="shared" si="0"/>
        <v>41</v>
      </c>
      <c r="B45" s="178" t="str">
        <f>'F25-Sec'!B45</f>
        <v xml:space="preserve">Other Variable Overhead </v>
      </c>
      <c r="C45" s="774" t="s">
        <v>1790</v>
      </c>
      <c r="D45" s="664"/>
      <c r="E45" s="157"/>
      <c r="F45" s="157"/>
      <c r="G45" s="157"/>
      <c r="H45" s="157"/>
      <c r="I45" s="157"/>
      <c r="J45" s="157"/>
      <c r="K45" s="639"/>
      <c r="L45" s="668"/>
    </row>
    <row r="46" spans="1:12" ht="12" thickBot="1" x14ac:dyDescent="0.25">
      <c r="A46" s="390">
        <f t="shared" si="0"/>
        <v>42</v>
      </c>
      <c r="B46" s="172" t="str">
        <f>'F25-Sec'!B46</f>
        <v xml:space="preserve">Total Variable Overhead </v>
      </c>
      <c r="C46" s="778" t="str">
        <f>'F25-Sec'!C46</f>
        <v>=C23+C36+c45</v>
      </c>
      <c r="D46" s="671"/>
      <c r="E46" s="175"/>
      <c r="F46" s="175"/>
      <c r="G46" s="175"/>
      <c r="H46" s="175"/>
      <c r="I46" s="175"/>
      <c r="J46" s="175"/>
      <c r="K46" s="666"/>
      <c r="L46" s="782"/>
    </row>
    <row r="47" spans="1:12" ht="12" thickTop="1" x14ac:dyDescent="0.2">
      <c r="A47" s="135">
        <f t="shared" si="0"/>
        <v>43</v>
      </c>
      <c r="B47" s="180" t="str">
        <f>'F25-Sec'!B47</f>
        <v>Factory Rental/Upkeep</v>
      </c>
      <c r="C47" s="780" t="str">
        <f>'F25-Sec'!C47</f>
        <v>6501 to 6502, 6506</v>
      </c>
      <c r="D47" s="669"/>
      <c r="E47" s="168"/>
      <c r="F47" s="168"/>
      <c r="G47" s="168"/>
      <c r="H47" s="168"/>
      <c r="I47" s="168"/>
      <c r="J47" s="168"/>
      <c r="K47" s="670"/>
      <c r="L47" s="652"/>
    </row>
    <row r="48" spans="1:12" x14ac:dyDescent="0.2">
      <c r="A48" s="142">
        <f t="shared" si="0"/>
        <v>44</v>
      </c>
      <c r="B48" s="185" t="str">
        <f>'F25-Sec'!B48</f>
        <v>Property Tax for Factory</v>
      </c>
      <c r="C48" s="772" t="str">
        <f>'F25-Sec'!C48</f>
        <v>6503</v>
      </c>
      <c r="D48" s="663"/>
      <c r="E48" s="151"/>
      <c r="F48" s="151"/>
      <c r="G48" s="151"/>
      <c r="H48" s="151"/>
      <c r="I48" s="151"/>
      <c r="J48" s="151"/>
      <c r="K48" s="635"/>
      <c r="L48" s="653"/>
    </row>
    <row r="49" spans="1:12" x14ac:dyDescent="0.2">
      <c r="A49" s="142">
        <f t="shared" si="0"/>
        <v>45</v>
      </c>
      <c r="B49" s="185" t="str">
        <f>'F25-Sec'!B49</f>
        <v>Repair &amp; Maintainance/Upkeep</v>
      </c>
      <c r="C49" s="772" t="str">
        <f>'F25-Sec'!C49</f>
        <v>6601 to 6620</v>
      </c>
      <c r="D49" s="663"/>
      <c r="E49" s="151"/>
      <c r="F49" s="151"/>
      <c r="G49" s="151"/>
      <c r="H49" s="151"/>
      <c r="I49" s="151"/>
      <c r="J49" s="151"/>
      <c r="K49" s="635"/>
      <c r="L49" s="653"/>
    </row>
    <row r="50" spans="1:12" x14ac:dyDescent="0.2">
      <c r="A50" s="142">
        <f t="shared" si="0"/>
        <v>46</v>
      </c>
      <c r="B50" s="185" t="str">
        <f>'F25-Sec'!B50</f>
        <v>Leasing of Mac&amp;Equip/Vehicles/Cyl</v>
      </c>
      <c r="C50" s="772" t="str">
        <f>'F25-Sec'!C50</f>
        <v>6621 to 6623</v>
      </c>
      <c r="D50" s="663"/>
      <c r="E50" s="151"/>
      <c r="F50" s="151"/>
      <c r="G50" s="151"/>
      <c r="H50" s="151"/>
      <c r="I50" s="151"/>
      <c r="J50" s="151"/>
      <c r="K50" s="635"/>
      <c r="L50" s="653"/>
    </row>
    <row r="51" spans="1:12" x14ac:dyDescent="0.2">
      <c r="A51" s="142">
        <f t="shared" si="0"/>
        <v>47</v>
      </c>
      <c r="B51" s="185" t="str">
        <f>'F25-Sec'!B51</f>
        <v>Depreciation</v>
      </c>
      <c r="C51" s="772" t="str">
        <f>'F25-Sec'!C51</f>
        <v>6701 to 6749</v>
      </c>
      <c r="D51" s="663"/>
      <c r="E51" s="151"/>
      <c r="F51" s="151"/>
      <c r="G51" s="151"/>
      <c r="H51" s="151"/>
      <c r="I51" s="151"/>
      <c r="J51" s="151"/>
      <c r="K51" s="635"/>
      <c r="L51" s="653"/>
    </row>
    <row r="52" spans="1:12" x14ac:dyDescent="0.2">
      <c r="A52" s="142">
        <f t="shared" si="0"/>
        <v>48</v>
      </c>
      <c r="B52" s="185" t="str">
        <f>'F25-Sec'!B52</f>
        <v>Licenses &amp; Insurance</v>
      </c>
      <c r="C52" s="772" t="str">
        <f>'F25-Sec'!C52</f>
        <v>6504, 6751 to 6759</v>
      </c>
      <c r="D52" s="663"/>
      <c r="E52" s="151"/>
      <c r="F52" s="151"/>
      <c r="G52" s="151"/>
      <c r="H52" s="151"/>
      <c r="I52" s="151"/>
      <c r="J52" s="151"/>
      <c r="K52" s="635"/>
      <c r="L52" s="653"/>
    </row>
    <row r="53" spans="1:12" x14ac:dyDescent="0.2">
      <c r="A53" s="142">
        <f t="shared" si="0"/>
        <v>49</v>
      </c>
      <c r="B53" s="185" t="str">
        <f>'F25-Sec'!B53</f>
        <v>Non Capitalised Purchases</v>
      </c>
      <c r="C53" s="772" t="str">
        <f>'F25-Sec'!C53</f>
        <v>6761 to 6769</v>
      </c>
      <c r="D53" s="663"/>
      <c r="E53" s="151"/>
      <c r="F53" s="151"/>
      <c r="G53" s="151"/>
      <c r="H53" s="151"/>
      <c r="I53" s="151"/>
      <c r="J53" s="151"/>
      <c r="K53" s="635"/>
      <c r="L53" s="653"/>
    </row>
    <row r="54" spans="1:12" x14ac:dyDescent="0.2">
      <c r="A54" s="142">
        <f t="shared" si="0"/>
        <v>50</v>
      </c>
      <c r="B54" s="185" t="str">
        <f>'F25-Sec'!B54</f>
        <v>Others Fixed Overhead</v>
      </c>
      <c r="C54" s="772" t="str">
        <f>'F25-Sec'!C54</f>
        <v>6505, 6771 to 6799</v>
      </c>
      <c r="D54" s="663"/>
      <c r="E54" s="151"/>
      <c r="F54" s="151"/>
      <c r="G54" s="151"/>
      <c r="H54" s="151"/>
      <c r="I54" s="151"/>
      <c r="J54" s="151"/>
      <c r="K54" s="635"/>
      <c r="L54" s="653"/>
    </row>
    <row r="55" spans="1:12" x14ac:dyDescent="0.2">
      <c r="A55" s="142">
        <f t="shared" si="0"/>
        <v>51</v>
      </c>
      <c r="B55" s="185" t="str">
        <f>'F25-Sec'!B55</f>
        <v>QA Allocated Cost</v>
      </c>
      <c r="C55" s="772"/>
      <c r="D55" s="663"/>
      <c r="E55" s="151"/>
      <c r="F55" s="151"/>
      <c r="G55" s="151"/>
      <c r="H55" s="151"/>
      <c r="I55" s="151"/>
      <c r="J55" s="151"/>
      <c r="K55" s="635"/>
      <c r="L55" s="653"/>
    </row>
    <row r="56" spans="1:12" x14ac:dyDescent="0.2">
      <c r="A56" s="142">
        <f t="shared" si="0"/>
        <v>52</v>
      </c>
      <c r="B56" s="185" t="str">
        <f>'F25-Sec'!B56</f>
        <v>PM Allocated Cost</v>
      </c>
      <c r="C56" s="772"/>
      <c r="D56" s="663"/>
      <c r="E56" s="151"/>
      <c r="F56" s="151"/>
      <c r="G56" s="151"/>
      <c r="H56" s="151"/>
      <c r="I56" s="151"/>
      <c r="J56" s="151"/>
      <c r="K56" s="635"/>
      <c r="L56" s="653"/>
    </row>
    <row r="57" spans="1:12" x14ac:dyDescent="0.2">
      <c r="A57" s="250">
        <f t="shared" si="0"/>
        <v>53</v>
      </c>
      <c r="B57" s="178" t="str">
        <f>'F25-Sec'!B57</f>
        <v>Fixed Overhead</v>
      </c>
      <c r="C57" s="774" t="str">
        <f>'F25-Sec'!C57</f>
        <v>=SUM(C47:C56)</v>
      </c>
      <c r="D57" s="664"/>
      <c r="E57" s="157"/>
      <c r="F57" s="157"/>
      <c r="G57" s="157"/>
      <c r="H57" s="157"/>
      <c r="I57" s="157"/>
      <c r="J57" s="157"/>
      <c r="K57" s="639"/>
      <c r="L57" s="665"/>
    </row>
    <row r="58" spans="1:12" ht="12" thickBot="1" x14ac:dyDescent="0.25">
      <c r="A58" s="392">
        <f t="shared" si="0"/>
        <v>54</v>
      </c>
      <c r="B58" s="172" t="str">
        <f>'F25-Sec'!B58</f>
        <v>Cost of Goods Manufactured</v>
      </c>
      <c r="C58" s="778" t="str">
        <f>'F25-Sec'!C58</f>
        <v>=C22+C46+C57</v>
      </c>
      <c r="D58" s="671"/>
      <c r="E58" s="175"/>
      <c r="F58" s="175"/>
      <c r="G58" s="175"/>
      <c r="H58" s="175"/>
      <c r="I58" s="175"/>
      <c r="J58" s="175"/>
      <c r="K58" s="666"/>
      <c r="L58" s="672"/>
    </row>
    <row r="59" spans="1:12" ht="12" thickTop="1" x14ac:dyDescent="0.2"/>
  </sheetData>
  <mergeCells count="7">
    <mergeCell ref="A4:B4"/>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6"/>
  <sheetViews>
    <sheetView view="pageBreakPreview" zoomScale="130" zoomScaleNormal="120" zoomScaleSheetLayoutView="130" workbookViewId="0">
      <pane xSplit="2" ySplit="3" topLeftCell="C4" activePane="bottomRight" state="frozen"/>
      <selection activeCell="T247" sqref="T247"/>
      <selection pane="topRight" activeCell="T247" sqref="T247"/>
      <selection pane="bottomLeft" activeCell="T247" sqref="T247"/>
      <selection pane="bottomRight" activeCell="C13" sqref="C13"/>
    </sheetView>
  </sheetViews>
  <sheetFormatPr defaultColWidth="9.140625" defaultRowHeight="11.25" x14ac:dyDescent="0.2"/>
  <cols>
    <col min="1" max="1" width="3" style="133" customWidth="1"/>
    <col min="2" max="2" width="25.85546875" style="133" bestFit="1" customWidth="1"/>
    <col min="3" max="3" width="35.5703125" style="375" customWidth="1"/>
    <col min="4" max="4" width="6.28515625" style="658" customWidth="1"/>
    <col min="5" max="6" width="6.28515625" style="659" customWidth="1"/>
    <col min="7" max="7" width="6.28515625" style="659" bestFit="1" customWidth="1"/>
    <col min="8" max="8" width="6.28515625" style="660" bestFit="1" customWidth="1"/>
    <col min="9" max="9" width="6.28515625" style="659" customWidth="1"/>
    <col min="10" max="11" width="6.28515625" style="659" bestFit="1" customWidth="1"/>
    <col min="12" max="12" width="7.5703125" style="202" customWidth="1"/>
    <col min="13" max="16384" width="9.140625" style="133"/>
  </cols>
  <sheetData>
    <row r="1" spans="1:12" x14ac:dyDescent="0.2">
      <c r="A1" s="908" t="s">
        <v>66</v>
      </c>
      <c r="B1" s="909"/>
      <c r="C1" s="362"/>
      <c r="D1" s="910" t="str">
        <f>'F25-Div'!D1:H1</f>
        <v>AS OF: 11-Oct-2017</v>
      </c>
      <c r="E1" s="911"/>
      <c r="F1" s="911"/>
      <c r="G1" s="911"/>
      <c r="H1" s="912"/>
      <c r="I1" s="913" t="str">
        <f>'F25-Div'!I1:L1</f>
        <v>FOR THE MONTH OF:   Sep -17</v>
      </c>
      <c r="J1" s="914"/>
      <c r="K1" s="914"/>
      <c r="L1" s="915"/>
    </row>
    <row r="2" spans="1:12" x14ac:dyDescent="0.2">
      <c r="A2" s="803" t="s">
        <v>1794</v>
      </c>
      <c r="B2" s="804"/>
      <c r="C2" s="363"/>
      <c r="D2" s="625" t="s">
        <v>1795</v>
      </c>
      <c r="E2" s="687"/>
      <c r="F2" s="805"/>
      <c r="G2" s="805"/>
      <c r="H2" s="806"/>
      <c r="I2" s="661" t="s">
        <v>1796</v>
      </c>
      <c r="J2" s="807"/>
      <c r="K2" s="807"/>
      <c r="L2" s="808"/>
    </row>
    <row r="3" spans="1:12" x14ac:dyDescent="0.2">
      <c r="A3" s="916" t="s">
        <v>1812</v>
      </c>
      <c r="B3" s="917"/>
      <c r="C3" s="363"/>
      <c r="D3" s="918" t="s">
        <v>62</v>
      </c>
      <c r="E3" s="900"/>
      <c r="F3" s="900"/>
      <c r="G3" s="900"/>
      <c r="H3" s="900"/>
      <c r="I3" s="902" t="s">
        <v>61</v>
      </c>
      <c r="J3" s="902"/>
      <c r="K3" s="902"/>
      <c r="L3" s="903"/>
    </row>
    <row r="4" spans="1:12" x14ac:dyDescent="0.2">
      <c r="A4" s="906" t="s">
        <v>1813</v>
      </c>
      <c r="B4" s="907"/>
      <c r="C4" s="363"/>
      <c r="D4" s="631" t="s">
        <v>1797</v>
      </c>
      <c r="E4" s="632" t="s">
        <v>1798</v>
      </c>
      <c r="F4" s="632" t="s">
        <v>1799</v>
      </c>
      <c r="G4" s="632" t="s">
        <v>1800</v>
      </c>
      <c r="H4" s="632" t="s">
        <v>1801</v>
      </c>
      <c r="I4" s="632"/>
      <c r="J4" s="632"/>
      <c r="K4" s="633"/>
      <c r="L4" s="631" t="s">
        <v>14</v>
      </c>
    </row>
    <row r="5" spans="1:12" x14ac:dyDescent="0.2">
      <c r="A5" s="135">
        <v>1</v>
      </c>
      <c r="B5" s="136" t="s">
        <v>1802</v>
      </c>
      <c r="C5" s="365"/>
      <c r="D5" s="634"/>
      <c r="E5" s="151"/>
      <c r="F5" s="150"/>
      <c r="G5" s="151"/>
      <c r="H5" s="150"/>
      <c r="I5" s="151"/>
      <c r="J5" s="150"/>
      <c r="K5" s="635"/>
      <c r="L5" s="636"/>
    </row>
    <row r="6" spans="1:12" x14ac:dyDescent="0.2">
      <c r="A6" s="142">
        <f>A5+1</f>
        <v>2</v>
      </c>
      <c r="B6" s="143" t="s">
        <v>1803</v>
      </c>
      <c r="C6" s="366"/>
      <c r="D6" s="634"/>
      <c r="E6" s="151"/>
      <c r="F6" s="150"/>
      <c r="G6" s="151"/>
      <c r="H6" s="150"/>
      <c r="I6" s="151"/>
      <c r="J6" s="150"/>
      <c r="K6" s="635"/>
      <c r="L6" s="637"/>
    </row>
    <row r="7" spans="1:12" x14ac:dyDescent="0.2">
      <c r="A7" s="250">
        <f t="shared" ref="A7:A20" si="0">A6+1</f>
        <v>3</v>
      </c>
      <c r="B7" s="161" t="s">
        <v>1804</v>
      </c>
      <c r="C7" s="368"/>
      <c r="D7" s="638"/>
      <c r="E7" s="156"/>
      <c r="F7" s="157"/>
      <c r="G7" s="158"/>
      <c r="H7" s="158"/>
      <c r="I7" s="158"/>
      <c r="J7" s="156"/>
      <c r="K7" s="639"/>
      <c r="L7" s="662"/>
    </row>
    <row r="8" spans="1:12" ht="10.5" customHeight="1" x14ac:dyDescent="0.2">
      <c r="A8" s="250"/>
      <c r="B8" s="810"/>
      <c r="C8" s="811"/>
      <c r="D8" s="812"/>
      <c r="E8" s="157"/>
      <c r="F8" s="156"/>
      <c r="G8" s="157"/>
      <c r="H8" s="156"/>
      <c r="I8" s="157"/>
      <c r="J8" s="156"/>
      <c r="K8" s="639"/>
      <c r="L8" s="813"/>
    </row>
    <row r="9" spans="1:12" x14ac:dyDescent="0.2">
      <c r="A9" s="391">
        <v>4</v>
      </c>
      <c r="B9" s="648" t="s">
        <v>1805</v>
      </c>
      <c r="C9" s="814"/>
      <c r="D9" s="815"/>
      <c r="E9" s="816"/>
      <c r="F9" s="817"/>
      <c r="G9" s="816"/>
      <c r="H9" s="817"/>
      <c r="I9" s="816"/>
      <c r="J9" s="817"/>
      <c r="K9" s="650"/>
      <c r="L9" s="818"/>
    </row>
    <row r="10" spans="1:12" x14ac:dyDescent="0.2">
      <c r="A10" s="819"/>
      <c r="B10" s="820"/>
      <c r="C10" s="821"/>
      <c r="D10" s="822"/>
      <c r="E10" s="822"/>
      <c r="F10" s="822"/>
      <c r="G10" s="822"/>
      <c r="H10" s="822"/>
      <c r="I10" s="822"/>
      <c r="J10" s="822"/>
      <c r="K10" s="822"/>
      <c r="L10" s="820"/>
    </row>
    <row r="11" spans="1:12" x14ac:dyDescent="0.2">
      <c r="A11" s="919" t="s">
        <v>1806</v>
      </c>
      <c r="B11" s="920" t="s">
        <v>58</v>
      </c>
      <c r="C11" s="920"/>
      <c r="D11" s="920"/>
      <c r="E11" s="920"/>
      <c r="F11" s="920"/>
      <c r="G11" s="920"/>
      <c r="H11" s="920"/>
      <c r="I11" s="920"/>
      <c r="J11" s="920"/>
      <c r="K11" s="920"/>
      <c r="L11" s="921"/>
    </row>
    <row r="12" spans="1:12" x14ac:dyDescent="0.2">
      <c r="A12" s="823"/>
      <c r="B12" s="824"/>
      <c r="C12" s="825"/>
      <c r="D12" s="673" t="s">
        <v>1797</v>
      </c>
      <c r="E12" s="674" t="s">
        <v>1798</v>
      </c>
      <c r="F12" s="674" t="s">
        <v>1799</v>
      </c>
      <c r="G12" s="674" t="s">
        <v>1800</v>
      </c>
      <c r="H12" s="674" t="s">
        <v>1801</v>
      </c>
      <c r="I12" s="674"/>
      <c r="J12" s="674"/>
      <c r="K12" s="675"/>
      <c r="L12" s="673" t="s">
        <v>14</v>
      </c>
    </row>
    <row r="13" spans="1:12" s="171" customFormat="1" x14ac:dyDescent="0.2">
      <c r="A13" s="135">
        <v>1</v>
      </c>
      <c r="B13" s="160" t="s">
        <v>1807</v>
      </c>
      <c r="C13" s="826"/>
      <c r="D13" s="418"/>
      <c r="E13" s="146"/>
      <c r="F13" s="147"/>
      <c r="G13" s="146"/>
      <c r="H13" s="147"/>
      <c r="I13" s="146"/>
      <c r="J13" s="147"/>
      <c r="K13" s="827"/>
      <c r="L13" s="828"/>
    </row>
    <row r="14" spans="1:12" s="171" customFormat="1" x14ac:dyDescent="0.2">
      <c r="A14" s="655">
        <f t="shared" si="0"/>
        <v>2</v>
      </c>
      <c r="B14" s="279" t="s">
        <v>123</v>
      </c>
      <c r="C14" s="829"/>
      <c r="D14" s="830"/>
      <c r="E14" s="677"/>
      <c r="F14" s="656"/>
      <c r="G14" s="677"/>
      <c r="H14" s="656"/>
      <c r="I14" s="677"/>
      <c r="J14" s="656"/>
      <c r="K14" s="678"/>
      <c r="L14" s="831"/>
    </row>
    <row r="15" spans="1:12" s="171" customFormat="1" ht="12" thickBot="1" x14ac:dyDescent="0.25">
      <c r="A15" s="392">
        <f t="shared" si="0"/>
        <v>3</v>
      </c>
      <c r="B15" s="172" t="s">
        <v>124</v>
      </c>
      <c r="C15" s="372"/>
      <c r="D15" s="422"/>
      <c r="E15" s="175"/>
      <c r="F15" s="176"/>
      <c r="G15" s="175"/>
      <c r="H15" s="176"/>
      <c r="I15" s="175"/>
      <c r="J15" s="176"/>
      <c r="K15" s="666"/>
      <c r="L15" s="647"/>
    </row>
    <row r="16" spans="1:12" ht="12" thickTop="1" x14ac:dyDescent="0.2">
      <c r="A16" s="142">
        <f>A15+1</f>
        <v>4</v>
      </c>
      <c r="B16" s="185" t="s">
        <v>130</v>
      </c>
      <c r="C16" s="826"/>
      <c r="D16" s="832"/>
      <c r="E16" s="146"/>
      <c r="F16" s="146"/>
      <c r="G16" s="146"/>
      <c r="H16" s="146"/>
      <c r="I16" s="146"/>
      <c r="J16" s="146"/>
      <c r="K16" s="827"/>
      <c r="L16" s="833"/>
    </row>
    <row r="17" spans="1:12" x14ac:dyDescent="0.2">
      <c r="A17" s="655">
        <f>A16+1</f>
        <v>5</v>
      </c>
      <c r="B17" s="279" t="s">
        <v>1814</v>
      </c>
      <c r="C17" s="829"/>
      <c r="D17" s="676"/>
      <c r="E17" s="677"/>
      <c r="F17" s="677"/>
      <c r="G17" s="677"/>
      <c r="H17" s="677"/>
      <c r="I17" s="677"/>
      <c r="J17" s="677"/>
      <c r="K17" s="678"/>
      <c r="L17" s="834"/>
    </row>
    <row r="18" spans="1:12" x14ac:dyDescent="0.2">
      <c r="A18" s="250">
        <f t="shared" si="0"/>
        <v>6</v>
      </c>
      <c r="B18" s="161" t="s">
        <v>1775</v>
      </c>
      <c r="C18" s="368"/>
      <c r="D18" s="664"/>
      <c r="E18" s="157"/>
      <c r="F18" s="157"/>
      <c r="G18" s="157"/>
      <c r="H18" s="157"/>
      <c r="I18" s="157"/>
      <c r="J18" s="157"/>
      <c r="K18" s="639"/>
      <c r="L18" s="835"/>
    </row>
    <row r="19" spans="1:12" x14ac:dyDescent="0.2">
      <c r="A19" s="250">
        <f>A18+1</f>
        <v>7</v>
      </c>
      <c r="B19" s="178" t="s">
        <v>142</v>
      </c>
      <c r="C19" s="368"/>
      <c r="D19" s="664"/>
      <c r="E19" s="157"/>
      <c r="F19" s="157"/>
      <c r="G19" s="157"/>
      <c r="H19" s="157"/>
      <c r="I19" s="157"/>
      <c r="J19" s="157"/>
      <c r="K19" s="639"/>
      <c r="L19" s="665"/>
    </row>
    <row r="20" spans="1:12" ht="12" thickBot="1" x14ac:dyDescent="0.25">
      <c r="A20" s="392">
        <f t="shared" si="0"/>
        <v>8</v>
      </c>
      <c r="B20" s="172" t="s">
        <v>143</v>
      </c>
      <c r="C20" s="372"/>
      <c r="D20" s="671"/>
      <c r="E20" s="175"/>
      <c r="F20" s="175"/>
      <c r="G20" s="175"/>
      <c r="H20" s="175"/>
      <c r="I20" s="175"/>
      <c r="J20" s="175"/>
      <c r="K20" s="666"/>
      <c r="L20" s="672"/>
    </row>
    <row r="21" spans="1:12" ht="12" thickTop="1" x14ac:dyDescent="0.2">
      <c r="A21" s="264"/>
      <c r="B21" s="204" t="s">
        <v>1808</v>
      </c>
      <c r="C21" s="825"/>
      <c r="D21" s="836"/>
      <c r="E21" s="837"/>
      <c r="F21" s="837"/>
      <c r="G21" s="837"/>
      <c r="H21" s="837"/>
      <c r="I21" s="837"/>
      <c r="J21" s="837"/>
      <c r="K21" s="838"/>
      <c r="L21" s="673"/>
    </row>
    <row r="22" spans="1:12" x14ac:dyDescent="0.2">
      <c r="A22" s="142">
        <v>1</v>
      </c>
      <c r="B22" s="198" t="s">
        <v>1413</v>
      </c>
      <c r="C22" s="374" t="s">
        <v>1216</v>
      </c>
      <c r="D22" s="669"/>
      <c r="E22" s="168"/>
      <c r="F22" s="168"/>
      <c r="G22" s="168"/>
      <c r="H22" s="168"/>
      <c r="I22" s="168"/>
      <c r="J22" s="168"/>
      <c r="K22" s="670"/>
      <c r="L22" s="654"/>
    </row>
    <row r="23" spans="1:12" x14ac:dyDescent="0.2">
      <c r="A23" s="142">
        <f t="shared" ref="A23:A28" si="1">A22+1</f>
        <v>2</v>
      </c>
      <c r="B23" s="198" t="s">
        <v>1412</v>
      </c>
      <c r="C23" s="374" t="s">
        <v>1210</v>
      </c>
      <c r="D23" s="663"/>
      <c r="E23" s="151"/>
      <c r="F23" s="151"/>
      <c r="G23" s="151"/>
      <c r="H23" s="151"/>
      <c r="I23" s="151"/>
      <c r="J23" s="151"/>
      <c r="K23" s="635"/>
      <c r="L23" s="654"/>
    </row>
    <row r="24" spans="1:12" x14ac:dyDescent="0.2">
      <c r="A24" s="142">
        <f>A23+1</f>
        <v>3</v>
      </c>
      <c r="B24" s="198" t="s">
        <v>1415</v>
      </c>
      <c r="C24" s="374" t="s">
        <v>1211</v>
      </c>
      <c r="D24" s="663"/>
      <c r="E24" s="151"/>
      <c r="F24" s="151"/>
      <c r="G24" s="151"/>
      <c r="H24" s="151"/>
      <c r="I24" s="151"/>
      <c r="J24" s="151"/>
      <c r="K24" s="635"/>
      <c r="L24" s="654"/>
    </row>
    <row r="25" spans="1:12" x14ac:dyDescent="0.2">
      <c r="A25" s="142">
        <f t="shared" si="1"/>
        <v>4</v>
      </c>
      <c r="B25" s="198" t="s">
        <v>1416</v>
      </c>
      <c r="C25" s="374" t="s">
        <v>1212</v>
      </c>
      <c r="D25" s="663"/>
      <c r="E25" s="151"/>
      <c r="F25" s="151"/>
      <c r="G25" s="151"/>
      <c r="H25" s="151"/>
      <c r="I25" s="151"/>
      <c r="J25" s="151"/>
      <c r="K25" s="635"/>
      <c r="L25" s="654"/>
    </row>
    <row r="26" spans="1:12" x14ac:dyDescent="0.2">
      <c r="A26" s="142">
        <f t="shared" si="1"/>
        <v>5</v>
      </c>
      <c r="B26" s="198" t="s">
        <v>1417</v>
      </c>
      <c r="C26" s="374" t="s">
        <v>1213</v>
      </c>
      <c r="D26" s="663"/>
      <c r="E26" s="151"/>
      <c r="F26" s="151"/>
      <c r="G26" s="151"/>
      <c r="H26" s="151"/>
      <c r="I26" s="151"/>
      <c r="J26" s="151"/>
      <c r="K26" s="635"/>
      <c r="L26" s="654"/>
    </row>
    <row r="27" spans="1:12" x14ac:dyDescent="0.2">
      <c r="A27" s="142">
        <f t="shared" si="1"/>
        <v>6</v>
      </c>
      <c r="B27" s="198" t="s">
        <v>1418</v>
      </c>
      <c r="C27" s="374" t="s">
        <v>1214</v>
      </c>
      <c r="D27" s="663"/>
      <c r="E27" s="151"/>
      <c r="F27" s="151"/>
      <c r="G27" s="151"/>
      <c r="H27" s="151"/>
      <c r="I27" s="151"/>
      <c r="J27" s="151"/>
      <c r="K27" s="635"/>
      <c r="L27" s="654"/>
    </row>
    <row r="28" spans="1:12" x14ac:dyDescent="0.2">
      <c r="A28" s="655">
        <f t="shared" si="1"/>
        <v>7</v>
      </c>
      <c r="B28" s="199" t="s">
        <v>1419</v>
      </c>
      <c r="C28" s="839" t="s">
        <v>1215</v>
      </c>
      <c r="D28" s="676"/>
      <c r="E28" s="677"/>
      <c r="F28" s="677"/>
      <c r="G28" s="677"/>
      <c r="H28" s="677"/>
      <c r="I28" s="677"/>
      <c r="J28" s="677"/>
      <c r="K28" s="678"/>
      <c r="L28" s="657"/>
    </row>
    <row r="29" spans="1:12" x14ac:dyDescent="0.2">
      <c r="A29" s="819"/>
      <c r="B29" s="820"/>
      <c r="C29" s="821"/>
      <c r="D29" s="822"/>
      <c r="E29" s="822"/>
      <c r="F29" s="822"/>
      <c r="G29" s="822"/>
      <c r="H29" s="822"/>
      <c r="I29" s="822"/>
      <c r="J29" s="822"/>
      <c r="K29" s="822"/>
      <c r="L29" s="820"/>
    </row>
    <row r="30" spans="1:12" x14ac:dyDescent="0.2">
      <c r="A30" s="919" t="s">
        <v>1809</v>
      </c>
      <c r="B30" s="920" t="s">
        <v>58</v>
      </c>
      <c r="C30" s="920"/>
      <c r="D30" s="920"/>
      <c r="E30" s="920"/>
      <c r="F30" s="920"/>
      <c r="G30" s="920"/>
      <c r="H30" s="920"/>
      <c r="I30" s="920"/>
      <c r="J30" s="920"/>
      <c r="K30" s="920"/>
      <c r="L30" s="921"/>
    </row>
    <row r="31" spans="1:12" x14ac:dyDescent="0.2">
      <c r="A31" s="823"/>
      <c r="B31" s="824"/>
      <c r="C31" s="825"/>
      <c r="D31" s="673" t="s">
        <v>1797</v>
      </c>
      <c r="E31" s="674" t="s">
        <v>1798</v>
      </c>
      <c r="F31" s="674" t="s">
        <v>1799</v>
      </c>
      <c r="G31" s="674" t="s">
        <v>1800</v>
      </c>
      <c r="H31" s="674" t="s">
        <v>1801</v>
      </c>
      <c r="I31" s="674"/>
      <c r="J31" s="674"/>
      <c r="K31" s="675"/>
      <c r="L31" s="673" t="s">
        <v>14</v>
      </c>
    </row>
    <row r="32" spans="1:12" s="171" customFormat="1" x14ac:dyDescent="0.2">
      <c r="A32" s="142">
        <v>1</v>
      </c>
      <c r="B32" s="160" t="s">
        <v>1807</v>
      </c>
      <c r="C32" s="826"/>
      <c r="D32" s="418"/>
      <c r="E32" s="146"/>
      <c r="F32" s="147"/>
      <c r="G32" s="146"/>
      <c r="H32" s="147"/>
      <c r="I32" s="146"/>
      <c r="J32" s="147"/>
      <c r="K32" s="827"/>
      <c r="L32" s="828"/>
    </row>
    <row r="33" spans="1:12" s="171" customFormat="1" x14ac:dyDescent="0.2">
      <c r="A33" s="655">
        <f t="shared" ref="A33:A39" si="2">A32+1</f>
        <v>2</v>
      </c>
      <c r="B33" s="279" t="s">
        <v>123</v>
      </c>
      <c r="C33" s="829"/>
      <c r="D33" s="830"/>
      <c r="E33" s="677"/>
      <c r="F33" s="656"/>
      <c r="G33" s="677"/>
      <c r="H33" s="656"/>
      <c r="I33" s="677"/>
      <c r="J33" s="656"/>
      <c r="K33" s="678"/>
      <c r="L33" s="831"/>
    </row>
    <row r="34" spans="1:12" s="171" customFormat="1" ht="12" thickBot="1" x14ac:dyDescent="0.25">
      <c r="A34" s="392">
        <f t="shared" si="2"/>
        <v>3</v>
      </c>
      <c r="B34" s="172" t="s">
        <v>124</v>
      </c>
      <c r="C34" s="372"/>
      <c r="D34" s="422"/>
      <c r="E34" s="175"/>
      <c r="F34" s="176"/>
      <c r="G34" s="175"/>
      <c r="H34" s="176"/>
      <c r="I34" s="175"/>
      <c r="J34" s="176"/>
      <c r="K34" s="666"/>
      <c r="L34" s="647"/>
    </row>
    <row r="35" spans="1:12" ht="12" thickTop="1" x14ac:dyDescent="0.2">
      <c r="A35" s="142">
        <f>A34+1</f>
        <v>4</v>
      </c>
      <c r="B35" s="185" t="s">
        <v>130</v>
      </c>
      <c r="C35" s="826"/>
      <c r="D35" s="832"/>
      <c r="E35" s="146"/>
      <c r="F35" s="146"/>
      <c r="G35" s="146"/>
      <c r="H35" s="146"/>
      <c r="I35" s="146"/>
      <c r="J35" s="146"/>
      <c r="K35" s="827"/>
      <c r="L35" s="833"/>
    </row>
    <row r="36" spans="1:12" x14ac:dyDescent="0.2">
      <c r="A36" s="655">
        <f>A35+1</f>
        <v>5</v>
      </c>
      <c r="B36" s="279" t="s">
        <v>1814</v>
      </c>
      <c r="C36" s="829"/>
      <c r="D36" s="676"/>
      <c r="E36" s="677"/>
      <c r="F36" s="677"/>
      <c r="G36" s="677"/>
      <c r="H36" s="677"/>
      <c r="I36" s="677"/>
      <c r="J36" s="677"/>
      <c r="K36" s="678"/>
      <c r="L36" s="834"/>
    </row>
    <row r="37" spans="1:12" x14ac:dyDescent="0.2">
      <c r="A37" s="250">
        <f t="shared" si="2"/>
        <v>6</v>
      </c>
      <c r="B37" s="161" t="s">
        <v>1775</v>
      </c>
      <c r="C37" s="368"/>
      <c r="D37" s="664"/>
      <c r="E37" s="157"/>
      <c r="F37" s="157"/>
      <c r="G37" s="157"/>
      <c r="H37" s="157"/>
      <c r="I37" s="157"/>
      <c r="J37" s="157"/>
      <c r="K37" s="639"/>
      <c r="L37" s="835"/>
    </row>
    <row r="38" spans="1:12" x14ac:dyDescent="0.2">
      <c r="A38" s="250">
        <f>A37+1</f>
        <v>7</v>
      </c>
      <c r="B38" s="178" t="s">
        <v>142</v>
      </c>
      <c r="C38" s="368"/>
      <c r="D38" s="664"/>
      <c r="E38" s="157"/>
      <c r="F38" s="157"/>
      <c r="G38" s="157"/>
      <c r="H38" s="157"/>
      <c r="I38" s="157"/>
      <c r="J38" s="157"/>
      <c r="K38" s="639"/>
      <c r="L38" s="665"/>
    </row>
    <row r="39" spans="1:12" ht="12" thickBot="1" x14ac:dyDescent="0.25">
      <c r="A39" s="392">
        <f t="shared" si="2"/>
        <v>8</v>
      </c>
      <c r="B39" s="172" t="s">
        <v>143</v>
      </c>
      <c r="C39" s="372"/>
      <c r="D39" s="671"/>
      <c r="E39" s="175"/>
      <c r="F39" s="175"/>
      <c r="G39" s="175"/>
      <c r="H39" s="175"/>
      <c r="I39" s="175"/>
      <c r="J39" s="175"/>
      <c r="K39" s="666"/>
      <c r="L39" s="672"/>
    </row>
    <row r="40" spans="1:12" ht="12" thickTop="1" x14ac:dyDescent="0.2">
      <c r="A40" s="264"/>
      <c r="B40" s="204" t="s">
        <v>1808</v>
      </c>
      <c r="C40" s="825"/>
      <c r="D40" s="836"/>
      <c r="E40" s="837"/>
      <c r="F40" s="837"/>
      <c r="G40" s="837"/>
      <c r="H40" s="837"/>
      <c r="I40" s="837"/>
      <c r="J40" s="837"/>
      <c r="K40" s="838"/>
      <c r="L40" s="673"/>
    </row>
    <row r="41" spans="1:12" x14ac:dyDescent="0.2">
      <c r="A41" s="142">
        <v>1</v>
      </c>
      <c r="B41" s="198" t="s">
        <v>1413</v>
      </c>
      <c r="C41" s="374" t="str">
        <f>C22</f>
        <v>Direct Expenses/Actual Production Volume</v>
      </c>
      <c r="D41" s="669"/>
      <c r="E41" s="168"/>
      <c r="F41" s="168"/>
      <c r="G41" s="168"/>
      <c r="H41" s="168"/>
      <c r="I41" s="168"/>
      <c r="J41" s="168"/>
      <c r="K41" s="670"/>
      <c r="L41" s="654"/>
    </row>
    <row r="42" spans="1:12" x14ac:dyDescent="0.2">
      <c r="A42" s="142">
        <f t="shared" ref="A42:A47" si="3">A41+1</f>
        <v>2</v>
      </c>
      <c r="B42" s="198" t="s">
        <v>1412</v>
      </c>
      <c r="C42" s="374" t="str">
        <f t="shared" ref="C42:C47" si="4">C23</f>
        <v>Direct Labour/Actual Production Volume</v>
      </c>
      <c r="D42" s="663"/>
      <c r="E42" s="151"/>
      <c r="F42" s="151"/>
      <c r="G42" s="151"/>
      <c r="H42" s="151"/>
      <c r="I42" s="151"/>
      <c r="J42" s="151"/>
      <c r="K42" s="635"/>
      <c r="L42" s="654"/>
    </row>
    <row r="43" spans="1:12" x14ac:dyDescent="0.2">
      <c r="A43" s="142">
        <f>A42+1</f>
        <v>3</v>
      </c>
      <c r="B43" s="198" t="s">
        <v>1415</v>
      </c>
      <c r="C43" s="374" t="str">
        <f t="shared" si="4"/>
        <v>Indirect Labour/Actual Production Volume</v>
      </c>
      <c r="D43" s="663"/>
      <c r="E43" s="151"/>
      <c r="F43" s="151"/>
      <c r="G43" s="151"/>
      <c r="H43" s="151"/>
      <c r="I43" s="151"/>
      <c r="J43" s="151"/>
      <c r="K43" s="635"/>
      <c r="L43" s="654"/>
    </row>
    <row r="44" spans="1:12" x14ac:dyDescent="0.2">
      <c r="A44" s="142">
        <f t="shared" si="3"/>
        <v>4</v>
      </c>
      <c r="B44" s="198" t="s">
        <v>1416</v>
      </c>
      <c r="C44" s="374" t="str">
        <f t="shared" si="4"/>
        <v>Variable Overhead/Actual Production Volume</v>
      </c>
      <c r="D44" s="663"/>
      <c r="E44" s="151"/>
      <c r="F44" s="151"/>
      <c r="G44" s="151"/>
      <c r="H44" s="151"/>
      <c r="I44" s="151"/>
      <c r="J44" s="151"/>
      <c r="K44" s="635"/>
      <c r="L44" s="654"/>
    </row>
    <row r="45" spans="1:12" x14ac:dyDescent="0.2">
      <c r="A45" s="142">
        <f t="shared" si="3"/>
        <v>5</v>
      </c>
      <c r="B45" s="198" t="s">
        <v>1417</v>
      </c>
      <c r="C45" s="374" t="str">
        <f t="shared" si="4"/>
        <v>Total Variable/Actual Production Volume</v>
      </c>
      <c r="D45" s="663"/>
      <c r="E45" s="151"/>
      <c r="F45" s="151"/>
      <c r="G45" s="151"/>
      <c r="H45" s="151"/>
      <c r="I45" s="151"/>
      <c r="J45" s="151"/>
      <c r="K45" s="635"/>
      <c r="L45" s="654"/>
    </row>
    <row r="46" spans="1:12" x14ac:dyDescent="0.2">
      <c r="A46" s="142">
        <f t="shared" si="3"/>
        <v>6</v>
      </c>
      <c r="B46" s="198" t="s">
        <v>1418</v>
      </c>
      <c r="C46" s="374" t="str">
        <f t="shared" si="4"/>
        <v>Fixed Overhead/Actual Production Volume</v>
      </c>
      <c r="D46" s="663"/>
      <c r="E46" s="151"/>
      <c r="F46" s="151"/>
      <c r="G46" s="151"/>
      <c r="H46" s="151"/>
      <c r="I46" s="151"/>
      <c r="J46" s="151"/>
      <c r="K46" s="635"/>
      <c r="L46" s="654"/>
    </row>
    <row r="47" spans="1:12" x14ac:dyDescent="0.2">
      <c r="A47" s="655">
        <f t="shared" si="3"/>
        <v>7</v>
      </c>
      <c r="B47" s="199" t="s">
        <v>1419</v>
      </c>
      <c r="C47" s="839" t="str">
        <f t="shared" si="4"/>
        <v>Manufacturing Costs/Actual Production Volume</v>
      </c>
      <c r="D47" s="676"/>
      <c r="E47" s="677"/>
      <c r="F47" s="677"/>
      <c r="G47" s="677"/>
      <c r="H47" s="677"/>
      <c r="I47" s="677"/>
      <c r="J47" s="677"/>
      <c r="K47" s="678"/>
      <c r="L47" s="657"/>
    </row>
    <row r="48" spans="1:12" x14ac:dyDescent="0.2">
      <c r="A48" s="819"/>
      <c r="B48" s="820"/>
      <c r="C48" s="821"/>
      <c r="D48" s="822"/>
      <c r="E48" s="822"/>
      <c r="F48" s="822"/>
      <c r="G48" s="822"/>
      <c r="H48" s="822"/>
      <c r="I48" s="822"/>
      <c r="J48" s="822"/>
      <c r="K48" s="822"/>
      <c r="L48" s="820"/>
    </row>
    <row r="49" spans="1:12" x14ac:dyDescent="0.2">
      <c r="A49" s="919" t="s">
        <v>1810</v>
      </c>
      <c r="B49" s="920" t="s">
        <v>1811</v>
      </c>
      <c r="C49" s="920"/>
      <c r="D49" s="920"/>
      <c r="E49" s="920"/>
      <c r="F49" s="920"/>
      <c r="G49" s="920"/>
      <c r="H49" s="920"/>
      <c r="I49" s="920"/>
      <c r="J49" s="920"/>
      <c r="K49" s="920"/>
      <c r="L49" s="921"/>
    </row>
    <row r="50" spans="1:12" x14ac:dyDescent="0.2">
      <c r="A50" s="823"/>
      <c r="B50" s="824"/>
      <c r="C50" s="825"/>
      <c r="D50" s="673" t="s">
        <v>1797</v>
      </c>
      <c r="E50" s="674" t="s">
        <v>1798</v>
      </c>
      <c r="F50" s="674" t="s">
        <v>1799</v>
      </c>
      <c r="G50" s="674" t="s">
        <v>1800</v>
      </c>
      <c r="H50" s="674" t="s">
        <v>1801</v>
      </c>
      <c r="I50" s="674"/>
      <c r="J50" s="674"/>
      <c r="K50" s="675"/>
      <c r="L50" s="673" t="s">
        <v>14</v>
      </c>
    </row>
    <row r="51" spans="1:12" s="171" customFormat="1" x14ac:dyDescent="0.2">
      <c r="A51" s="142">
        <v>1</v>
      </c>
      <c r="B51" s="160" t="s">
        <v>1807</v>
      </c>
      <c r="C51" s="826"/>
      <c r="D51" s="418"/>
      <c r="E51" s="146"/>
      <c r="F51" s="147"/>
      <c r="G51" s="146"/>
      <c r="H51" s="147"/>
      <c r="I51" s="146"/>
      <c r="J51" s="147"/>
      <c r="K51" s="827"/>
      <c r="L51" s="828"/>
    </row>
    <row r="52" spans="1:12" s="171" customFormat="1" x14ac:dyDescent="0.2">
      <c r="A52" s="655">
        <f t="shared" ref="A52:A58" si="5">A51+1</f>
        <v>2</v>
      </c>
      <c r="B52" s="279" t="s">
        <v>123</v>
      </c>
      <c r="C52" s="829"/>
      <c r="D52" s="830"/>
      <c r="E52" s="677"/>
      <c r="F52" s="656"/>
      <c r="G52" s="677"/>
      <c r="H52" s="656"/>
      <c r="I52" s="677"/>
      <c r="J52" s="656"/>
      <c r="K52" s="678"/>
      <c r="L52" s="831"/>
    </row>
    <row r="53" spans="1:12" s="171" customFormat="1" ht="12" thickBot="1" x14ac:dyDescent="0.25">
      <c r="A53" s="392">
        <f t="shared" si="5"/>
        <v>3</v>
      </c>
      <c r="B53" s="172" t="s">
        <v>124</v>
      </c>
      <c r="C53" s="372"/>
      <c r="D53" s="422"/>
      <c r="E53" s="175"/>
      <c r="F53" s="176"/>
      <c r="G53" s="175"/>
      <c r="H53" s="176"/>
      <c r="I53" s="175"/>
      <c r="J53" s="176"/>
      <c r="K53" s="666"/>
      <c r="L53" s="647"/>
    </row>
    <row r="54" spans="1:12" ht="12" thickTop="1" x14ac:dyDescent="0.2">
      <c r="A54" s="142">
        <f>A53+1</f>
        <v>4</v>
      </c>
      <c r="B54" s="185" t="s">
        <v>130</v>
      </c>
      <c r="C54" s="826"/>
      <c r="D54" s="832"/>
      <c r="E54" s="146"/>
      <c r="F54" s="146"/>
      <c r="G54" s="146"/>
      <c r="H54" s="146"/>
      <c r="I54" s="146"/>
      <c r="J54" s="146"/>
      <c r="K54" s="827"/>
      <c r="L54" s="833"/>
    </row>
    <row r="55" spans="1:12" x14ac:dyDescent="0.2">
      <c r="A55" s="655">
        <f>A54+1</f>
        <v>5</v>
      </c>
      <c r="B55" s="279" t="s">
        <v>1814</v>
      </c>
      <c r="C55" s="829"/>
      <c r="D55" s="676"/>
      <c r="E55" s="677"/>
      <c r="F55" s="677"/>
      <c r="G55" s="677"/>
      <c r="H55" s="677"/>
      <c r="I55" s="677"/>
      <c r="J55" s="677"/>
      <c r="K55" s="678"/>
      <c r="L55" s="834"/>
    </row>
    <row r="56" spans="1:12" x14ac:dyDescent="0.2">
      <c r="A56" s="250">
        <f t="shared" si="5"/>
        <v>6</v>
      </c>
      <c r="B56" s="161" t="s">
        <v>1775</v>
      </c>
      <c r="C56" s="368"/>
      <c r="D56" s="664"/>
      <c r="E56" s="157"/>
      <c r="F56" s="157"/>
      <c r="G56" s="157"/>
      <c r="H56" s="157"/>
      <c r="I56" s="157"/>
      <c r="J56" s="157"/>
      <c r="K56" s="639"/>
      <c r="L56" s="835"/>
    </row>
    <row r="57" spans="1:12" x14ac:dyDescent="0.2">
      <c r="A57" s="250">
        <f>A56+1</f>
        <v>7</v>
      </c>
      <c r="B57" s="178" t="s">
        <v>142</v>
      </c>
      <c r="C57" s="368"/>
      <c r="D57" s="664"/>
      <c r="E57" s="157"/>
      <c r="F57" s="157"/>
      <c r="G57" s="157"/>
      <c r="H57" s="157"/>
      <c r="I57" s="157"/>
      <c r="J57" s="157"/>
      <c r="K57" s="639"/>
      <c r="L57" s="665"/>
    </row>
    <row r="58" spans="1:12" ht="12" thickBot="1" x14ac:dyDescent="0.25">
      <c r="A58" s="392">
        <f t="shared" si="5"/>
        <v>8</v>
      </c>
      <c r="B58" s="172" t="s">
        <v>143</v>
      </c>
      <c r="C58" s="372"/>
      <c r="D58" s="671"/>
      <c r="E58" s="175"/>
      <c r="F58" s="175"/>
      <c r="G58" s="175"/>
      <c r="H58" s="175"/>
      <c r="I58" s="175"/>
      <c r="J58" s="175"/>
      <c r="K58" s="666"/>
      <c r="L58" s="672"/>
    </row>
    <row r="59" spans="1:12" ht="12" thickTop="1" x14ac:dyDescent="0.2">
      <c r="A59" s="264"/>
      <c r="B59" s="204" t="s">
        <v>1808</v>
      </c>
      <c r="C59" s="825"/>
      <c r="D59" s="836"/>
      <c r="E59" s="837"/>
      <c r="F59" s="837"/>
      <c r="G59" s="837"/>
      <c r="H59" s="837"/>
      <c r="I59" s="837"/>
      <c r="J59" s="837"/>
      <c r="K59" s="838"/>
      <c r="L59" s="673"/>
    </row>
    <row r="60" spans="1:12" x14ac:dyDescent="0.2">
      <c r="A60" s="142">
        <v>1</v>
      </c>
      <c r="B60" s="198" t="s">
        <v>1413</v>
      </c>
      <c r="C60" s="374" t="str">
        <f>C41</f>
        <v>Direct Expenses/Actual Production Volume</v>
      </c>
      <c r="D60" s="669"/>
      <c r="E60" s="168"/>
      <c r="F60" s="168"/>
      <c r="G60" s="168"/>
      <c r="H60" s="168"/>
      <c r="I60" s="168"/>
      <c r="J60" s="168"/>
      <c r="K60" s="670"/>
      <c r="L60" s="654"/>
    </row>
    <row r="61" spans="1:12" x14ac:dyDescent="0.2">
      <c r="A61" s="142">
        <f t="shared" ref="A61:A66" si="6">A60+1</f>
        <v>2</v>
      </c>
      <c r="B61" s="198" t="s">
        <v>1412</v>
      </c>
      <c r="C61" s="374" t="str">
        <f t="shared" ref="C61:C66" si="7">C42</f>
        <v>Direct Labour/Actual Production Volume</v>
      </c>
      <c r="D61" s="663"/>
      <c r="E61" s="151"/>
      <c r="F61" s="151"/>
      <c r="G61" s="151"/>
      <c r="H61" s="151"/>
      <c r="I61" s="151"/>
      <c r="J61" s="151"/>
      <c r="K61" s="635"/>
      <c r="L61" s="654"/>
    </row>
    <row r="62" spans="1:12" x14ac:dyDescent="0.2">
      <c r="A62" s="142">
        <f>A61+1</f>
        <v>3</v>
      </c>
      <c r="B62" s="198" t="s">
        <v>1415</v>
      </c>
      <c r="C62" s="374" t="str">
        <f t="shared" si="7"/>
        <v>Indirect Labour/Actual Production Volume</v>
      </c>
      <c r="D62" s="663"/>
      <c r="E62" s="151"/>
      <c r="F62" s="151"/>
      <c r="G62" s="151"/>
      <c r="H62" s="151"/>
      <c r="I62" s="151"/>
      <c r="J62" s="151"/>
      <c r="K62" s="635"/>
      <c r="L62" s="654"/>
    </row>
    <row r="63" spans="1:12" x14ac:dyDescent="0.2">
      <c r="A63" s="142">
        <f t="shared" si="6"/>
        <v>4</v>
      </c>
      <c r="B63" s="198" t="s">
        <v>1416</v>
      </c>
      <c r="C63" s="374" t="str">
        <f t="shared" si="7"/>
        <v>Variable Overhead/Actual Production Volume</v>
      </c>
      <c r="D63" s="663"/>
      <c r="E63" s="151"/>
      <c r="F63" s="151"/>
      <c r="G63" s="151"/>
      <c r="H63" s="151"/>
      <c r="I63" s="151"/>
      <c r="J63" s="151"/>
      <c r="K63" s="635"/>
      <c r="L63" s="654"/>
    </row>
    <row r="64" spans="1:12" x14ac:dyDescent="0.2">
      <c r="A64" s="142">
        <f t="shared" si="6"/>
        <v>5</v>
      </c>
      <c r="B64" s="198" t="s">
        <v>1417</v>
      </c>
      <c r="C64" s="374" t="str">
        <f t="shared" si="7"/>
        <v>Total Variable/Actual Production Volume</v>
      </c>
      <c r="D64" s="663"/>
      <c r="E64" s="151"/>
      <c r="F64" s="151"/>
      <c r="G64" s="151"/>
      <c r="H64" s="151"/>
      <c r="I64" s="151"/>
      <c r="J64" s="151"/>
      <c r="K64" s="635"/>
      <c r="L64" s="654"/>
    </row>
    <row r="65" spans="1:12" x14ac:dyDescent="0.2">
      <c r="A65" s="142">
        <f t="shared" si="6"/>
        <v>6</v>
      </c>
      <c r="B65" s="198" t="s">
        <v>1418</v>
      </c>
      <c r="C65" s="374" t="str">
        <f t="shared" si="7"/>
        <v>Fixed Overhead/Actual Production Volume</v>
      </c>
      <c r="D65" s="663"/>
      <c r="E65" s="151"/>
      <c r="F65" s="151"/>
      <c r="G65" s="151"/>
      <c r="H65" s="151"/>
      <c r="I65" s="151"/>
      <c r="J65" s="151"/>
      <c r="K65" s="635"/>
      <c r="L65" s="654"/>
    </row>
    <row r="66" spans="1:12" x14ac:dyDescent="0.2">
      <c r="A66" s="655">
        <f t="shared" si="6"/>
        <v>7</v>
      </c>
      <c r="B66" s="199" t="s">
        <v>1419</v>
      </c>
      <c r="C66" s="839" t="str">
        <f t="shared" si="7"/>
        <v>Manufacturing Costs/Actual Production Volume</v>
      </c>
      <c r="D66" s="676"/>
      <c r="E66" s="677"/>
      <c r="F66" s="677"/>
      <c r="G66" s="677"/>
      <c r="H66" s="677"/>
      <c r="I66" s="677"/>
      <c r="J66" s="677"/>
      <c r="K66" s="678"/>
      <c r="L66" s="657"/>
    </row>
  </sheetData>
  <mergeCells count="10">
    <mergeCell ref="A4:B4"/>
    <mergeCell ref="A11:L11"/>
    <mergeCell ref="A30:L30"/>
    <mergeCell ref="A49:L49"/>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6"/>
  <sheetViews>
    <sheetView view="pageBreakPreview" zoomScale="130" zoomScaleNormal="120" zoomScaleSheetLayoutView="130" workbookViewId="0">
      <pane xSplit="2" ySplit="3" topLeftCell="C4" activePane="bottomRight" state="frozen"/>
      <selection activeCell="T247" sqref="T247"/>
      <selection pane="topRight" activeCell="T247" sqref="T247"/>
      <selection pane="bottomLeft" activeCell="T247" sqref="T247"/>
      <selection pane="bottomRight" activeCell="C13" sqref="C13"/>
    </sheetView>
  </sheetViews>
  <sheetFormatPr defaultColWidth="9.140625" defaultRowHeight="11.25" x14ac:dyDescent="0.2"/>
  <cols>
    <col min="1" max="1" width="3" style="133" customWidth="1"/>
    <col min="2" max="2" width="26.5703125" style="133" customWidth="1"/>
    <col min="3" max="3" width="35.5703125" style="375" customWidth="1"/>
    <col min="4" max="4" width="6.28515625" style="658" customWidth="1"/>
    <col min="5" max="6" width="6.28515625" style="659" customWidth="1"/>
    <col min="7" max="7" width="6.28515625" style="659" bestFit="1" customWidth="1"/>
    <col min="8" max="8" width="6.28515625" style="660" bestFit="1" customWidth="1"/>
    <col min="9" max="9" width="6.28515625" style="659" customWidth="1"/>
    <col min="10" max="11" width="6.28515625" style="659" bestFit="1" customWidth="1"/>
    <col min="12" max="12" width="7.5703125" style="202" customWidth="1"/>
    <col min="13" max="16384" width="9.140625" style="133"/>
  </cols>
  <sheetData>
    <row r="1" spans="1:12" x14ac:dyDescent="0.2">
      <c r="A1" s="908" t="s">
        <v>66</v>
      </c>
      <c r="B1" s="909"/>
      <c r="C1" s="362"/>
      <c r="D1" s="910" t="str">
        <f>'F25-Div'!D1:H1</f>
        <v>AS OF: 11-Oct-2017</v>
      </c>
      <c r="E1" s="911"/>
      <c r="F1" s="911"/>
      <c r="G1" s="911"/>
      <c r="H1" s="912"/>
      <c r="I1" s="913" t="str">
        <f>'F25-Div'!I1:L1</f>
        <v>FOR THE MONTH OF:   Sep -17</v>
      </c>
      <c r="J1" s="914"/>
      <c r="K1" s="914"/>
      <c r="L1" s="915"/>
    </row>
    <row r="2" spans="1:12" x14ac:dyDescent="0.2">
      <c r="A2" s="803" t="s">
        <v>1794</v>
      </c>
      <c r="B2" s="804"/>
      <c r="C2" s="363"/>
      <c r="D2" s="625" t="s">
        <v>1795</v>
      </c>
      <c r="E2" s="687"/>
      <c r="F2" s="805"/>
      <c r="G2" s="805"/>
      <c r="H2" s="806"/>
      <c r="I2" s="661" t="s">
        <v>1796</v>
      </c>
      <c r="J2" s="807"/>
      <c r="K2" s="807"/>
      <c r="L2" s="808"/>
    </row>
    <row r="3" spans="1:12" x14ac:dyDescent="0.2">
      <c r="A3" s="916" t="s">
        <v>1815</v>
      </c>
      <c r="B3" s="917"/>
      <c r="C3" s="363"/>
      <c r="D3" s="918" t="s">
        <v>62</v>
      </c>
      <c r="E3" s="900"/>
      <c r="F3" s="900"/>
      <c r="G3" s="900"/>
      <c r="H3" s="900"/>
      <c r="I3" s="902" t="s">
        <v>61</v>
      </c>
      <c r="J3" s="902"/>
      <c r="K3" s="902"/>
      <c r="L3" s="903"/>
    </row>
    <row r="4" spans="1:12" x14ac:dyDescent="0.2">
      <c r="A4" s="906" t="s">
        <v>1816</v>
      </c>
      <c r="B4" s="907"/>
      <c r="C4" s="363"/>
      <c r="D4" s="631" t="s">
        <v>1797</v>
      </c>
      <c r="E4" s="632" t="s">
        <v>1798</v>
      </c>
      <c r="F4" s="632" t="s">
        <v>1799</v>
      </c>
      <c r="G4" s="632" t="s">
        <v>1800</v>
      </c>
      <c r="H4" s="632" t="s">
        <v>1801</v>
      </c>
      <c r="I4" s="632"/>
      <c r="J4" s="632"/>
      <c r="K4" s="633"/>
      <c r="L4" s="631" t="s">
        <v>14</v>
      </c>
    </row>
    <row r="5" spans="1:12" x14ac:dyDescent="0.2">
      <c r="A5" s="135">
        <v>1</v>
      </c>
      <c r="B5" s="136" t="s">
        <v>1802</v>
      </c>
      <c r="C5" s="365"/>
      <c r="D5" s="634"/>
      <c r="E5" s="151"/>
      <c r="F5" s="150"/>
      <c r="G5" s="151"/>
      <c r="H5" s="150"/>
      <c r="I5" s="151"/>
      <c r="J5" s="150"/>
      <c r="K5" s="635"/>
      <c r="L5" s="636"/>
    </row>
    <row r="6" spans="1:12" x14ac:dyDescent="0.2">
      <c r="A6" s="142">
        <f>A5+1</f>
        <v>2</v>
      </c>
      <c r="B6" s="143" t="s">
        <v>1803</v>
      </c>
      <c r="C6" s="366"/>
      <c r="D6" s="634"/>
      <c r="E6" s="151"/>
      <c r="F6" s="150"/>
      <c r="G6" s="151"/>
      <c r="H6" s="150"/>
      <c r="I6" s="151"/>
      <c r="J6" s="150"/>
      <c r="K6" s="635"/>
      <c r="L6" s="637"/>
    </row>
    <row r="7" spans="1:12" x14ac:dyDescent="0.2">
      <c r="A7" s="250">
        <f t="shared" ref="A7:A20" si="0">A6+1</f>
        <v>3</v>
      </c>
      <c r="B7" s="161" t="s">
        <v>1804</v>
      </c>
      <c r="C7" s="368"/>
      <c r="D7" s="638"/>
      <c r="E7" s="156"/>
      <c r="F7" s="157"/>
      <c r="G7" s="158"/>
      <c r="H7" s="158"/>
      <c r="I7" s="158"/>
      <c r="J7" s="156"/>
      <c r="K7" s="639"/>
      <c r="L7" s="662"/>
    </row>
    <row r="8" spans="1:12" ht="10.5" customHeight="1" x14ac:dyDescent="0.2">
      <c r="A8" s="250"/>
      <c r="B8" s="810"/>
      <c r="C8" s="811"/>
      <c r="D8" s="812"/>
      <c r="E8" s="157"/>
      <c r="F8" s="156"/>
      <c r="G8" s="157"/>
      <c r="H8" s="156"/>
      <c r="I8" s="157"/>
      <c r="J8" s="156"/>
      <c r="K8" s="639"/>
      <c r="L8" s="813"/>
    </row>
    <row r="9" spans="1:12" x14ac:dyDescent="0.2">
      <c r="A9" s="391">
        <v>4</v>
      </c>
      <c r="B9" s="648" t="s">
        <v>1805</v>
      </c>
      <c r="C9" s="814"/>
      <c r="D9" s="815"/>
      <c r="E9" s="816"/>
      <c r="F9" s="817"/>
      <c r="G9" s="816"/>
      <c r="H9" s="817"/>
      <c r="I9" s="816"/>
      <c r="J9" s="817"/>
      <c r="K9" s="650"/>
      <c r="L9" s="818"/>
    </row>
    <row r="10" spans="1:12" x14ac:dyDescent="0.2">
      <c r="A10" s="819"/>
      <c r="B10" s="820"/>
      <c r="C10" s="821"/>
      <c r="D10" s="822"/>
      <c r="E10" s="822"/>
      <c r="F10" s="822"/>
      <c r="G10" s="822"/>
      <c r="H10" s="822"/>
      <c r="I10" s="822"/>
      <c r="J10" s="822"/>
      <c r="K10" s="822"/>
      <c r="L10" s="820"/>
    </row>
    <row r="11" spans="1:12" x14ac:dyDescent="0.2">
      <c r="A11" s="919" t="s">
        <v>1806</v>
      </c>
      <c r="B11" s="920" t="s">
        <v>58</v>
      </c>
      <c r="C11" s="920"/>
      <c r="D11" s="920"/>
      <c r="E11" s="920"/>
      <c r="F11" s="920"/>
      <c r="G11" s="920"/>
      <c r="H11" s="920"/>
      <c r="I11" s="920"/>
      <c r="J11" s="920"/>
      <c r="K11" s="920"/>
      <c r="L11" s="921"/>
    </row>
    <row r="12" spans="1:12" x14ac:dyDescent="0.2">
      <c r="A12" s="823"/>
      <c r="B12" s="824"/>
      <c r="C12" s="825"/>
      <c r="D12" s="673" t="s">
        <v>1797</v>
      </c>
      <c r="E12" s="674" t="s">
        <v>1798</v>
      </c>
      <c r="F12" s="674" t="s">
        <v>1799</v>
      </c>
      <c r="G12" s="674" t="s">
        <v>1800</v>
      </c>
      <c r="H12" s="674" t="s">
        <v>1801</v>
      </c>
      <c r="I12" s="674"/>
      <c r="J12" s="674"/>
      <c r="K12" s="675"/>
      <c r="L12" s="673" t="s">
        <v>14</v>
      </c>
    </row>
    <row r="13" spans="1:12" s="171" customFormat="1" x14ac:dyDescent="0.2">
      <c r="A13" s="135">
        <v>1</v>
      </c>
      <c r="B13" s="160" t="s">
        <v>1807</v>
      </c>
      <c r="C13" s="826"/>
      <c r="D13" s="418"/>
      <c r="E13" s="146"/>
      <c r="F13" s="147"/>
      <c r="G13" s="146"/>
      <c r="H13" s="147"/>
      <c r="I13" s="146"/>
      <c r="J13" s="147"/>
      <c r="K13" s="827"/>
      <c r="L13" s="828"/>
    </row>
    <row r="14" spans="1:12" s="171" customFormat="1" x14ac:dyDescent="0.2">
      <c r="A14" s="655">
        <f t="shared" si="0"/>
        <v>2</v>
      </c>
      <c r="B14" s="279" t="s">
        <v>123</v>
      </c>
      <c r="C14" s="829"/>
      <c r="D14" s="830"/>
      <c r="E14" s="677"/>
      <c r="F14" s="656"/>
      <c r="G14" s="677"/>
      <c r="H14" s="656"/>
      <c r="I14" s="677"/>
      <c r="J14" s="656"/>
      <c r="K14" s="678"/>
      <c r="L14" s="831"/>
    </row>
    <row r="15" spans="1:12" s="171" customFormat="1" ht="12" thickBot="1" x14ac:dyDescent="0.25">
      <c r="A15" s="392">
        <f t="shared" si="0"/>
        <v>3</v>
      </c>
      <c r="B15" s="172" t="s">
        <v>124</v>
      </c>
      <c r="C15" s="372"/>
      <c r="D15" s="422"/>
      <c r="E15" s="175"/>
      <c r="F15" s="176"/>
      <c r="G15" s="175"/>
      <c r="H15" s="176"/>
      <c r="I15" s="175"/>
      <c r="J15" s="176"/>
      <c r="K15" s="666"/>
      <c r="L15" s="647"/>
    </row>
    <row r="16" spans="1:12" ht="12" thickTop="1" x14ac:dyDescent="0.2">
      <c r="A16" s="142">
        <f>A15+1</f>
        <v>4</v>
      </c>
      <c r="B16" s="185" t="s">
        <v>130</v>
      </c>
      <c r="C16" s="826"/>
      <c r="D16" s="832"/>
      <c r="E16" s="146"/>
      <c r="F16" s="146"/>
      <c r="G16" s="146"/>
      <c r="H16" s="146"/>
      <c r="I16" s="146"/>
      <c r="J16" s="146"/>
      <c r="K16" s="827"/>
      <c r="L16" s="833"/>
    </row>
    <row r="17" spans="1:12" x14ac:dyDescent="0.2">
      <c r="A17" s="655">
        <f>A16+1</f>
        <v>5</v>
      </c>
      <c r="B17" s="279" t="s">
        <v>1814</v>
      </c>
      <c r="C17" s="829"/>
      <c r="D17" s="676"/>
      <c r="E17" s="677"/>
      <c r="F17" s="677"/>
      <c r="G17" s="677"/>
      <c r="H17" s="677"/>
      <c r="I17" s="677"/>
      <c r="J17" s="677"/>
      <c r="K17" s="678"/>
      <c r="L17" s="834"/>
    </row>
    <row r="18" spans="1:12" x14ac:dyDescent="0.2">
      <c r="A18" s="250">
        <f t="shared" si="0"/>
        <v>6</v>
      </c>
      <c r="B18" s="161" t="s">
        <v>1775</v>
      </c>
      <c r="C18" s="368"/>
      <c r="D18" s="664"/>
      <c r="E18" s="157"/>
      <c r="F18" s="157"/>
      <c r="G18" s="157"/>
      <c r="H18" s="157"/>
      <c r="I18" s="157"/>
      <c r="J18" s="157"/>
      <c r="K18" s="639"/>
      <c r="L18" s="835"/>
    </row>
    <row r="19" spans="1:12" x14ac:dyDescent="0.2">
      <c r="A19" s="250">
        <f>A18+1</f>
        <v>7</v>
      </c>
      <c r="B19" s="178" t="s">
        <v>142</v>
      </c>
      <c r="C19" s="368"/>
      <c r="D19" s="664"/>
      <c r="E19" s="157"/>
      <c r="F19" s="157"/>
      <c r="G19" s="157"/>
      <c r="H19" s="157"/>
      <c r="I19" s="157"/>
      <c r="J19" s="157"/>
      <c r="K19" s="639"/>
      <c r="L19" s="665"/>
    </row>
    <row r="20" spans="1:12" ht="12" thickBot="1" x14ac:dyDescent="0.25">
      <c r="A20" s="392">
        <f t="shared" si="0"/>
        <v>8</v>
      </c>
      <c r="B20" s="172" t="s">
        <v>143</v>
      </c>
      <c r="C20" s="372"/>
      <c r="D20" s="671"/>
      <c r="E20" s="175"/>
      <c r="F20" s="175"/>
      <c r="G20" s="175"/>
      <c r="H20" s="175"/>
      <c r="I20" s="175"/>
      <c r="J20" s="175"/>
      <c r="K20" s="666"/>
      <c r="L20" s="672"/>
    </row>
    <row r="21" spans="1:12" ht="12" thickTop="1" x14ac:dyDescent="0.2">
      <c r="A21" s="264"/>
      <c r="B21" s="204" t="s">
        <v>1808</v>
      </c>
      <c r="C21" s="825"/>
      <c r="D21" s="836"/>
      <c r="E21" s="837"/>
      <c r="F21" s="837"/>
      <c r="G21" s="837"/>
      <c r="H21" s="837"/>
      <c r="I21" s="837"/>
      <c r="J21" s="837"/>
      <c r="K21" s="838"/>
      <c r="L21" s="673"/>
    </row>
    <row r="22" spans="1:12" x14ac:dyDescent="0.2">
      <c r="A22" s="142">
        <v>1</v>
      </c>
      <c r="B22" s="198" t="s">
        <v>1413</v>
      </c>
      <c r="C22" s="374" t="str">
        <f>F26M!C22</f>
        <v>Direct Expenses/Actual Production Volume</v>
      </c>
      <c r="D22" s="669"/>
      <c r="E22" s="168"/>
      <c r="F22" s="168"/>
      <c r="G22" s="168"/>
      <c r="H22" s="168"/>
      <c r="I22" s="168"/>
      <c r="J22" s="168"/>
      <c r="K22" s="670"/>
      <c r="L22" s="654"/>
    </row>
    <row r="23" spans="1:12" x14ac:dyDescent="0.2">
      <c r="A23" s="142">
        <f t="shared" ref="A23:A28" si="1">A22+1</f>
        <v>2</v>
      </c>
      <c r="B23" s="198" t="s">
        <v>1412</v>
      </c>
      <c r="C23" s="374" t="str">
        <f>F26M!C23</f>
        <v>Direct Labour/Actual Production Volume</v>
      </c>
      <c r="D23" s="663"/>
      <c r="E23" s="151"/>
      <c r="F23" s="151"/>
      <c r="G23" s="151"/>
      <c r="H23" s="151"/>
      <c r="I23" s="151"/>
      <c r="J23" s="151"/>
      <c r="K23" s="635"/>
      <c r="L23" s="654"/>
    </row>
    <row r="24" spans="1:12" x14ac:dyDescent="0.2">
      <c r="A24" s="142">
        <f>A23+1</f>
        <v>3</v>
      </c>
      <c r="B24" s="198" t="s">
        <v>1415</v>
      </c>
      <c r="C24" s="374" t="str">
        <f>F26M!C24</f>
        <v>Indirect Labour/Actual Production Volume</v>
      </c>
      <c r="D24" s="663"/>
      <c r="E24" s="151"/>
      <c r="F24" s="151"/>
      <c r="G24" s="151"/>
      <c r="H24" s="151"/>
      <c r="I24" s="151"/>
      <c r="J24" s="151"/>
      <c r="K24" s="635"/>
      <c r="L24" s="654"/>
    </row>
    <row r="25" spans="1:12" x14ac:dyDescent="0.2">
      <c r="A25" s="142">
        <f t="shared" si="1"/>
        <v>4</v>
      </c>
      <c r="B25" s="198" t="s">
        <v>1416</v>
      </c>
      <c r="C25" s="374" t="str">
        <f>F26M!C25</f>
        <v>Variable Overhead/Actual Production Volume</v>
      </c>
      <c r="D25" s="663"/>
      <c r="E25" s="151"/>
      <c r="F25" s="151"/>
      <c r="G25" s="151"/>
      <c r="H25" s="151"/>
      <c r="I25" s="151"/>
      <c r="J25" s="151"/>
      <c r="K25" s="635"/>
      <c r="L25" s="654"/>
    </row>
    <row r="26" spans="1:12" x14ac:dyDescent="0.2">
      <c r="A26" s="142">
        <f t="shared" si="1"/>
        <v>5</v>
      </c>
      <c r="B26" s="198" t="s">
        <v>1417</v>
      </c>
      <c r="C26" s="374" t="str">
        <f>F26M!C26</f>
        <v>Total Variable/Actual Production Volume</v>
      </c>
      <c r="D26" s="663"/>
      <c r="E26" s="151"/>
      <c r="F26" s="151"/>
      <c r="G26" s="151"/>
      <c r="H26" s="151"/>
      <c r="I26" s="151"/>
      <c r="J26" s="151"/>
      <c r="K26" s="635"/>
      <c r="L26" s="654"/>
    </row>
    <row r="27" spans="1:12" x14ac:dyDescent="0.2">
      <c r="A27" s="142">
        <f t="shared" si="1"/>
        <v>6</v>
      </c>
      <c r="B27" s="198" t="s">
        <v>1418</v>
      </c>
      <c r="C27" s="374" t="str">
        <f>F26M!C27</f>
        <v>Fixed Overhead/Actual Production Volume</v>
      </c>
      <c r="D27" s="663"/>
      <c r="E27" s="151"/>
      <c r="F27" s="151"/>
      <c r="G27" s="151"/>
      <c r="H27" s="151"/>
      <c r="I27" s="151"/>
      <c r="J27" s="151"/>
      <c r="K27" s="635"/>
      <c r="L27" s="654"/>
    </row>
    <row r="28" spans="1:12" x14ac:dyDescent="0.2">
      <c r="A28" s="655">
        <f t="shared" si="1"/>
        <v>7</v>
      </c>
      <c r="B28" s="199" t="s">
        <v>1419</v>
      </c>
      <c r="C28" s="839" t="str">
        <f>F26M!C28</f>
        <v>Manufacturing Costs/Actual Production Volume</v>
      </c>
      <c r="D28" s="676"/>
      <c r="E28" s="677"/>
      <c r="F28" s="677"/>
      <c r="G28" s="677"/>
      <c r="H28" s="677"/>
      <c r="I28" s="677"/>
      <c r="J28" s="677"/>
      <c r="K28" s="678"/>
      <c r="L28" s="657"/>
    </row>
    <row r="29" spans="1:12" x14ac:dyDescent="0.2">
      <c r="A29" s="819"/>
      <c r="B29" s="820"/>
      <c r="C29" s="821"/>
      <c r="D29" s="822"/>
      <c r="E29" s="822"/>
      <c r="F29" s="822"/>
      <c r="G29" s="822"/>
      <c r="H29" s="822"/>
      <c r="I29" s="822"/>
      <c r="J29" s="822"/>
      <c r="K29" s="822"/>
      <c r="L29" s="820"/>
    </row>
    <row r="30" spans="1:12" x14ac:dyDescent="0.2">
      <c r="A30" s="919" t="s">
        <v>1809</v>
      </c>
      <c r="B30" s="920" t="s">
        <v>58</v>
      </c>
      <c r="C30" s="920"/>
      <c r="D30" s="920"/>
      <c r="E30" s="920"/>
      <c r="F30" s="920"/>
      <c r="G30" s="920"/>
      <c r="H30" s="920"/>
      <c r="I30" s="920"/>
      <c r="J30" s="920"/>
      <c r="K30" s="920"/>
      <c r="L30" s="921"/>
    </row>
    <row r="31" spans="1:12" x14ac:dyDescent="0.2">
      <c r="A31" s="823"/>
      <c r="B31" s="824"/>
      <c r="C31" s="825"/>
      <c r="D31" s="673" t="s">
        <v>1797</v>
      </c>
      <c r="E31" s="674" t="s">
        <v>1798</v>
      </c>
      <c r="F31" s="674" t="s">
        <v>1799</v>
      </c>
      <c r="G31" s="674" t="s">
        <v>1800</v>
      </c>
      <c r="H31" s="674" t="s">
        <v>1801</v>
      </c>
      <c r="I31" s="674"/>
      <c r="J31" s="674"/>
      <c r="K31" s="675"/>
      <c r="L31" s="673" t="s">
        <v>14</v>
      </c>
    </row>
    <row r="32" spans="1:12" s="171" customFormat="1" x14ac:dyDescent="0.2">
      <c r="A32" s="142">
        <v>1</v>
      </c>
      <c r="B32" s="160" t="s">
        <v>1807</v>
      </c>
      <c r="C32" s="826"/>
      <c r="D32" s="418"/>
      <c r="E32" s="146"/>
      <c r="F32" s="147"/>
      <c r="G32" s="146"/>
      <c r="H32" s="147"/>
      <c r="I32" s="146"/>
      <c r="J32" s="147"/>
      <c r="K32" s="827"/>
      <c r="L32" s="828"/>
    </row>
    <row r="33" spans="1:12" s="171" customFormat="1" x14ac:dyDescent="0.2">
      <c r="A33" s="655">
        <f t="shared" ref="A33:A39" si="2">A32+1</f>
        <v>2</v>
      </c>
      <c r="B33" s="279" t="s">
        <v>123</v>
      </c>
      <c r="C33" s="829"/>
      <c r="D33" s="830"/>
      <c r="E33" s="677"/>
      <c r="F33" s="656"/>
      <c r="G33" s="677"/>
      <c r="H33" s="656"/>
      <c r="I33" s="677"/>
      <c r="J33" s="656"/>
      <c r="K33" s="678"/>
      <c r="L33" s="831"/>
    </row>
    <row r="34" spans="1:12" s="171" customFormat="1" ht="12" thickBot="1" x14ac:dyDescent="0.25">
      <c r="A34" s="392">
        <f t="shared" si="2"/>
        <v>3</v>
      </c>
      <c r="B34" s="172" t="s">
        <v>124</v>
      </c>
      <c r="C34" s="372"/>
      <c r="D34" s="422"/>
      <c r="E34" s="175"/>
      <c r="F34" s="176"/>
      <c r="G34" s="175"/>
      <c r="H34" s="176"/>
      <c r="I34" s="175"/>
      <c r="J34" s="176"/>
      <c r="K34" s="666"/>
      <c r="L34" s="647"/>
    </row>
    <row r="35" spans="1:12" ht="12" thickTop="1" x14ac:dyDescent="0.2">
      <c r="A35" s="142">
        <f>A34+1</f>
        <v>4</v>
      </c>
      <c r="B35" s="185" t="s">
        <v>130</v>
      </c>
      <c r="C35" s="826"/>
      <c r="D35" s="832"/>
      <c r="E35" s="146"/>
      <c r="F35" s="146"/>
      <c r="G35" s="146"/>
      <c r="H35" s="146"/>
      <c r="I35" s="146"/>
      <c r="J35" s="146"/>
      <c r="K35" s="827"/>
      <c r="L35" s="833"/>
    </row>
    <row r="36" spans="1:12" x14ac:dyDescent="0.2">
      <c r="A36" s="655">
        <f>A35+1</f>
        <v>5</v>
      </c>
      <c r="B36" s="279" t="s">
        <v>1814</v>
      </c>
      <c r="C36" s="829"/>
      <c r="D36" s="676"/>
      <c r="E36" s="677"/>
      <c r="F36" s="677"/>
      <c r="G36" s="677"/>
      <c r="H36" s="677"/>
      <c r="I36" s="677"/>
      <c r="J36" s="677"/>
      <c r="K36" s="678"/>
      <c r="L36" s="834"/>
    </row>
    <row r="37" spans="1:12" x14ac:dyDescent="0.2">
      <c r="A37" s="250">
        <f t="shared" si="2"/>
        <v>6</v>
      </c>
      <c r="B37" s="161" t="s">
        <v>1775</v>
      </c>
      <c r="C37" s="368"/>
      <c r="D37" s="664"/>
      <c r="E37" s="157"/>
      <c r="F37" s="157"/>
      <c r="G37" s="157"/>
      <c r="H37" s="157"/>
      <c r="I37" s="157"/>
      <c r="J37" s="157"/>
      <c r="K37" s="639"/>
      <c r="L37" s="835"/>
    </row>
    <row r="38" spans="1:12" x14ac:dyDescent="0.2">
      <c r="A38" s="250">
        <f>A37+1</f>
        <v>7</v>
      </c>
      <c r="B38" s="178" t="s">
        <v>142</v>
      </c>
      <c r="C38" s="368"/>
      <c r="D38" s="664"/>
      <c r="E38" s="157"/>
      <c r="F38" s="157"/>
      <c r="G38" s="157"/>
      <c r="H38" s="157"/>
      <c r="I38" s="157"/>
      <c r="J38" s="157"/>
      <c r="K38" s="639"/>
      <c r="L38" s="665"/>
    </row>
    <row r="39" spans="1:12" ht="12" thickBot="1" x14ac:dyDescent="0.25">
      <c r="A39" s="392">
        <f t="shared" si="2"/>
        <v>8</v>
      </c>
      <c r="B39" s="172" t="s">
        <v>143</v>
      </c>
      <c r="C39" s="372"/>
      <c r="D39" s="671"/>
      <c r="E39" s="175"/>
      <c r="F39" s="175"/>
      <c r="G39" s="175"/>
      <c r="H39" s="175"/>
      <c r="I39" s="175"/>
      <c r="J39" s="175"/>
      <c r="K39" s="666"/>
      <c r="L39" s="672"/>
    </row>
    <row r="40" spans="1:12" ht="12" thickTop="1" x14ac:dyDescent="0.2">
      <c r="A40" s="264"/>
      <c r="B40" s="204" t="s">
        <v>1808</v>
      </c>
      <c r="C40" s="825"/>
      <c r="D40" s="836"/>
      <c r="E40" s="837"/>
      <c r="F40" s="837"/>
      <c r="G40" s="837"/>
      <c r="H40" s="837"/>
      <c r="I40" s="837"/>
      <c r="J40" s="837"/>
      <c r="K40" s="838"/>
      <c r="L40" s="673"/>
    </row>
    <row r="41" spans="1:12" x14ac:dyDescent="0.2">
      <c r="A41" s="142">
        <v>1</v>
      </c>
      <c r="B41" s="198" t="s">
        <v>1413</v>
      </c>
      <c r="C41" s="374" t="str">
        <f>F26M!C41</f>
        <v>Direct Expenses/Actual Production Volume</v>
      </c>
      <c r="D41" s="669"/>
      <c r="E41" s="168"/>
      <c r="F41" s="168"/>
      <c r="G41" s="168"/>
      <c r="H41" s="168"/>
      <c r="I41" s="168"/>
      <c r="J41" s="168"/>
      <c r="K41" s="670"/>
      <c r="L41" s="654"/>
    </row>
    <row r="42" spans="1:12" x14ac:dyDescent="0.2">
      <c r="A42" s="142">
        <f t="shared" ref="A42:A47" si="3">A41+1</f>
        <v>2</v>
      </c>
      <c r="B42" s="198" t="s">
        <v>1412</v>
      </c>
      <c r="C42" s="374" t="str">
        <f>F26M!C42</f>
        <v>Direct Labour/Actual Production Volume</v>
      </c>
      <c r="D42" s="663"/>
      <c r="E42" s="151"/>
      <c r="F42" s="151"/>
      <c r="G42" s="151"/>
      <c r="H42" s="151"/>
      <c r="I42" s="151"/>
      <c r="J42" s="151"/>
      <c r="K42" s="635"/>
      <c r="L42" s="654"/>
    </row>
    <row r="43" spans="1:12" x14ac:dyDescent="0.2">
      <c r="A43" s="142">
        <f>A42+1</f>
        <v>3</v>
      </c>
      <c r="B43" s="198" t="s">
        <v>1415</v>
      </c>
      <c r="C43" s="374" t="str">
        <f>F26M!C43</f>
        <v>Indirect Labour/Actual Production Volume</v>
      </c>
      <c r="D43" s="663"/>
      <c r="E43" s="151"/>
      <c r="F43" s="151"/>
      <c r="G43" s="151"/>
      <c r="H43" s="151"/>
      <c r="I43" s="151"/>
      <c r="J43" s="151"/>
      <c r="K43" s="635"/>
      <c r="L43" s="654"/>
    </row>
    <row r="44" spans="1:12" x14ac:dyDescent="0.2">
      <c r="A44" s="142">
        <f t="shared" si="3"/>
        <v>4</v>
      </c>
      <c r="B44" s="198" t="s">
        <v>1416</v>
      </c>
      <c r="C44" s="374" t="str">
        <f>F26M!C44</f>
        <v>Variable Overhead/Actual Production Volume</v>
      </c>
      <c r="D44" s="663"/>
      <c r="E44" s="151"/>
      <c r="F44" s="151"/>
      <c r="G44" s="151"/>
      <c r="H44" s="151"/>
      <c r="I44" s="151"/>
      <c r="J44" s="151"/>
      <c r="K44" s="635"/>
      <c r="L44" s="654"/>
    </row>
    <row r="45" spans="1:12" x14ac:dyDescent="0.2">
      <c r="A45" s="142">
        <f t="shared" si="3"/>
        <v>5</v>
      </c>
      <c r="B45" s="198" t="s">
        <v>1417</v>
      </c>
      <c r="C45" s="374" t="str">
        <f>F26M!C45</f>
        <v>Total Variable/Actual Production Volume</v>
      </c>
      <c r="D45" s="663"/>
      <c r="E45" s="151"/>
      <c r="F45" s="151"/>
      <c r="G45" s="151"/>
      <c r="H45" s="151"/>
      <c r="I45" s="151"/>
      <c r="J45" s="151"/>
      <c r="K45" s="635"/>
      <c r="L45" s="654"/>
    </row>
    <row r="46" spans="1:12" x14ac:dyDescent="0.2">
      <c r="A46" s="142">
        <f t="shared" si="3"/>
        <v>6</v>
      </c>
      <c r="B46" s="198" t="s">
        <v>1418</v>
      </c>
      <c r="C46" s="374" t="str">
        <f>F26M!C46</f>
        <v>Fixed Overhead/Actual Production Volume</v>
      </c>
      <c r="D46" s="663"/>
      <c r="E46" s="151"/>
      <c r="F46" s="151"/>
      <c r="G46" s="151"/>
      <c r="H46" s="151"/>
      <c r="I46" s="151"/>
      <c r="J46" s="151"/>
      <c r="K46" s="635"/>
      <c r="L46" s="654"/>
    </row>
    <row r="47" spans="1:12" x14ac:dyDescent="0.2">
      <c r="A47" s="655">
        <f t="shared" si="3"/>
        <v>7</v>
      </c>
      <c r="B47" s="199" t="s">
        <v>1419</v>
      </c>
      <c r="C47" s="839" t="str">
        <f>F26M!C47</f>
        <v>Manufacturing Costs/Actual Production Volume</v>
      </c>
      <c r="D47" s="676"/>
      <c r="E47" s="677"/>
      <c r="F47" s="677"/>
      <c r="G47" s="677"/>
      <c r="H47" s="677"/>
      <c r="I47" s="677"/>
      <c r="J47" s="677"/>
      <c r="K47" s="678"/>
      <c r="L47" s="657"/>
    </row>
    <row r="48" spans="1:12" x14ac:dyDescent="0.2">
      <c r="A48" s="819"/>
      <c r="B48" s="820"/>
      <c r="C48" s="821"/>
      <c r="D48" s="822"/>
      <c r="E48" s="822"/>
      <c r="F48" s="822"/>
      <c r="G48" s="822"/>
      <c r="H48" s="822"/>
      <c r="I48" s="822"/>
      <c r="J48" s="822"/>
      <c r="K48" s="822"/>
      <c r="L48" s="820"/>
    </row>
    <row r="49" spans="1:12" x14ac:dyDescent="0.2">
      <c r="A49" s="919" t="s">
        <v>1810</v>
      </c>
      <c r="B49" s="920" t="s">
        <v>1811</v>
      </c>
      <c r="C49" s="920"/>
      <c r="D49" s="920"/>
      <c r="E49" s="920"/>
      <c r="F49" s="920"/>
      <c r="G49" s="920"/>
      <c r="H49" s="920"/>
      <c r="I49" s="920"/>
      <c r="J49" s="920"/>
      <c r="K49" s="920"/>
      <c r="L49" s="921"/>
    </row>
    <row r="50" spans="1:12" x14ac:dyDescent="0.2">
      <c r="A50" s="823"/>
      <c r="B50" s="824"/>
      <c r="C50" s="825"/>
      <c r="D50" s="673" t="s">
        <v>1797</v>
      </c>
      <c r="E50" s="674" t="s">
        <v>1798</v>
      </c>
      <c r="F50" s="674" t="s">
        <v>1799</v>
      </c>
      <c r="G50" s="674" t="s">
        <v>1800</v>
      </c>
      <c r="H50" s="674" t="s">
        <v>1801</v>
      </c>
      <c r="I50" s="674"/>
      <c r="J50" s="674"/>
      <c r="K50" s="675"/>
      <c r="L50" s="673" t="s">
        <v>14</v>
      </c>
    </row>
    <row r="51" spans="1:12" s="171" customFormat="1" x14ac:dyDescent="0.2">
      <c r="A51" s="142">
        <v>1</v>
      </c>
      <c r="B51" s="160" t="s">
        <v>1807</v>
      </c>
      <c r="C51" s="826"/>
      <c r="D51" s="418"/>
      <c r="E51" s="146"/>
      <c r="F51" s="147"/>
      <c r="G51" s="146"/>
      <c r="H51" s="147"/>
      <c r="I51" s="146"/>
      <c r="J51" s="147"/>
      <c r="K51" s="827"/>
      <c r="L51" s="828"/>
    </row>
    <row r="52" spans="1:12" s="171" customFormat="1" x14ac:dyDescent="0.2">
      <c r="A52" s="655">
        <f t="shared" ref="A52:A58" si="4">A51+1</f>
        <v>2</v>
      </c>
      <c r="B52" s="279" t="s">
        <v>123</v>
      </c>
      <c r="C52" s="829"/>
      <c r="D52" s="830"/>
      <c r="E52" s="677"/>
      <c r="F52" s="656"/>
      <c r="G52" s="677"/>
      <c r="H52" s="656"/>
      <c r="I52" s="677"/>
      <c r="J52" s="656"/>
      <c r="K52" s="678"/>
      <c r="L52" s="831"/>
    </row>
    <row r="53" spans="1:12" s="171" customFormat="1" ht="12" thickBot="1" x14ac:dyDescent="0.25">
      <c r="A53" s="392">
        <f t="shared" si="4"/>
        <v>3</v>
      </c>
      <c r="B53" s="172" t="s">
        <v>124</v>
      </c>
      <c r="C53" s="372"/>
      <c r="D53" s="422"/>
      <c r="E53" s="175"/>
      <c r="F53" s="176"/>
      <c r="G53" s="175"/>
      <c r="H53" s="176"/>
      <c r="I53" s="175"/>
      <c r="J53" s="176"/>
      <c r="K53" s="666"/>
      <c r="L53" s="647"/>
    </row>
    <row r="54" spans="1:12" ht="12" thickTop="1" x14ac:dyDescent="0.2">
      <c r="A54" s="142">
        <f>A53+1</f>
        <v>4</v>
      </c>
      <c r="B54" s="185" t="s">
        <v>130</v>
      </c>
      <c r="C54" s="826"/>
      <c r="D54" s="832"/>
      <c r="E54" s="146"/>
      <c r="F54" s="146"/>
      <c r="G54" s="146"/>
      <c r="H54" s="146"/>
      <c r="I54" s="146"/>
      <c r="J54" s="146"/>
      <c r="K54" s="827"/>
      <c r="L54" s="833"/>
    </row>
    <row r="55" spans="1:12" x14ac:dyDescent="0.2">
      <c r="A55" s="655">
        <f>A54+1</f>
        <v>5</v>
      </c>
      <c r="B55" s="279" t="s">
        <v>1814</v>
      </c>
      <c r="C55" s="829"/>
      <c r="D55" s="676"/>
      <c r="E55" s="677"/>
      <c r="F55" s="677"/>
      <c r="G55" s="677"/>
      <c r="H55" s="677"/>
      <c r="I55" s="677"/>
      <c r="J55" s="677"/>
      <c r="K55" s="678"/>
      <c r="L55" s="834"/>
    </row>
    <row r="56" spans="1:12" x14ac:dyDescent="0.2">
      <c r="A56" s="250">
        <f t="shared" si="4"/>
        <v>6</v>
      </c>
      <c r="B56" s="161" t="s">
        <v>1775</v>
      </c>
      <c r="C56" s="368"/>
      <c r="D56" s="664"/>
      <c r="E56" s="157"/>
      <c r="F56" s="157"/>
      <c r="G56" s="157"/>
      <c r="H56" s="157"/>
      <c r="I56" s="157"/>
      <c r="J56" s="157"/>
      <c r="K56" s="639"/>
      <c r="L56" s="835"/>
    </row>
    <row r="57" spans="1:12" x14ac:dyDescent="0.2">
      <c r="A57" s="250">
        <f>A56+1</f>
        <v>7</v>
      </c>
      <c r="B57" s="178" t="s">
        <v>142</v>
      </c>
      <c r="C57" s="368"/>
      <c r="D57" s="664"/>
      <c r="E57" s="157"/>
      <c r="F57" s="157"/>
      <c r="G57" s="157"/>
      <c r="H57" s="157"/>
      <c r="I57" s="157"/>
      <c r="J57" s="157"/>
      <c r="K57" s="639"/>
      <c r="L57" s="665"/>
    </row>
    <row r="58" spans="1:12" ht="12" thickBot="1" x14ac:dyDescent="0.25">
      <c r="A58" s="392">
        <f t="shared" si="4"/>
        <v>8</v>
      </c>
      <c r="B58" s="172" t="s">
        <v>143</v>
      </c>
      <c r="C58" s="372"/>
      <c r="D58" s="671"/>
      <c r="E58" s="175"/>
      <c r="F58" s="175"/>
      <c r="G58" s="175"/>
      <c r="H58" s="175"/>
      <c r="I58" s="175"/>
      <c r="J58" s="175"/>
      <c r="K58" s="666"/>
      <c r="L58" s="672"/>
    </row>
    <row r="59" spans="1:12" ht="12" thickTop="1" x14ac:dyDescent="0.2">
      <c r="A59" s="264"/>
      <c r="B59" s="204" t="s">
        <v>1808</v>
      </c>
      <c r="C59" s="825"/>
      <c r="D59" s="836"/>
      <c r="E59" s="837"/>
      <c r="F59" s="837"/>
      <c r="G59" s="837"/>
      <c r="H59" s="837"/>
      <c r="I59" s="837"/>
      <c r="J59" s="837"/>
      <c r="K59" s="838"/>
      <c r="L59" s="673"/>
    </row>
    <row r="60" spans="1:12" x14ac:dyDescent="0.2">
      <c r="A60" s="142">
        <v>1</v>
      </c>
      <c r="B60" s="198" t="s">
        <v>1413</v>
      </c>
      <c r="C60" s="374" t="str">
        <f>F26M!C60</f>
        <v>Direct Expenses/Actual Production Volume</v>
      </c>
      <c r="D60" s="669"/>
      <c r="E60" s="168"/>
      <c r="F60" s="168"/>
      <c r="G60" s="168"/>
      <c r="H60" s="168"/>
      <c r="I60" s="168"/>
      <c r="J60" s="168"/>
      <c r="K60" s="670"/>
      <c r="L60" s="654"/>
    </row>
    <row r="61" spans="1:12" x14ac:dyDescent="0.2">
      <c r="A61" s="142">
        <f t="shared" ref="A61:A66" si="5">A60+1</f>
        <v>2</v>
      </c>
      <c r="B61" s="198" t="s">
        <v>1412</v>
      </c>
      <c r="C61" s="374" t="str">
        <f>F26M!C61</f>
        <v>Direct Labour/Actual Production Volume</v>
      </c>
      <c r="D61" s="663"/>
      <c r="E61" s="151"/>
      <c r="F61" s="151"/>
      <c r="G61" s="151"/>
      <c r="H61" s="151"/>
      <c r="I61" s="151"/>
      <c r="J61" s="151"/>
      <c r="K61" s="635"/>
      <c r="L61" s="654"/>
    </row>
    <row r="62" spans="1:12" x14ac:dyDescent="0.2">
      <c r="A62" s="142">
        <f>A61+1</f>
        <v>3</v>
      </c>
      <c r="B62" s="198" t="s">
        <v>1415</v>
      </c>
      <c r="C62" s="374" t="str">
        <f>F26M!C62</f>
        <v>Indirect Labour/Actual Production Volume</v>
      </c>
      <c r="D62" s="663"/>
      <c r="E62" s="151"/>
      <c r="F62" s="151"/>
      <c r="G62" s="151"/>
      <c r="H62" s="151"/>
      <c r="I62" s="151"/>
      <c r="J62" s="151"/>
      <c r="K62" s="635"/>
      <c r="L62" s="654"/>
    </row>
    <row r="63" spans="1:12" x14ac:dyDescent="0.2">
      <c r="A63" s="142">
        <f t="shared" si="5"/>
        <v>4</v>
      </c>
      <c r="B63" s="198" t="s">
        <v>1416</v>
      </c>
      <c r="C63" s="374" t="str">
        <f>F26M!C63</f>
        <v>Variable Overhead/Actual Production Volume</v>
      </c>
      <c r="D63" s="663"/>
      <c r="E63" s="151"/>
      <c r="F63" s="151"/>
      <c r="G63" s="151"/>
      <c r="H63" s="151"/>
      <c r="I63" s="151"/>
      <c r="J63" s="151"/>
      <c r="K63" s="635"/>
      <c r="L63" s="654"/>
    </row>
    <row r="64" spans="1:12" x14ac:dyDescent="0.2">
      <c r="A64" s="142">
        <f t="shared" si="5"/>
        <v>5</v>
      </c>
      <c r="B64" s="198" t="s">
        <v>1417</v>
      </c>
      <c r="C64" s="374" t="str">
        <f>F26M!C64</f>
        <v>Total Variable/Actual Production Volume</v>
      </c>
      <c r="D64" s="663"/>
      <c r="E64" s="151"/>
      <c r="F64" s="151"/>
      <c r="G64" s="151"/>
      <c r="H64" s="151"/>
      <c r="I64" s="151"/>
      <c r="J64" s="151"/>
      <c r="K64" s="635"/>
      <c r="L64" s="654"/>
    </row>
    <row r="65" spans="1:12" x14ac:dyDescent="0.2">
      <c r="A65" s="142">
        <f t="shared" si="5"/>
        <v>6</v>
      </c>
      <c r="B65" s="198" t="s">
        <v>1418</v>
      </c>
      <c r="C65" s="374" t="str">
        <f>F26M!C65</f>
        <v>Fixed Overhead/Actual Production Volume</v>
      </c>
      <c r="D65" s="663"/>
      <c r="E65" s="151"/>
      <c r="F65" s="151"/>
      <c r="G65" s="151"/>
      <c r="H65" s="151"/>
      <c r="I65" s="151"/>
      <c r="J65" s="151"/>
      <c r="K65" s="635"/>
      <c r="L65" s="654"/>
    </row>
    <row r="66" spans="1:12" x14ac:dyDescent="0.2">
      <c r="A66" s="655">
        <f t="shared" si="5"/>
        <v>7</v>
      </c>
      <c r="B66" s="199" t="s">
        <v>1419</v>
      </c>
      <c r="C66" s="839" t="str">
        <f>F26M!C66</f>
        <v>Manufacturing Costs/Actual Production Volume</v>
      </c>
      <c r="D66" s="676"/>
      <c r="E66" s="677"/>
      <c r="F66" s="677"/>
      <c r="G66" s="677"/>
      <c r="H66" s="677"/>
      <c r="I66" s="677"/>
      <c r="J66" s="677"/>
      <c r="K66" s="678"/>
      <c r="L66" s="657"/>
    </row>
  </sheetData>
  <mergeCells count="10">
    <mergeCell ref="A4:B4"/>
    <mergeCell ref="A11:L11"/>
    <mergeCell ref="A30:L30"/>
    <mergeCell ref="A49:L49"/>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3"/>
  <sheetViews>
    <sheetView topLeftCell="A44" zoomScale="110" zoomScaleNormal="110" zoomScaleSheetLayoutView="110" workbookViewId="0">
      <selection activeCell="C5" sqref="C5"/>
    </sheetView>
  </sheetViews>
  <sheetFormatPr defaultRowHeight="12.75" x14ac:dyDescent="0.2"/>
  <cols>
    <col min="1" max="1" width="2.85546875" style="458" customWidth="1"/>
    <col min="2" max="2" width="31.85546875" style="1" customWidth="1"/>
    <col min="3" max="3" width="41" style="460" customWidth="1"/>
    <col min="4" max="9" width="8.7109375" style="458" customWidth="1"/>
    <col min="10" max="16384" width="9.140625" style="458"/>
  </cols>
  <sheetData>
    <row r="1" spans="1:9" ht="11.1" customHeight="1" x14ac:dyDescent="0.2">
      <c r="A1" s="205" t="s">
        <v>66</v>
      </c>
      <c r="B1" s="115"/>
      <c r="C1" s="342"/>
      <c r="D1" s="922" t="str">
        <f>'F24'!D1:G1</f>
        <v>AS OF: 11-Oct-2017</v>
      </c>
      <c r="E1" s="923"/>
      <c r="F1" s="923"/>
      <c r="G1" s="923"/>
      <c r="H1" s="207" t="s">
        <v>144</v>
      </c>
      <c r="I1" s="208">
        <f>H4</f>
        <v>42979</v>
      </c>
    </row>
    <row r="2" spans="1:9" ht="11.1" customHeight="1" x14ac:dyDescent="0.2">
      <c r="A2" s="209" t="s">
        <v>1470</v>
      </c>
      <c r="B2" s="345"/>
      <c r="C2" s="343"/>
      <c r="D2" s="924" t="s">
        <v>1068</v>
      </c>
      <c r="E2" s="925"/>
      <c r="F2" s="925"/>
      <c r="G2" s="925"/>
      <c r="H2" s="210" t="s">
        <v>145</v>
      </c>
      <c r="I2" s="211">
        <v>1</v>
      </c>
    </row>
    <row r="3" spans="1:9" ht="11.1" customHeight="1" x14ac:dyDescent="0.2">
      <c r="A3" s="926"/>
      <c r="B3" s="927"/>
      <c r="C3" s="344"/>
      <c r="D3" s="428" t="s">
        <v>146</v>
      </c>
      <c r="E3" s="429" t="s">
        <v>146</v>
      </c>
      <c r="F3" s="429" t="s">
        <v>147</v>
      </c>
      <c r="G3" s="429" t="s">
        <v>147</v>
      </c>
      <c r="H3" s="429" t="s">
        <v>147</v>
      </c>
      <c r="I3" s="605" t="s">
        <v>147</v>
      </c>
    </row>
    <row r="4" spans="1:9" ht="11.1" customHeight="1" x14ac:dyDescent="0.2">
      <c r="A4" s="928"/>
      <c r="B4" s="929"/>
      <c r="C4" s="327"/>
      <c r="D4" s="212">
        <v>42430</v>
      </c>
      <c r="E4" s="213">
        <v>42795</v>
      </c>
      <c r="F4" s="213">
        <v>42917</v>
      </c>
      <c r="G4" s="213">
        <v>42948</v>
      </c>
      <c r="H4" s="213">
        <v>42979</v>
      </c>
      <c r="I4" s="606">
        <f>H4</f>
        <v>42979</v>
      </c>
    </row>
    <row r="5" spans="1:9" ht="11.1" customHeight="1" x14ac:dyDescent="0.2">
      <c r="A5" s="214">
        <v>1</v>
      </c>
      <c r="B5" s="215" t="s">
        <v>148</v>
      </c>
      <c r="C5" s="328" t="s">
        <v>1600</v>
      </c>
      <c r="D5" s="216"/>
      <c r="E5" s="217"/>
      <c r="F5" s="217"/>
      <c r="G5" s="217"/>
      <c r="H5" s="217"/>
      <c r="I5" s="218"/>
    </row>
    <row r="6" spans="1:9" ht="11.1" customHeight="1" x14ac:dyDescent="0.2">
      <c r="A6" s="219">
        <f>A5+1</f>
        <v>2</v>
      </c>
      <c r="B6" s="220" t="s">
        <v>149</v>
      </c>
      <c r="C6" s="332" t="s">
        <v>1601</v>
      </c>
      <c r="D6" s="221"/>
      <c r="E6" s="217"/>
      <c r="F6" s="217"/>
      <c r="G6" s="217"/>
      <c r="H6" s="217"/>
      <c r="I6" s="218"/>
    </row>
    <row r="7" spans="1:9" ht="11.1" customHeight="1" x14ac:dyDescent="0.2">
      <c r="A7" s="219">
        <f>A6+1</f>
        <v>3</v>
      </c>
      <c r="B7" s="220" t="s">
        <v>150</v>
      </c>
      <c r="C7" s="332" t="s">
        <v>1069</v>
      </c>
      <c r="D7" s="221"/>
      <c r="E7" s="217"/>
      <c r="F7" s="217"/>
      <c r="G7" s="217"/>
      <c r="H7" s="217"/>
      <c r="I7" s="218"/>
    </row>
    <row r="8" spans="1:9" ht="11.1" customHeight="1" x14ac:dyDescent="0.2">
      <c r="A8" s="219">
        <f t="shared" ref="A8:A64" si="0">A7+1</f>
        <v>4</v>
      </c>
      <c r="B8" s="220" t="s">
        <v>151</v>
      </c>
      <c r="C8" s="332" t="s">
        <v>1603</v>
      </c>
      <c r="D8" s="221"/>
      <c r="E8" s="217"/>
      <c r="F8" s="217"/>
      <c r="G8" s="217"/>
      <c r="H8" s="217"/>
      <c r="I8" s="218"/>
    </row>
    <row r="9" spans="1:9" ht="11.1" customHeight="1" x14ac:dyDescent="0.2">
      <c r="A9" s="219">
        <f t="shared" si="0"/>
        <v>5</v>
      </c>
      <c r="B9" s="220" t="s">
        <v>152</v>
      </c>
      <c r="C9" s="332" t="s">
        <v>1602</v>
      </c>
      <c r="D9" s="221"/>
      <c r="E9" s="217"/>
      <c r="F9" s="217"/>
      <c r="G9" s="217"/>
      <c r="H9" s="217"/>
      <c r="I9" s="218"/>
    </row>
    <row r="10" spans="1:9" ht="11.25" customHeight="1" x14ac:dyDescent="0.2">
      <c r="A10" s="219">
        <f t="shared" si="0"/>
        <v>6</v>
      </c>
      <c r="B10" s="220" t="s">
        <v>153</v>
      </c>
      <c r="C10" s="332" t="s">
        <v>1604</v>
      </c>
      <c r="D10" s="221"/>
      <c r="E10" s="217"/>
      <c r="F10" s="217"/>
      <c r="G10" s="217"/>
      <c r="H10" s="217"/>
      <c r="I10" s="218"/>
    </row>
    <row r="11" spans="1:9" ht="11.25" customHeight="1" x14ac:dyDescent="0.2">
      <c r="A11" s="219">
        <f t="shared" si="0"/>
        <v>7</v>
      </c>
      <c r="B11" s="220" t="s">
        <v>154</v>
      </c>
      <c r="C11" s="332" t="s">
        <v>1336</v>
      </c>
      <c r="D11" s="221"/>
      <c r="E11" s="217"/>
      <c r="F11" s="217"/>
      <c r="G11" s="217"/>
      <c r="H11" s="217"/>
      <c r="I11" s="218"/>
    </row>
    <row r="12" spans="1:9" x14ac:dyDescent="0.2">
      <c r="A12" s="219">
        <f t="shared" si="0"/>
        <v>8</v>
      </c>
      <c r="B12" s="220" t="s">
        <v>155</v>
      </c>
      <c r="C12" s="332" t="s">
        <v>1605</v>
      </c>
      <c r="D12" s="221"/>
      <c r="E12" s="217"/>
      <c r="F12" s="217"/>
      <c r="G12" s="217"/>
      <c r="H12" s="217"/>
      <c r="I12" s="218"/>
    </row>
    <row r="13" spans="1:9" ht="12" customHeight="1" x14ac:dyDescent="0.2">
      <c r="A13" s="427">
        <f t="shared" si="0"/>
        <v>9</v>
      </c>
      <c r="B13" s="222" t="s">
        <v>156</v>
      </c>
      <c r="C13" s="335" t="s">
        <v>157</v>
      </c>
      <c r="D13" s="223"/>
      <c r="E13" s="224"/>
      <c r="F13" s="224"/>
      <c r="G13" s="224"/>
      <c r="H13" s="225"/>
      <c r="I13" s="226"/>
    </row>
    <row r="14" spans="1:9" ht="11.1" customHeight="1" x14ac:dyDescent="0.2">
      <c r="A14" s="219">
        <f t="shared" si="0"/>
        <v>10</v>
      </c>
      <c r="B14" s="220" t="s">
        <v>1234</v>
      </c>
      <c r="C14" s="332" t="s">
        <v>1612</v>
      </c>
      <c r="D14" s="221"/>
      <c r="E14" s="217"/>
      <c r="F14" s="217"/>
      <c r="G14" s="217"/>
      <c r="H14" s="217"/>
      <c r="I14" s="218"/>
    </row>
    <row r="15" spans="1:9" ht="11.1" customHeight="1" x14ac:dyDescent="0.2">
      <c r="A15" s="219">
        <f t="shared" si="0"/>
        <v>11</v>
      </c>
      <c r="B15" s="220" t="s">
        <v>158</v>
      </c>
      <c r="C15" s="332" t="s">
        <v>1613</v>
      </c>
      <c r="D15" s="221"/>
      <c r="E15" s="217"/>
      <c r="F15" s="217"/>
      <c r="G15" s="217"/>
      <c r="H15" s="217"/>
      <c r="I15" s="218"/>
    </row>
    <row r="16" spans="1:9" ht="11.1" customHeight="1" x14ac:dyDescent="0.2">
      <c r="A16" s="219">
        <f t="shared" si="0"/>
        <v>12</v>
      </c>
      <c r="B16" s="220" t="s">
        <v>159</v>
      </c>
      <c r="C16" s="332" t="s">
        <v>1614</v>
      </c>
      <c r="D16" s="221"/>
      <c r="E16" s="217"/>
      <c r="F16" s="217"/>
      <c r="G16" s="217"/>
      <c r="H16" s="217"/>
      <c r="I16" s="218"/>
    </row>
    <row r="17" spans="1:9" ht="11.1" customHeight="1" x14ac:dyDescent="0.2">
      <c r="A17" s="219">
        <f t="shared" si="0"/>
        <v>13</v>
      </c>
      <c r="B17" s="220" t="s">
        <v>160</v>
      </c>
      <c r="C17" s="332" t="s">
        <v>1615</v>
      </c>
      <c r="D17" s="221"/>
      <c r="E17" s="217"/>
      <c r="F17" s="217"/>
      <c r="G17" s="217"/>
      <c r="H17" s="217"/>
      <c r="I17" s="218"/>
    </row>
    <row r="18" spans="1:9" ht="11.1" customHeight="1" x14ac:dyDescent="0.2">
      <c r="A18" s="219">
        <f t="shared" si="0"/>
        <v>14</v>
      </c>
      <c r="B18" s="220" t="s">
        <v>161</v>
      </c>
      <c r="C18" s="332" t="s">
        <v>1616</v>
      </c>
      <c r="D18" s="221"/>
      <c r="E18" s="217"/>
      <c r="F18" s="217"/>
      <c r="G18" s="217"/>
      <c r="H18" s="217"/>
      <c r="I18" s="218"/>
    </row>
    <row r="19" spans="1:9" ht="11.1" customHeight="1" x14ac:dyDescent="0.2">
      <c r="A19" s="219">
        <f t="shared" si="0"/>
        <v>15</v>
      </c>
      <c r="B19" s="220" t="s">
        <v>162</v>
      </c>
      <c r="C19" s="332" t="s">
        <v>1617</v>
      </c>
      <c r="D19" s="221"/>
      <c r="E19" s="217"/>
      <c r="F19" s="217"/>
      <c r="G19" s="217"/>
      <c r="H19" s="217"/>
      <c r="I19" s="218"/>
    </row>
    <row r="20" spans="1:9" ht="11.1" customHeight="1" x14ac:dyDescent="0.2">
      <c r="A20" s="219">
        <f t="shared" si="0"/>
        <v>16</v>
      </c>
      <c r="B20" s="220" t="s">
        <v>163</v>
      </c>
      <c r="C20" s="332" t="s">
        <v>1618</v>
      </c>
      <c r="D20" s="221"/>
      <c r="E20" s="217"/>
      <c r="F20" s="217"/>
      <c r="G20" s="217"/>
      <c r="H20" s="217"/>
      <c r="I20" s="218"/>
    </row>
    <row r="21" spans="1:9" ht="11.25" customHeight="1" x14ac:dyDescent="0.2">
      <c r="A21" s="219">
        <f t="shared" si="0"/>
        <v>17</v>
      </c>
      <c r="B21" s="227" t="s">
        <v>164</v>
      </c>
      <c r="C21" s="333" t="s">
        <v>1619</v>
      </c>
      <c r="D21" s="221"/>
      <c r="E21" s="217"/>
      <c r="F21" s="217"/>
      <c r="G21" s="217"/>
      <c r="H21" s="217"/>
      <c r="I21" s="218"/>
    </row>
    <row r="22" spans="1:9" ht="11.25" customHeight="1" x14ac:dyDescent="0.2">
      <c r="A22" s="219">
        <f t="shared" si="0"/>
        <v>18</v>
      </c>
      <c r="B22" s="220" t="s">
        <v>165</v>
      </c>
      <c r="C22" s="333" t="s">
        <v>1620</v>
      </c>
      <c r="D22" s="221"/>
      <c r="E22" s="217"/>
      <c r="F22" s="217"/>
      <c r="G22" s="217"/>
      <c r="H22" s="217"/>
      <c r="I22" s="218"/>
    </row>
    <row r="23" spans="1:9" x14ac:dyDescent="0.2">
      <c r="A23" s="219">
        <f t="shared" si="0"/>
        <v>19</v>
      </c>
      <c r="B23" s="220" t="s">
        <v>1289</v>
      </c>
      <c r="C23" s="333" t="s">
        <v>1337</v>
      </c>
      <c r="D23" s="221"/>
      <c r="E23" s="217"/>
      <c r="F23" s="217"/>
      <c r="G23" s="217"/>
      <c r="H23" s="217"/>
      <c r="I23" s="218"/>
    </row>
    <row r="24" spans="1:9" ht="10.5" customHeight="1" x14ac:dyDescent="0.2">
      <c r="A24" s="427">
        <f t="shared" si="0"/>
        <v>20</v>
      </c>
      <c r="B24" s="222" t="s">
        <v>166</v>
      </c>
      <c r="C24" s="335" t="s">
        <v>1304</v>
      </c>
      <c r="D24" s="223"/>
      <c r="E24" s="224"/>
      <c r="F24" s="224"/>
      <c r="G24" s="224"/>
      <c r="H24" s="225"/>
      <c r="I24" s="226"/>
    </row>
    <row r="25" spans="1:9" ht="11.1" customHeight="1" x14ac:dyDescent="0.2">
      <c r="A25" s="219">
        <f t="shared" si="0"/>
        <v>21</v>
      </c>
      <c r="B25" s="220" t="s">
        <v>167</v>
      </c>
      <c r="C25" s="332" t="s">
        <v>1610</v>
      </c>
      <c r="D25" s="221"/>
      <c r="E25" s="217"/>
      <c r="F25" s="217"/>
      <c r="G25" s="217"/>
      <c r="H25" s="217"/>
      <c r="I25" s="218"/>
    </row>
    <row r="26" spans="1:9" ht="11.1" customHeight="1" x14ac:dyDescent="0.2">
      <c r="A26" s="219">
        <f t="shared" si="0"/>
        <v>22</v>
      </c>
      <c r="B26" s="220" t="s">
        <v>168</v>
      </c>
      <c r="C26" s="332" t="s">
        <v>1611</v>
      </c>
      <c r="D26" s="221"/>
      <c r="E26" s="217"/>
      <c r="F26" s="217"/>
      <c r="G26" s="217"/>
      <c r="H26" s="217"/>
      <c r="I26" s="218"/>
    </row>
    <row r="27" spans="1:9" ht="11.1" customHeight="1" x14ac:dyDescent="0.2">
      <c r="A27" s="219">
        <f t="shared" si="0"/>
        <v>23</v>
      </c>
      <c r="B27" s="220" t="s">
        <v>169</v>
      </c>
      <c r="C27" s="332" t="s">
        <v>1606</v>
      </c>
      <c r="D27" s="221"/>
      <c r="E27" s="217"/>
      <c r="F27" s="217"/>
      <c r="G27" s="217"/>
      <c r="H27" s="217"/>
      <c r="I27" s="218"/>
    </row>
    <row r="28" spans="1:9" ht="11.1" customHeight="1" x14ac:dyDescent="0.2">
      <c r="A28" s="219">
        <f t="shared" si="0"/>
        <v>24</v>
      </c>
      <c r="B28" s="220" t="s">
        <v>153</v>
      </c>
      <c r="C28" s="332" t="s">
        <v>1607</v>
      </c>
      <c r="D28" s="221"/>
      <c r="E28" s="217"/>
      <c r="F28" s="217"/>
      <c r="G28" s="217"/>
      <c r="H28" s="217"/>
      <c r="I28" s="218"/>
    </row>
    <row r="29" spans="1:9" ht="11.1" customHeight="1" x14ac:dyDescent="0.2">
      <c r="A29" s="219">
        <f t="shared" si="0"/>
        <v>25</v>
      </c>
      <c r="B29" s="220" t="s">
        <v>152</v>
      </c>
      <c r="C29" s="332" t="s">
        <v>1608</v>
      </c>
      <c r="D29" s="221"/>
      <c r="E29" s="217"/>
      <c r="F29" s="217"/>
      <c r="G29" s="217"/>
      <c r="H29" s="217"/>
      <c r="I29" s="218"/>
    </row>
    <row r="30" spans="1:9" ht="11.1" customHeight="1" x14ac:dyDescent="0.2">
      <c r="A30" s="219">
        <f t="shared" si="0"/>
        <v>26</v>
      </c>
      <c r="B30" s="220" t="s">
        <v>170</v>
      </c>
      <c r="C30" s="332" t="s">
        <v>1070</v>
      </c>
      <c r="D30" s="221"/>
      <c r="E30" s="217"/>
      <c r="F30" s="217"/>
      <c r="G30" s="217"/>
      <c r="H30" s="217"/>
      <c r="I30" s="218"/>
    </row>
    <row r="31" spans="1:9" ht="11.1" customHeight="1" x14ac:dyDescent="0.2">
      <c r="A31" s="219">
        <f t="shared" si="0"/>
        <v>27</v>
      </c>
      <c r="B31" s="220" t="s">
        <v>171</v>
      </c>
      <c r="C31" s="332" t="s">
        <v>1071</v>
      </c>
      <c r="D31" s="221"/>
      <c r="E31" s="217"/>
      <c r="F31" s="217"/>
      <c r="G31" s="217"/>
      <c r="H31" s="217"/>
      <c r="I31" s="218"/>
    </row>
    <row r="32" spans="1:9" ht="11.1" customHeight="1" x14ac:dyDescent="0.2">
      <c r="A32" s="219">
        <f t="shared" si="0"/>
        <v>28</v>
      </c>
      <c r="B32" s="220" t="s">
        <v>523</v>
      </c>
      <c r="C32" s="332" t="s">
        <v>1300</v>
      </c>
      <c r="D32" s="221"/>
      <c r="E32" s="217"/>
      <c r="F32" s="217"/>
      <c r="G32" s="217"/>
      <c r="H32" s="217"/>
      <c r="I32" s="218"/>
    </row>
    <row r="33" spans="1:9" ht="11.1" customHeight="1" x14ac:dyDescent="0.2">
      <c r="A33" s="219">
        <f t="shared" si="0"/>
        <v>29</v>
      </c>
      <c r="B33" s="220" t="s">
        <v>172</v>
      </c>
      <c r="C33" s="332" t="s">
        <v>1072</v>
      </c>
      <c r="D33" s="221"/>
      <c r="E33" s="217"/>
      <c r="F33" s="217"/>
      <c r="G33" s="217"/>
      <c r="H33" s="217"/>
      <c r="I33" s="218"/>
    </row>
    <row r="34" spans="1:9" ht="11.1" customHeight="1" x14ac:dyDescent="0.2">
      <c r="A34" s="219">
        <f t="shared" si="0"/>
        <v>30</v>
      </c>
      <c r="B34" s="220" t="s">
        <v>173</v>
      </c>
      <c r="C34" s="487" t="s">
        <v>1609</v>
      </c>
      <c r="D34" s="221"/>
      <c r="E34" s="217"/>
      <c r="F34" s="217"/>
      <c r="G34" s="217"/>
      <c r="H34" s="217"/>
      <c r="I34" s="218"/>
    </row>
    <row r="35" spans="1:9" ht="11.1" customHeight="1" x14ac:dyDescent="0.2">
      <c r="A35" s="427">
        <f t="shared" si="0"/>
        <v>31</v>
      </c>
      <c r="B35" s="222" t="s">
        <v>174</v>
      </c>
      <c r="C35" s="335" t="s">
        <v>1338</v>
      </c>
      <c r="D35" s="223"/>
      <c r="E35" s="224"/>
      <c r="F35" s="224"/>
      <c r="G35" s="224"/>
      <c r="H35" s="225"/>
      <c r="I35" s="226"/>
    </row>
    <row r="36" spans="1:9" ht="11.1" customHeight="1" x14ac:dyDescent="0.2">
      <c r="A36" s="427">
        <f t="shared" si="0"/>
        <v>32</v>
      </c>
      <c r="B36" s="222" t="s">
        <v>175</v>
      </c>
      <c r="C36" s="335" t="s">
        <v>1305</v>
      </c>
      <c r="D36" s="223"/>
      <c r="E36" s="224"/>
      <c r="F36" s="224"/>
      <c r="G36" s="224"/>
      <c r="H36" s="225"/>
      <c r="I36" s="226"/>
    </row>
    <row r="37" spans="1:9" ht="11.1" customHeight="1" x14ac:dyDescent="0.2">
      <c r="A37" s="219">
        <f t="shared" si="0"/>
        <v>33</v>
      </c>
      <c r="B37" s="438" t="s">
        <v>176</v>
      </c>
      <c r="C37" s="329" t="s">
        <v>1621</v>
      </c>
      <c r="D37" s="221"/>
      <c r="E37" s="217"/>
      <c r="F37" s="217"/>
      <c r="G37" s="217"/>
      <c r="H37" s="217"/>
      <c r="I37" s="218"/>
    </row>
    <row r="38" spans="1:9" ht="11.1" customHeight="1" x14ac:dyDescent="0.2">
      <c r="A38" s="219">
        <f t="shared" si="0"/>
        <v>34</v>
      </c>
      <c r="B38" s="220" t="s">
        <v>177</v>
      </c>
      <c r="C38" s="332" t="s">
        <v>1622</v>
      </c>
      <c r="D38" s="221"/>
      <c r="E38" s="217"/>
      <c r="F38" s="217"/>
      <c r="G38" s="217"/>
      <c r="H38" s="217"/>
      <c r="I38" s="218"/>
    </row>
    <row r="39" spans="1:9" ht="11.1" customHeight="1" x14ac:dyDescent="0.2">
      <c r="A39" s="219">
        <f t="shared" si="0"/>
        <v>35</v>
      </c>
      <c r="B39" s="220" t="s">
        <v>178</v>
      </c>
      <c r="C39" s="332" t="s">
        <v>1623</v>
      </c>
      <c r="D39" s="221"/>
      <c r="E39" s="217"/>
      <c r="F39" s="217"/>
      <c r="G39" s="217"/>
      <c r="H39" s="217"/>
      <c r="I39" s="218"/>
    </row>
    <row r="40" spans="1:9" ht="11.1" customHeight="1" x14ac:dyDescent="0.2">
      <c r="A40" s="219">
        <f t="shared" si="0"/>
        <v>36</v>
      </c>
      <c r="B40" s="220" t="s">
        <v>179</v>
      </c>
      <c r="C40" s="332" t="s">
        <v>1624</v>
      </c>
      <c r="D40" s="221"/>
      <c r="E40" s="217"/>
      <c r="F40" s="217"/>
      <c r="G40" s="217"/>
      <c r="H40" s="217"/>
      <c r="I40" s="218"/>
    </row>
    <row r="41" spans="1:9" ht="11.1" customHeight="1" x14ac:dyDescent="0.2">
      <c r="A41" s="219">
        <f t="shared" si="0"/>
        <v>37</v>
      </c>
      <c r="B41" s="220" t="s">
        <v>180</v>
      </c>
      <c r="C41" s="332" t="s">
        <v>1625</v>
      </c>
      <c r="D41" s="221"/>
      <c r="E41" s="217"/>
      <c r="F41" s="217"/>
      <c r="G41" s="217"/>
      <c r="H41" s="217"/>
      <c r="I41" s="218"/>
    </row>
    <row r="42" spans="1:9" ht="11.1" customHeight="1" x14ac:dyDescent="0.2">
      <c r="A42" s="219">
        <f t="shared" si="0"/>
        <v>38</v>
      </c>
      <c r="B42" s="220" t="s">
        <v>181</v>
      </c>
      <c r="C42" s="332" t="s">
        <v>1628</v>
      </c>
      <c r="D42" s="221"/>
      <c r="E42" s="217"/>
      <c r="F42" s="217"/>
      <c r="G42" s="217"/>
      <c r="H42" s="217"/>
      <c r="I42" s="218"/>
    </row>
    <row r="43" spans="1:9" ht="11.1" customHeight="1" x14ac:dyDescent="0.2">
      <c r="A43" s="219">
        <f t="shared" si="0"/>
        <v>39</v>
      </c>
      <c r="B43" s="220" t="s">
        <v>182</v>
      </c>
      <c r="C43" s="332" t="s">
        <v>1626</v>
      </c>
      <c r="D43" s="221"/>
      <c r="E43" s="217"/>
      <c r="F43" s="217"/>
      <c r="G43" s="217"/>
      <c r="H43" s="217"/>
      <c r="I43" s="218"/>
    </row>
    <row r="44" spans="1:9" ht="11.1" customHeight="1" x14ac:dyDescent="0.2">
      <c r="A44" s="219">
        <f t="shared" si="0"/>
        <v>40</v>
      </c>
      <c r="B44" s="220" t="s">
        <v>183</v>
      </c>
      <c r="C44" s="332" t="s">
        <v>1627</v>
      </c>
      <c r="D44" s="221"/>
      <c r="E44" s="217"/>
      <c r="F44" s="217"/>
      <c r="G44" s="217"/>
      <c r="H44" s="217"/>
      <c r="I44" s="218"/>
    </row>
    <row r="45" spans="1:9" ht="11.1" customHeight="1" x14ac:dyDescent="0.2">
      <c r="A45" s="219">
        <f t="shared" si="0"/>
        <v>41</v>
      </c>
      <c r="B45" s="220" t="s">
        <v>184</v>
      </c>
      <c r="C45" s="332" t="s">
        <v>1073</v>
      </c>
      <c r="D45" s="221"/>
      <c r="E45" s="217"/>
      <c r="F45" s="217"/>
      <c r="G45" s="217"/>
      <c r="H45" s="217"/>
      <c r="I45" s="218"/>
    </row>
    <row r="46" spans="1:9" ht="10.5" customHeight="1" x14ac:dyDescent="0.2">
      <c r="A46" s="219">
        <f t="shared" si="0"/>
        <v>42</v>
      </c>
      <c r="B46" s="220" t="s">
        <v>185</v>
      </c>
      <c r="C46" s="332" t="s">
        <v>1629</v>
      </c>
      <c r="D46" s="221"/>
      <c r="E46" s="217"/>
      <c r="F46" s="217"/>
      <c r="G46" s="217"/>
      <c r="H46" s="217"/>
      <c r="I46" s="218"/>
    </row>
    <row r="47" spans="1:9" ht="10.5" customHeight="1" x14ac:dyDescent="0.2">
      <c r="A47" s="427">
        <f t="shared" si="0"/>
        <v>43</v>
      </c>
      <c r="B47" s="222" t="s">
        <v>186</v>
      </c>
      <c r="C47" s="335" t="s">
        <v>1306</v>
      </c>
      <c r="D47" s="223"/>
      <c r="E47" s="224"/>
      <c r="F47" s="224"/>
      <c r="G47" s="224"/>
      <c r="H47" s="225"/>
      <c r="I47" s="226"/>
    </row>
    <row r="48" spans="1:9" ht="11.1" customHeight="1" x14ac:dyDescent="0.2">
      <c r="A48" s="219">
        <f t="shared" si="0"/>
        <v>44</v>
      </c>
      <c r="B48" s="220" t="s">
        <v>187</v>
      </c>
      <c r="C48" s="332" t="s">
        <v>1630</v>
      </c>
      <c r="D48" s="221"/>
      <c r="E48" s="217"/>
      <c r="F48" s="217"/>
      <c r="G48" s="217"/>
      <c r="H48" s="217"/>
      <c r="I48" s="218"/>
    </row>
    <row r="49" spans="1:9" ht="11.1" customHeight="1" x14ac:dyDescent="0.2">
      <c r="A49" s="219">
        <f t="shared" si="0"/>
        <v>45</v>
      </c>
      <c r="B49" s="220" t="s">
        <v>188</v>
      </c>
      <c r="C49" s="332" t="s">
        <v>1631</v>
      </c>
      <c r="D49" s="221"/>
      <c r="E49" s="217"/>
      <c r="F49" s="217"/>
      <c r="G49" s="217"/>
      <c r="H49" s="217"/>
      <c r="I49" s="218"/>
    </row>
    <row r="50" spans="1:9" ht="11.1" customHeight="1" x14ac:dyDescent="0.2">
      <c r="A50" s="219">
        <f t="shared" si="0"/>
        <v>46</v>
      </c>
      <c r="B50" s="220" t="s">
        <v>182</v>
      </c>
      <c r="C50" s="332" t="s">
        <v>1632</v>
      </c>
      <c r="D50" s="221"/>
      <c r="E50" s="217"/>
      <c r="F50" s="217"/>
      <c r="G50" s="217"/>
      <c r="H50" s="217"/>
      <c r="I50" s="218"/>
    </row>
    <row r="51" spans="1:9" ht="11.1" customHeight="1" x14ac:dyDescent="0.2">
      <c r="A51" s="219">
        <f t="shared" si="0"/>
        <v>47</v>
      </c>
      <c r="B51" s="220" t="s">
        <v>183</v>
      </c>
      <c r="C51" s="332" t="s">
        <v>1633</v>
      </c>
      <c r="D51" s="221"/>
      <c r="E51" s="217"/>
      <c r="F51" s="217"/>
      <c r="G51" s="217"/>
      <c r="H51" s="217"/>
      <c r="I51" s="218"/>
    </row>
    <row r="52" spans="1:9" ht="11.1" customHeight="1" x14ac:dyDescent="0.2">
      <c r="A52" s="219">
        <f t="shared" si="0"/>
        <v>48</v>
      </c>
      <c r="B52" s="220" t="s">
        <v>653</v>
      </c>
      <c r="C52" s="332" t="s">
        <v>1636</v>
      </c>
      <c r="D52" s="221"/>
      <c r="E52" s="217"/>
      <c r="F52" s="217"/>
      <c r="G52" s="217"/>
      <c r="H52" s="217"/>
      <c r="I52" s="218"/>
    </row>
    <row r="53" spans="1:9" ht="11.1" customHeight="1" x14ac:dyDescent="0.2">
      <c r="A53" s="219">
        <f t="shared" si="0"/>
        <v>49</v>
      </c>
      <c r="B53" s="220" t="s">
        <v>523</v>
      </c>
      <c r="C53" s="332" t="s">
        <v>1301</v>
      </c>
      <c r="D53" s="221"/>
      <c r="E53" s="217"/>
      <c r="F53" s="217"/>
      <c r="G53" s="217"/>
      <c r="H53" s="217"/>
      <c r="I53" s="218"/>
    </row>
    <row r="54" spans="1:9" ht="11.1" customHeight="1" x14ac:dyDescent="0.2">
      <c r="A54" s="219">
        <f t="shared" si="0"/>
        <v>50</v>
      </c>
      <c r="B54" s="220" t="s">
        <v>189</v>
      </c>
      <c r="C54" s="332" t="s">
        <v>1053</v>
      </c>
      <c r="D54" s="221"/>
      <c r="E54" s="217"/>
      <c r="F54" s="217"/>
      <c r="G54" s="217"/>
      <c r="H54" s="217"/>
      <c r="I54" s="218"/>
    </row>
    <row r="55" spans="1:9" ht="11.1" customHeight="1" x14ac:dyDescent="0.2">
      <c r="A55" s="214">
        <f t="shared" si="0"/>
        <v>51</v>
      </c>
      <c r="B55" s="222" t="s">
        <v>190</v>
      </c>
      <c r="C55" s="335" t="s">
        <v>1302</v>
      </c>
      <c r="D55" s="223"/>
      <c r="E55" s="224"/>
      <c r="F55" s="224"/>
      <c r="G55" s="224"/>
      <c r="H55" s="225"/>
      <c r="I55" s="226"/>
    </row>
    <row r="56" spans="1:9" ht="11.1" customHeight="1" x14ac:dyDescent="0.2">
      <c r="A56" s="427">
        <f t="shared" si="0"/>
        <v>52</v>
      </c>
      <c r="B56" s="222" t="s">
        <v>191</v>
      </c>
      <c r="C56" s="335" t="s">
        <v>1303</v>
      </c>
      <c r="D56" s="223"/>
      <c r="E56" s="224"/>
      <c r="F56" s="224"/>
      <c r="G56" s="224"/>
      <c r="H56" s="225"/>
      <c r="I56" s="226"/>
    </row>
    <row r="57" spans="1:9" ht="11.1" customHeight="1" x14ac:dyDescent="0.2">
      <c r="A57" s="219">
        <f t="shared" si="0"/>
        <v>53</v>
      </c>
      <c r="B57" s="220" t="s">
        <v>1298</v>
      </c>
      <c r="C57" s="334" t="s">
        <v>1299</v>
      </c>
      <c r="D57" s="221"/>
      <c r="E57" s="217"/>
      <c r="F57" s="217"/>
      <c r="G57" s="217"/>
      <c r="H57" s="217"/>
      <c r="I57" s="218"/>
    </row>
    <row r="58" spans="1:9" ht="11.1" customHeight="1" x14ac:dyDescent="0.2">
      <c r="A58" s="219">
        <f t="shared" si="0"/>
        <v>54</v>
      </c>
      <c r="B58" s="220" t="s">
        <v>193</v>
      </c>
      <c r="C58" s="334" t="s">
        <v>1634</v>
      </c>
      <c r="D58" s="221"/>
      <c r="E58" s="217"/>
      <c r="F58" s="217"/>
      <c r="G58" s="217"/>
      <c r="H58" s="217"/>
      <c r="I58" s="218"/>
    </row>
    <row r="59" spans="1:9" ht="11.1" customHeight="1" x14ac:dyDescent="0.2">
      <c r="A59" s="219">
        <f t="shared" si="0"/>
        <v>55</v>
      </c>
      <c r="B59" s="298" t="s">
        <v>194</v>
      </c>
      <c r="C59" s="337" t="s">
        <v>1635</v>
      </c>
      <c r="D59" s="221"/>
      <c r="E59" s="217"/>
      <c r="F59" s="217"/>
      <c r="G59" s="217"/>
      <c r="H59" s="217"/>
      <c r="I59" s="218"/>
    </row>
    <row r="60" spans="1:9" ht="11.1" customHeight="1" x14ac:dyDescent="0.2">
      <c r="A60" s="219">
        <f>A59+1</f>
        <v>56</v>
      </c>
      <c r="B60" s="298" t="s">
        <v>195</v>
      </c>
      <c r="C60" s="337" t="s">
        <v>1580</v>
      </c>
      <c r="D60" s="221"/>
      <c r="E60" s="217"/>
      <c r="F60" s="217"/>
      <c r="G60" s="217"/>
      <c r="H60" s="217"/>
      <c r="I60" s="218"/>
    </row>
    <row r="61" spans="1:9" ht="11.1" customHeight="1" x14ac:dyDescent="0.2">
      <c r="A61" s="219">
        <f t="shared" si="0"/>
        <v>57</v>
      </c>
      <c r="B61" s="298" t="s">
        <v>196</v>
      </c>
      <c r="C61" s="336" t="s">
        <v>1074</v>
      </c>
      <c r="D61" s="221"/>
      <c r="E61" s="217"/>
      <c r="F61" s="217"/>
      <c r="G61" s="217"/>
      <c r="H61" s="217"/>
      <c r="I61" s="218"/>
    </row>
    <row r="62" spans="1:9" ht="11.1" customHeight="1" x14ac:dyDescent="0.2">
      <c r="A62" s="219">
        <f t="shared" si="0"/>
        <v>58</v>
      </c>
      <c r="B62" s="298" t="s">
        <v>197</v>
      </c>
      <c r="C62" s="337" t="s">
        <v>1075</v>
      </c>
      <c r="D62" s="221"/>
      <c r="E62" s="217"/>
      <c r="F62" s="217"/>
      <c r="G62" s="217"/>
      <c r="H62" s="217"/>
      <c r="I62" s="218"/>
    </row>
    <row r="63" spans="1:9" ht="11.1" customHeight="1" x14ac:dyDescent="0.2">
      <c r="A63" s="427">
        <f t="shared" si="0"/>
        <v>59</v>
      </c>
      <c r="B63" s="299" t="s">
        <v>198</v>
      </c>
      <c r="C63" s="335" t="s">
        <v>1307</v>
      </c>
      <c r="D63" s="223"/>
      <c r="E63" s="224"/>
      <c r="F63" s="224"/>
      <c r="G63" s="224"/>
      <c r="H63" s="225"/>
      <c r="I63" s="226"/>
    </row>
    <row r="64" spans="1:9" ht="11.1" customHeight="1" x14ac:dyDescent="0.2">
      <c r="A64" s="427">
        <f t="shared" si="0"/>
        <v>60</v>
      </c>
      <c r="B64" s="299" t="s">
        <v>199</v>
      </c>
      <c r="C64" s="558" t="s">
        <v>1308</v>
      </c>
      <c r="D64" s="223"/>
      <c r="E64" s="224"/>
      <c r="F64" s="224"/>
      <c r="G64" s="224"/>
      <c r="H64" s="225"/>
      <c r="I64" s="226"/>
    </row>
    <row r="65" spans="1:9" ht="11.25" customHeight="1" x14ac:dyDescent="0.2">
      <c r="A65" s="427"/>
      <c r="B65" s="338" t="s">
        <v>19</v>
      </c>
      <c r="C65" s="339"/>
      <c r="D65" s="228">
        <f>D4</f>
        <v>42430</v>
      </c>
      <c r="E65" s="229">
        <f>E4</f>
        <v>42795</v>
      </c>
      <c r="F65" s="229">
        <f t="shared" ref="F65:I65" si="1">F4</f>
        <v>42917</v>
      </c>
      <c r="G65" s="229">
        <f t="shared" si="1"/>
        <v>42948</v>
      </c>
      <c r="H65" s="229">
        <f t="shared" si="1"/>
        <v>42979</v>
      </c>
      <c r="I65" s="230">
        <f t="shared" si="1"/>
        <v>42979</v>
      </c>
    </row>
    <row r="66" spans="1:9" ht="11.25" customHeight="1" x14ac:dyDescent="0.2">
      <c r="A66" s="219">
        <v>1</v>
      </c>
      <c r="B66" s="231" t="s">
        <v>200</v>
      </c>
      <c r="C66" s="340" t="s">
        <v>1076</v>
      </c>
      <c r="D66" s="216"/>
      <c r="E66" s="232"/>
      <c r="F66" s="232"/>
      <c r="G66" s="232"/>
      <c r="H66" s="232"/>
      <c r="I66" s="233"/>
    </row>
    <row r="67" spans="1:9" ht="11.25" customHeight="1" x14ac:dyDescent="0.2">
      <c r="A67" s="219">
        <f>A66+1</f>
        <v>2</v>
      </c>
      <c r="B67" s="234" t="s">
        <v>201</v>
      </c>
      <c r="C67" s="341" t="s">
        <v>1077</v>
      </c>
      <c r="D67" s="221"/>
      <c r="E67" s="217"/>
      <c r="F67" s="217"/>
      <c r="G67" s="217"/>
      <c r="H67" s="217"/>
      <c r="I67" s="218"/>
    </row>
    <row r="68" spans="1:9" ht="11.25" customHeight="1" x14ac:dyDescent="0.2">
      <c r="A68" s="219">
        <f t="shared" ref="A68:A73" si="2">A67+1</f>
        <v>3</v>
      </c>
      <c r="B68" s="231" t="s">
        <v>1231</v>
      </c>
      <c r="C68" s="459" t="s">
        <v>1232</v>
      </c>
      <c r="D68" s="221"/>
      <c r="E68" s="217"/>
      <c r="F68" s="217"/>
      <c r="G68" s="217"/>
      <c r="H68" s="217"/>
      <c r="I68" s="218"/>
    </row>
    <row r="69" spans="1:9" ht="11.25" customHeight="1" x14ac:dyDescent="0.2">
      <c r="A69" s="219">
        <f>A68+1</f>
        <v>4</v>
      </c>
      <c r="B69" s="234" t="s">
        <v>202</v>
      </c>
      <c r="C69" s="341" t="s">
        <v>1078</v>
      </c>
      <c r="D69" s="221"/>
      <c r="E69" s="217"/>
      <c r="F69" s="217"/>
      <c r="G69" s="217"/>
      <c r="H69" s="217"/>
      <c r="I69" s="218"/>
    </row>
    <row r="70" spans="1:9" ht="11.25" customHeight="1" x14ac:dyDescent="0.2">
      <c r="A70" s="219">
        <f t="shared" si="2"/>
        <v>5</v>
      </c>
      <c r="B70" s="234" t="s">
        <v>203</v>
      </c>
      <c r="C70" s="341" t="s">
        <v>1079</v>
      </c>
      <c r="D70" s="221"/>
      <c r="E70" s="217"/>
      <c r="F70" s="217"/>
      <c r="G70" s="217"/>
      <c r="H70" s="217"/>
      <c r="I70" s="218"/>
    </row>
    <row r="71" spans="1:9" ht="11.25" customHeight="1" x14ac:dyDescent="0.2">
      <c r="A71" s="219">
        <f t="shared" si="2"/>
        <v>6</v>
      </c>
      <c r="B71" s="234" t="s">
        <v>204</v>
      </c>
      <c r="C71" s="328" t="s">
        <v>1222</v>
      </c>
      <c r="D71" s="221"/>
      <c r="E71" s="217"/>
      <c r="F71" s="217"/>
      <c r="G71" s="217"/>
      <c r="H71" s="217"/>
      <c r="I71" s="218"/>
    </row>
    <row r="72" spans="1:9" ht="11.25" customHeight="1" x14ac:dyDescent="0.2">
      <c r="A72" s="219">
        <f t="shared" si="2"/>
        <v>7</v>
      </c>
      <c r="B72" s="234" t="s">
        <v>205</v>
      </c>
      <c r="C72" s="328" t="s">
        <v>1223</v>
      </c>
      <c r="D72" s="221"/>
      <c r="E72" s="217"/>
      <c r="F72" s="217"/>
      <c r="G72" s="217"/>
      <c r="H72" s="217"/>
      <c r="I72" s="218"/>
    </row>
    <row r="73" spans="1:9" ht="11.25" customHeight="1" x14ac:dyDescent="0.2">
      <c r="A73" s="439">
        <f t="shared" si="2"/>
        <v>8</v>
      </c>
      <c r="B73" s="235" t="s">
        <v>206</v>
      </c>
      <c r="C73" s="783" t="s">
        <v>1051</v>
      </c>
      <c r="D73" s="430"/>
      <c r="E73" s="236"/>
      <c r="F73" s="236"/>
      <c r="G73" s="236"/>
      <c r="H73" s="236"/>
      <c r="I73" s="237"/>
    </row>
  </sheetData>
  <mergeCells count="4">
    <mergeCell ref="D1:G1"/>
    <mergeCell ref="D2:G2"/>
    <mergeCell ref="A3:B3"/>
    <mergeCell ref="A4:B4"/>
  </mergeCells>
  <printOptions gridLines="1"/>
  <pageMargins left="0.9055118110236221" right="0.70866141732283472" top="0.35433070866141736" bottom="0.35433070866141736" header="0.31496062992125984" footer="0.31496062992125984"/>
  <pageSetup paperSize="9" scale="67" fitToHeight="1000"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I73"/>
  <sheetViews>
    <sheetView view="pageBreakPreview" zoomScale="110" zoomScaleNormal="110" zoomScaleSheetLayoutView="110" workbookViewId="0">
      <selection activeCell="C5" sqref="C5"/>
    </sheetView>
  </sheetViews>
  <sheetFormatPr defaultRowHeight="12.75" x14ac:dyDescent="0.2"/>
  <cols>
    <col min="1" max="1" width="2.85546875" style="458" customWidth="1"/>
    <col min="2" max="2" width="31.85546875" style="1" customWidth="1"/>
    <col min="3" max="3" width="39.85546875" style="1" customWidth="1"/>
    <col min="4" max="9" width="8.7109375" style="458" customWidth="1"/>
    <col min="10" max="16384" width="9.140625" style="458"/>
  </cols>
  <sheetData>
    <row r="1" spans="1:9" ht="11.1" customHeight="1" x14ac:dyDescent="0.2">
      <c r="A1" s="205" t="s">
        <v>66</v>
      </c>
      <c r="B1" s="115"/>
      <c r="C1" s="115"/>
      <c r="D1" s="922" t="str">
        <f>'F24'!D1:G1</f>
        <v>AS OF: 11-Oct-2017</v>
      </c>
      <c r="E1" s="923"/>
      <c r="F1" s="923"/>
      <c r="G1" s="923"/>
      <c r="H1" s="207" t="s">
        <v>144</v>
      </c>
      <c r="I1" s="208">
        <f>H4</f>
        <v>42979</v>
      </c>
    </row>
    <row r="2" spans="1:9" ht="11.1" customHeight="1" x14ac:dyDescent="0.2">
      <c r="A2" s="209" t="s">
        <v>1501</v>
      </c>
      <c r="B2" s="345"/>
      <c r="C2" s="345"/>
      <c r="D2" s="924" t="s">
        <v>1499</v>
      </c>
      <c r="E2" s="925"/>
      <c r="F2" s="925"/>
      <c r="G2" s="925"/>
      <c r="H2" s="210" t="s">
        <v>145</v>
      </c>
      <c r="I2" s="211">
        <v>1</v>
      </c>
    </row>
    <row r="3" spans="1:9" ht="11.1" customHeight="1" x14ac:dyDescent="0.2">
      <c r="A3" s="926"/>
      <c r="B3" s="927"/>
      <c r="C3" s="748"/>
      <c r="D3" s="428" t="s">
        <v>146</v>
      </c>
      <c r="E3" s="429" t="s">
        <v>146</v>
      </c>
      <c r="F3" s="429" t="s">
        <v>147</v>
      </c>
      <c r="G3" s="429" t="s">
        <v>147</v>
      </c>
      <c r="H3" s="429" t="s">
        <v>147</v>
      </c>
      <c r="I3" s="605" t="s">
        <v>147</v>
      </c>
    </row>
    <row r="4" spans="1:9" ht="11.1" customHeight="1" x14ac:dyDescent="0.2">
      <c r="A4" s="928"/>
      <c r="B4" s="929"/>
      <c r="C4" s="749"/>
      <c r="D4" s="212">
        <v>42430</v>
      </c>
      <c r="E4" s="213">
        <v>42795</v>
      </c>
      <c r="F4" s="213">
        <v>42917</v>
      </c>
      <c r="G4" s="213">
        <v>42948</v>
      </c>
      <c r="H4" s="213">
        <v>42979</v>
      </c>
      <c r="I4" s="606">
        <f>H4</f>
        <v>42979</v>
      </c>
    </row>
    <row r="5" spans="1:9" ht="11.1" customHeight="1" x14ac:dyDescent="0.2">
      <c r="A5" s="214">
        <v>1</v>
      </c>
      <c r="B5" s="215" t="s">
        <v>148</v>
      </c>
      <c r="C5" s="784" t="str">
        <f>'F30'!C5</f>
        <v>1000 to 1099Debit, 3000 to 3099Debit</v>
      </c>
      <c r="D5" s="216"/>
      <c r="E5" s="217"/>
      <c r="F5" s="217"/>
      <c r="G5" s="217"/>
      <c r="H5" s="217"/>
      <c r="I5" s="218"/>
    </row>
    <row r="6" spans="1:9" ht="11.1" customHeight="1" x14ac:dyDescent="0.2">
      <c r="A6" s="219">
        <f>A5+1</f>
        <v>2</v>
      </c>
      <c r="B6" s="220" t="s">
        <v>149</v>
      </c>
      <c r="C6" s="785" t="str">
        <f>'F30'!C6</f>
        <v>1100 to 1199</v>
      </c>
      <c r="D6" s="221"/>
      <c r="E6" s="217"/>
      <c r="F6" s="217"/>
      <c r="G6" s="217"/>
      <c r="H6" s="217"/>
      <c r="I6" s="218"/>
    </row>
    <row r="7" spans="1:9" ht="11.1" customHeight="1" x14ac:dyDescent="0.2">
      <c r="A7" s="219">
        <f>A6+1</f>
        <v>3</v>
      </c>
      <c r="B7" s="220" t="s">
        <v>150</v>
      </c>
      <c r="C7" s="785" t="str">
        <f>'F30'!C7</f>
        <v>1200 to 1299</v>
      </c>
      <c r="D7" s="221"/>
      <c r="E7" s="217"/>
      <c r="F7" s="217"/>
      <c r="G7" s="217"/>
      <c r="H7" s="217"/>
      <c r="I7" s="218"/>
    </row>
    <row r="8" spans="1:9" ht="11.1" customHeight="1" x14ac:dyDescent="0.2">
      <c r="A8" s="219">
        <f t="shared" ref="A8:A64" si="0">A7+1</f>
        <v>4</v>
      </c>
      <c r="B8" s="220" t="s">
        <v>151</v>
      </c>
      <c r="C8" s="785" t="str">
        <f>'F30'!C8</f>
        <v>1300 to 1399, 1499</v>
      </c>
      <c r="D8" s="221"/>
      <c r="E8" s="217"/>
      <c r="F8" s="217"/>
      <c r="G8" s="217"/>
      <c r="H8" s="217"/>
      <c r="I8" s="218"/>
    </row>
    <row r="9" spans="1:9" ht="11.1" customHeight="1" x14ac:dyDescent="0.2">
      <c r="A9" s="219">
        <f t="shared" si="0"/>
        <v>5</v>
      </c>
      <c r="B9" s="220" t="s">
        <v>152</v>
      </c>
      <c r="C9" s="785" t="str">
        <f>'F30'!C9</f>
        <v>1411 to 1433</v>
      </c>
      <c r="D9" s="221"/>
      <c r="E9" s="217"/>
      <c r="F9" s="217"/>
      <c r="G9" s="217"/>
      <c r="H9" s="217"/>
      <c r="I9" s="218"/>
    </row>
    <row r="10" spans="1:9" ht="11.25" customHeight="1" x14ac:dyDescent="0.2">
      <c r="A10" s="219">
        <f t="shared" si="0"/>
        <v>6</v>
      </c>
      <c r="B10" s="220" t="s">
        <v>153</v>
      </c>
      <c r="C10" s="785" t="str">
        <f>'F30'!C10</f>
        <v>1401 to 1404</v>
      </c>
      <c r="D10" s="221"/>
      <c r="E10" s="217"/>
      <c r="F10" s="217"/>
      <c r="G10" s="217"/>
      <c r="H10" s="217"/>
      <c r="I10" s="218"/>
    </row>
    <row r="11" spans="1:9" ht="11.25" customHeight="1" x14ac:dyDescent="0.2">
      <c r="A11" s="219">
        <f t="shared" si="0"/>
        <v>7</v>
      </c>
      <c r="B11" s="220" t="s">
        <v>154</v>
      </c>
      <c r="C11" s="785" t="str">
        <f>'F30'!C11</f>
        <v>1501 to 1699 Except 1502</v>
      </c>
      <c r="D11" s="221"/>
      <c r="E11" s="217"/>
      <c r="F11" s="217"/>
      <c r="G11" s="217"/>
      <c r="H11" s="217"/>
      <c r="I11" s="218"/>
    </row>
    <row r="12" spans="1:9" x14ac:dyDescent="0.2">
      <c r="A12" s="219">
        <f t="shared" si="0"/>
        <v>8</v>
      </c>
      <c r="B12" s="220" t="s">
        <v>155</v>
      </c>
      <c r="C12" s="785" t="str">
        <f>'F30'!C12</f>
        <v>1700, 1800 to 1999</v>
      </c>
      <c r="D12" s="221"/>
      <c r="E12" s="217"/>
      <c r="F12" s="217"/>
      <c r="G12" s="217"/>
      <c r="H12" s="217"/>
      <c r="I12" s="218"/>
    </row>
    <row r="13" spans="1:9" ht="12" customHeight="1" x14ac:dyDescent="0.2">
      <c r="A13" s="427">
        <f t="shared" si="0"/>
        <v>9</v>
      </c>
      <c r="B13" s="222" t="s">
        <v>156</v>
      </c>
      <c r="C13" s="786" t="str">
        <f>'F30'!C13</f>
        <v>=SUM(C5:C12)</v>
      </c>
      <c r="D13" s="223"/>
      <c r="E13" s="224"/>
      <c r="F13" s="224"/>
      <c r="G13" s="224"/>
      <c r="H13" s="225"/>
      <c r="I13" s="226"/>
    </row>
    <row r="14" spans="1:9" ht="11.1" customHeight="1" x14ac:dyDescent="0.2">
      <c r="A14" s="219">
        <f t="shared" si="0"/>
        <v>10</v>
      </c>
      <c r="B14" s="220" t="s">
        <v>1234</v>
      </c>
      <c r="C14" s="785" t="str">
        <f>'F30'!C14</f>
        <v>2001 (Exclude A-Z)</v>
      </c>
      <c r="D14" s="221"/>
      <c r="E14" s="217"/>
      <c r="F14" s="217"/>
      <c r="G14" s="217"/>
      <c r="H14" s="217"/>
      <c r="I14" s="218"/>
    </row>
    <row r="15" spans="1:9" ht="11.1" customHeight="1" x14ac:dyDescent="0.2">
      <c r="A15" s="219">
        <f t="shared" si="0"/>
        <v>11</v>
      </c>
      <c r="B15" s="220" t="s">
        <v>158</v>
      </c>
      <c r="C15" s="785" t="str">
        <f>'F30'!C15</f>
        <v>2002 to 2019 (Exclude A-Z)</v>
      </c>
      <c r="D15" s="221"/>
      <c r="E15" s="217"/>
      <c r="F15" s="217"/>
      <c r="G15" s="217"/>
      <c r="H15" s="217"/>
      <c r="I15" s="218"/>
    </row>
    <row r="16" spans="1:9" ht="11.1" customHeight="1" x14ac:dyDescent="0.2">
      <c r="A16" s="219">
        <f t="shared" si="0"/>
        <v>12</v>
      </c>
      <c r="B16" s="220" t="s">
        <v>159</v>
      </c>
      <c r="C16" s="785" t="str">
        <f>'F30'!C16</f>
        <v>2021 (Exclude A-Z)</v>
      </c>
      <c r="D16" s="221"/>
      <c r="E16" s="217"/>
      <c r="F16" s="217"/>
      <c r="G16" s="217"/>
      <c r="H16" s="217"/>
      <c r="I16" s="218"/>
    </row>
    <row r="17" spans="1:9" ht="11.1" customHeight="1" x14ac:dyDescent="0.2">
      <c r="A17" s="219">
        <f t="shared" si="0"/>
        <v>13</v>
      </c>
      <c r="B17" s="220" t="s">
        <v>160</v>
      </c>
      <c r="C17" s="785" t="str">
        <f>'F30'!C17</f>
        <v>2022 (Exclude A-Z)</v>
      </c>
      <c r="D17" s="221"/>
      <c r="E17" s="217"/>
      <c r="F17" s="217"/>
      <c r="G17" s="217"/>
      <c r="H17" s="217"/>
      <c r="I17" s="218"/>
    </row>
    <row r="18" spans="1:9" ht="11.1" customHeight="1" x14ac:dyDescent="0.2">
      <c r="A18" s="219">
        <f t="shared" si="0"/>
        <v>14</v>
      </c>
      <c r="B18" s="220" t="s">
        <v>161</v>
      </c>
      <c r="C18" s="785" t="str">
        <f>'F30'!C18</f>
        <v>2031 to 2099 (Exclude A-Z)</v>
      </c>
      <c r="D18" s="221"/>
      <c r="E18" s="217"/>
      <c r="F18" s="217"/>
      <c r="G18" s="217"/>
      <c r="H18" s="217"/>
      <c r="I18" s="218"/>
    </row>
    <row r="19" spans="1:9" ht="11.1" customHeight="1" x14ac:dyDescent="0.2">
      <c r="A19" s="219">
        <f t="shared" si="0"/>
        <v>15</v>
      </c>
      <c r="B19" s="220" t="s">
        <v>162</v>
      </c>
      <c r="C19" s="785" t="str">
        <f>'F30'!C19</f>
        <v>2101 to 2200 (Exclude A-Z)</v>
      </c>
      <c r="D19" s="221"/>
      <c r="E19" s="217"/>
      <c r="F19" s="217"/>
      <c r="G19" s="217"/>
      <c r="H19" s="217"/>
      <c r="I19" s="218"/>
    </row>
    <row r="20" spans="1:9" ht="11.1" customHeight="1" x14ac:dyDescent="0.2">
      <c r="A20" s="219">
        <f t="shared" si="0"/>
        <v>16</v>
      </c>
      <c r="B20" s="220" t="s">
        <v>163</v>
      </c>
      <c r="C20" s="785" t="str">
        <f>'F30'!C20</f>
        <v>2201 to 2299 (Exclude A-Z)</v>
      </c>
      <c r="D20" s="221"/>
      <c r="E20" s="217"/>
      <c r="F20" s="217"/>
      <c r="G20" s="217"/>
      <c r="H20" s="217"/>
      <c r="I20" s="218"/>
    </row>
    <row r="21" spans="1:9" ht="11.25" customHeight="1" x14ac:dyDescent="0.2">
      <c r="A21" s="219">
        <f t="shared" si="0"/>
        <v>17</v>
      </c>
      <c r="B21" s="227" t="s">
        <v>164</v>
      </c>
      <c r="C21" s="787" t="str">
        <f>'F30'!C21</f>
        <v>2301 to 2399 (Exclude A-Z)</v>
      </c>
      <c r="D21" s="221"/>
      <c r="E21" s="217"/>
      <c r="F21" s="217"/>
      <c r="G21" s="217"/>
      <c r="H21" s="217"/>
      <c r="I21" s="218"/>
    </row>
    <row r="22" spans="1:9" ht="11.25" customHeight="1" x14ac:dyDescent="0.2">
      <c r="A22" s="219">
        <f t="shared" si="0"/>
        <v>18</v>
      </c>
      <c r="B22" s="220" t="s">
        <v>165</v>
      </c>
      <c r="C22" s="785" t="str">
        <f>'F30'!C22</f>
        <v>2401 to 2499 (Exclude A-Z)</v>
      </c>
      <c r="D22" s="221"/>
      <c r="E22" s="217"/>
      <c r="F22" s="217"/>
      <c r="G22" s="217"/>
      <c r="H22" s="217"/>
      <c r="I22" s="218"/>
    </row>
    <row r="23" spans="1:9" x14ac:dyDescent="0.2">
      <c r="A23" s="219">
        <f t="shared" si="0"/>
        <v>19</v>
      </c>
      <c r="B23" s="220" t="s">
        <v>1289</v>
      </c>
      <c r="C23" s="785" t="str">
        <f>'F30'!C23</f>
        <v>2001 to 2499 A-Z</v>
      </c>
      <c r="D23" s="221"/>
      <c r="E23" s="217"/>
      <c r="F23" s="217"/>
      <c r="G23" s="217"/>
      <c r="H23" s="217"/>
      <c r="I23" s="218"/>
    </row>
    <row r="24" spans="1:9" ht="10.5" customHeight="1" x14ac:dyDescent="0.2">
      <c r="A24" s="427">
        <f t="shared" si="0"/>
        <v>20</v>
      </c>
      <c r="B24" s="222" t="s">
        <v>166</v>
      </c>
      <c r="C24" s="786" t="str">
        <f>'F30'!C24</f>
        <v>=SUM(C14:C23)</v>
      </c>
      <c r="D24" s="223"/>
      <c r="E24" s="224"/>
      <c r="F24" s="224"/>
      <c r="G24" s="224"/>
      <c r="H24" s="225"/>
      <c r="I24" s="226"/>
    </row>
    <row r="25" spans="1:9" ht="11.1" customHeight="1" x14ac:dyDescent="0.2">
      <c r="A25" s="219">
        <f t="shared" si="0"/>
        <v>21</v>
      </c>
      <c r="B25" s="220" t="s">
        <v>167</v>
      </c>
      <c r="C25" s="785" t="str">
        <f>'F30'!C25</f>
        <v>2501 (Exclude Z)</v>
      </c>
      <c r="D25" s="221"/>
      <c r="E25" s="217"/>
      <c r="F25" s="217"/>
      <c r="G25" s="217"/>
      <c r="H25" s="217"/>
      <c r="I25" s="218"/>
    </row>
    <row r="26" spans="1:9" ht="11.1" customHeight="1" x14ac:dyDescent="0.2">
      <c r="A26" s="219">
        <f t="shared" si="0"/>
        <v>22</v>
      </c>
      <c r="B26" s="220" t="s">
        <v>168</v>
      </c>
      <c r="C26" s="785" t="str">
        <f>'F30'!C26</f>
        <v>2502 to 2699 (Exclude Z)</v>
      </c>
      <c r="D26" s="221"/>
      <c r="E26" s="217"/>
      <c r="F26" s="217"/>
      <c r="G26" s="217"/>
      <c r="H26" s="217"/>
      <c r="I26" s="218"/>
    </row>
    <row r="27" spans="1:9" ht="11.1" customHeight="1" x14ac:dyDescent="0.2">
      <c r="A27" s="219">
        <f t="shared" si="0"/>
        <v>23</v>
      </c>
      <c r="B27" s="220" t="s">
        <v>169</v>
      </c>
      <c r="C27" s="785" t="str">
        <f>'F30'!C27</f>
        <v>2701 to 2719</v>
      </c>
      <c r="D27" s="221"/>
      <c r="E27" s="217"/>
      <c r="F27" s="217"/>
      <c r="G27" s="217"/>
      <c r="H27" s="217"/>
      <c r="I27" s="218"/>
    </row>
    <row r="28" spans="1:9" ht="11.1" customHeight="1" x14ac:dyDescent="0.2">
      <c r="A28" s="219">
        <f t="shared" si="0"/>
        <v>24</v>
      </c>
      <c r="B28" s="220" t="s">
        <v>153</v>
      </c>
      <c r="C28" s="785" t="str">
        <f>'F30'!C28</f>
        <v>2721</v>
      </c>
      <c r="D28" s="221"/>
      <c r="E28" s="217"/>
      <c r="F28" s="217"/>
      <c r="G28" s="217"/>
      <c r="H28" s="217"/>
      <c r="I28" s="218"/>
    </row>
    <row r="29" spans="1:9" ht="11.1" customHeight="1" x14ac:dyDescent="0.2">
      <c r="A29" s="219">
        <f t="shared" si="0"/>
        <v>25</v>
      </c>
      <c r="B29" s="220" t="s">
        <v>152</v>
      </c>
      <c r="C29" s="785" t="str">
        <f>'F30'!C29</f>
        <v>2722 to 2723</v>
      </c>
      <c r="D29" s="221"/>
      <c r="E29" s="217"/>
      <c r="F29" s="217"/>
      <c r="G29" s="217"/>
      <c r="H29" s="217"/>
      <c r="I29" s="218"/>
    </row>
    <row r="30" spans="1:9" ht="11.1" customHeight="1" x14ac:dyDescent="0.2">
      <c r="A30" s="219">
        <f t="shared" si="0"/>
        <v>26</v>
      </c>
      <c r="B30" s="220" t="s">
        <v>170</v>
      </c>
      <c r="C30" s="785" t="str">
        <f>'F30'!C30</f>
        <v>2724 to 2799</v>
      </c>
      <c r="D30" s="221"/>
      <c r="E30" s="217"/>
      <c r="F30" s="217"/>
      <c r="G30" s="217"/>
      <c r="H30" s="217"/>
      <c r="I30" s="218"/>
    </row>
    <row r="31" spans="1:9" ht="11.1" customHeight="1" x14ac:dyDescent="0.2">
      <c r="A31" s="219">
        <f t="shared" si="0"/>
        <v>27</v>
      </c>
      <c r="B31" s="220" t="s">
        <v>171</v>
      </c>
      <c r="C31" s="785" t="str">
        <f>'F30'!C31</f>
        <v>2811 to 2899</v>
      </c>
      <c r="D31" s="221"/>
      <c r="E31" s="217"/>
      <c r="F31" s="217"/>
      <c r="G31" s="217"/>
      <c r="H31" s="217"/>
      <c r="I31" s="218"/>
    </row>
    <row r="32" spans="1:9" ht="11.1" customHeight="1" x14ac:dyDescent="0.2">
      <c r="A32" s="219">
        <f t="shared" si="0"/>
        <v>28</v>
      </c>
      <c r="B32" s="220" t="s">
        <v>523</v>
      </c>
      <c r="C32" s="785" t="str">
        <f>'F30'!C32</f>
        <v>1502, 2801 to 2809</v>
      </c>
      <c r="D32" s="221"/>
      <c r="E32" s="217"/>
      <c r="F32" s="217"/>
      <c r="G32" s="217"/>
      <c r="H32" s="217"/>
      <c r="I32" s="218"/>
    </row>
    <row r="33" spans="1:9" ht="11.1" customHeight="1" x14ac:dyDescent="0.2">
      <c r="A33" s="219">
        <f t="shared" si="0"/>
        <v>29</v>
      </c>
      <c r="B33" s="220" t="s">
        <v>172</v>
      </c>
      <c r="C33" s="785" t="str">
        <f>'F30'!C33</f>
        <v>2901 to 2999</v>
      </c>
      <c r="D33" s="221"/>
      <c r="E33" s="217"/>
      <c r="F33" s="217"/>
      <c r="G33" s="217"/>
      <c r="H33" s="217"/>
      <c r="I33" s="218"/>
    </row>
    <row r="34" spans="1:9" ht="11.1" customHeight="1" x14ac:dyDescent="0.2">
      <c r="A34" s="219">
        <f t="shared" si="0"/>
        <v>30</v>
      </c>
      <c r="B34" s="220" t="s">
        <v>173</v>
      </c>
      <c r="C34" s="785" t="str">
        <f>'F30'!C34</f>
        <v>2501 to 2601Z</v>
      </c>
      <c r="D34" s="221"/>
      <c r="E34" s="217"/>
      <c r="F34" s="217"/>
      <c r="G34" s="217"/>
      <c r="H34" s="217"/>
      <c r="I34" s="218"/>
    </row>
    <row r="35" spans="1:9" ht="11.1" customHeight="1" x14ac:dyDescent="0.2">
      <c r="A35" s="427">
        <f t="shared" si="0"/>
        <v>31</v>
      </c>
      <c r="B35" s="222" t="s">
        <v>174</v>
      </c>
      <c r="C35" s="786" t="str">
        <f>'F30'!C35</f>
        <v>=SUM(C24:C34)</v>
      </c>
      <c r="D35" s="223"/>
      <c r="E35" s="224"/>
      <c r="F35" s="224"/>
      <c r="G35" s="224"/>
      <c r="H35" s="225"/>
      <c r="I35" s="226"/>
    </row>
    <row r="36" spans="1:9" ht="11.1" customHeight="1" x14ac:dyDescent="0.2">
      <c r="A36" s="427">
        <f t="shared" si="0"/>
        <v>32</v>
      </c>
      <c r="B36" s="222" t="s">
        <v>175</v>
      </c>
      <c r="C36" s="786" t="str">
        <f>'F30'!C36</f>
        <v>=C13+C35</v>
      </c>
      <c r="D36" s="223"/>
      <c r="E36" s="224"/>
      <c r="F36" s="224"/>
      <c r="G36" s="224"/>
      <c r="H36" s="225"/>
      <c r="I36" s="226"/>
    </row>
    <row r="37" spans="1:9" ht="11.1" customHeight="1" x14ac:dyDescent="0.2">
      <c r="A37" s="219">
        <f t="shared" si="0"/>
        <v>33</v>
      </c>
      <c r="B37" s="438" t="s">
        <v>176</v>
      </c>
      <c r="C37" s="788" t="str">
        <f>'F30'!C37</f>
        <v>1000 to 1099Credit, 3000 to 3099Credit, 3100 to 3199</v>
      </c>
      <c r="D37" s="221"/>
      <c r="E37" s="217"/>
      <c r="F37" s="217"/>
      <c r="G37" s="217"/>
      <c r="H37" s="217"/>
      <c r="I37" s="218"/>
    </row>
    <row r="38" spans="1:9" ht="11.1" customHeight="1" x14ac:dyDescent="0.2">
      <c r="A38" s="219">
        <f t="shared" si="0"/>
        <v>34</v>
      </c>
      <c r="B38" s="220" t="s">
        <v>177</v>
      </c>
      <c r="C38" s="785" t="str">
        <f>'F30'!C38</f>
        <v>3200 to 3299</v>
      </c>
      <c r="D38" s="221"/>
      <c r="E38" s="217"/>
      <c r="F38" s="217"/>
      <c r="G38" s="217"/>
      <c r="H38" s="217"/>
      <c r="I38" s="218"/>
    </row>
    <row r="39" spans="1:9" ht="11.1" customHeight="1" x14ac:dyDescent="0.2">
      <c r="A39" s="219">
        <f t="shared" si="0"/>
        <v>35</v>
      </c>
      <c r="B39" s="220" t="s">
        <v>178</v>
      </c>
      <c r="C39" s="785" t="str">
        <f>'F30'!C39</f>
        <v>3300 to 3399</v>
      </c>
      <c r="D39" s="221"/>
      <c r="E39" s="217"/>
      <c r="F39" s="217"/>
      <c r="G39" s="217"/>
      <c r="H39" s="217"/>
      <c r="I39" s="218"/>
    </row>
    <row r="40" spans="1:9" ht="11.1" customHeight="1" x14ac:dyDescent="0.2">
      <c r="A40" s="219">
        <f t="shared" si="0"/>
        <v>36</v>
      </c>
      <c r="B40" s="220" t="s">
        <v>179</v>
      </c>
      <c r="C40" s="785" t="str">
        <f>'F30'!C40</f>
        <v>3400 to 3499</v>
      </c>
      <c r="D40" s="221"/>
      <c r="E40" s="217"/>
      <c r="F40" s="217"/>
      <c r="G40" s="217"/>
      <c r="H40" s="217"/>
      <c r="I40" s="218"/>
    </row>
    <row r="41" spans="1:9" ht="11.1" customHeight="1" x14ac:dyDescent="0.2">
      <c r="A41" s="219">
        <f t="shared" si="0"/>
        <v>37</v>
      </c>
      <c r="B41" s="220" t="s">
        <v>180</v>
      </c>
      <c r="C41" s="785" t="str">
        <f>'F30'!C41</f>
        <v>3500 to 3599</v>
      </c>
      <c r="D41" s="221"/>
      <c r="E41" s="217"/>
      <c r="F41" s="217"/>
      <c r="G41" s="217"/>
      <c r="H41" s="217"/>
      <c r="I41" s="218"/>
    </row>
    <row r="42" spans="1:9" ht="11.1" customHeight="1" x14ac:dyDescent="0.2">
      <c r="A42" s="219">
        <f t="shared" si="0"/>
        <v>38</v>
      </c>
      <c r="B42" s="220" t="s">
        <v>181</v>
      </c>
      <c r="C42" s="785" t="str">
        <f>'F30'!C42</f>
        <v>3601 to 3611, 3799</v>
      </c>
      <c r="D42" s="221"/>
      <c r="E42" s="217"/>
      <c r="F42" s="217"/>
      <c r="G42" s="217"/>
      <c r="H42" s="217"/>
      <c r="I42" s="218"/>
    </row>
    <row r="43" spans="1:9" ht="11.1" customHeight="1" x14ac:dyDescent="0.2">
      <c r="A43" s="219">
        <f t="shared" si="0"/>
        <v>39</v>
      </c>
      <c r="B43" s="220" t="s">
        <v>182</v>
      </c>
      <c r="C43" s="785" t="str">
        <f>'F30'!C43</f>
        <v>3613 to 3615, 3704 to 3719, 3731</v>
      </c>
      <c r="D43" s="221"/>
      <c r="E43" s="217"/>
      <c r="F43" s="217"/>
      <c r="G43" s="217"/>
      <c r="H43" s="217"/>
      <c r="I43" s="218"/>
    </row>
    <row r="44" spans="1:9" ht="11.1" customHeight="1" x14ac:dyDescent="0.2">
      <c r="A44" s="219">
        <f t="shared" si="0"/>
        <v>40</v>
      </c>
      <c r="B44" s="220" t="s">
        <v>183</v>
      </c>
      <c r="C44" s="785" t="str">
        <f>'F30'!C44</f>
        <v>3612, 3701 to 3703</v>
      </c>
      <c r="D44" s="221"/>
      <c r="E44" s="217"/>
      <c r="F44" s="217"/>
      <c r="G44" s="217"/>
      <c r="H44" s="217"/>
      <c r="I44" s="218"/>
    </row>
    <row r="45" spans="1:9" ht="11.1" customHeight="1" x14ac:dyDescent="0.2">
      <c r="A45" s="219">
        <f t="shared" si="0"/>
        <v>41</v>
      </c>
      <c r="B45" s="220" t="s">
        <v>184</v>
      </c>
      <c r="C45" s="785" t="str">
        <f>'F30'!C45</f>
        <v xml:space="preserve">3801 to 3899 </v>
      </c>
      <c r="D45" s="221"/>
      <c r="E45" s="217"/>
      <c r="F45" s="217"/>
      <c r="G45" s="217"/>
      <c r="H45" s="217"/>
      <c r="I45" s="218"/>
    </row>
    <row r="46" spans="1:9" ht="10.5" customHeight="1" x14ac:dyDescent="0.2">
      <c r="A46" s="219">
        <f t="shared" si="0"/>
        <v>42</v>
      </c>
      <c r="B46" s="220" t="s">
        <v>185</v>
      </c>
      <c r="C46" s="785" t="str">
        <f>'F30'!C46</f>
        <v>3900 to 3999 Except 3970</v>
      </c>
      <c r="D46" s="221"/>
      <c r="E46" s="217"/>
      <c r="F46" s="217"/>
      <c r="G46" s="217"/>
      <c r="H46" s="217"/>
      <c r="I46" s="218"/>
    </row>
    <row r="47" spans="1:9" ht="10.5" customHeight="1" x14ac:dyDescent="0.2">
      <c r="A47" s="427">
        <f t="shared" si="0"/>
        <v>43</v>
      </c>
      <c r="B47" s="222" t="s">
        <v>186</v>
      </c>
      <c r="C47" s="786" t="str">
        <f>'F30'!C47</f>
        <v>=SUM(C37:C46)</v>
      </c>
      <c r="D47" s="223"/>
      <c r="E47" s="224"/>
      <c r="F47" s="224"/>
      <c r="G47" s="224"/>
      <c r="H47" s="225"/>
      <c r="I47" s="226"/>
    </row>
    <row r="48" spans="1:9" ht="11.1" customHeight="1" x14ac:dyDescent="0.2">
      <c r="A48" s="219">
        <f t="shared" si="0"/>
        <v>44</v>
      </c>
      <c r="B48" s="220" t="s">
        <v>187</v>
      </c>
      <c r="C48" s="785" t="str">
        <f>'F30'!C48</f>
        <v>4100 to 4199</v>
      </c>
      <c r="D48" s="221"/>
      <c r="E48" s="217"/>
      <c r="F48" s="217"/>
      <c r="G48" s="217"/>
      <c r="H48" s="217"/>
      <c r="I48" s="218"/>
    </row>
    <row r="49" spans="1:9" ht="11.1" customHeight="1" x14ac:dyDescent="0.2">
      <c r="A49" s="219">
        <f t="shared" si="0"/>
        <v>45</v>
      </c>
      <c r="B49" s="220" t="s">
        <v>188</v>
      </c>
      <c r="C49" s="785" t="str">
        <f>'F30'!C49</f>
        <v>4200 to 4299</v>
      </c>
      <c r="D49" s="221"/>
      <c r="E49" s="217"/>
      <c r="F49" s="217"/>
      <c r="G49" s="217"/>
      <c r="H49" s="217"/>
      <c r="I49" s="218"/>
    </row>
    <row r="50" spans="1:9" ht="11.1" customHeight="1" x14ac:dyDescent="0.2">
      <c r="A50" s="219">
        <f t="shared" si="0"/>
        <v>46</v>
      </c>
      <c r="B50" s="220" t="s">
        <v>182</v>
      </c>
      <c r="C50" s="785" t="str">
        <f>'F30'!C50</f>
        <v>4302 to 4305</v>
      </c>
      <c r="D50" s="221"/>
      <c r="E50" s="217"/>
      <c r="F50" s="217"/>
      <c r="G50" s="217"/>
      <c r="H50" s="217"/>
      <c r="I50" s="218"/>
    </row>
    <row r="51" spans="1:9" ht="11.1" customHeight="1" x14ac:dyDescent="0.2">
      <c r="A51" s="219">
        <f t="shared" si="0"/>
        <v>47</v>
      </c>
      <c r="B51" s="220" t="s">
        <v>183</v>
      </c>
      <c r="C51" s="785" t="str">
        <f>'F30'!C51</f>
        <v>4301</v>
      </c>
      <c r="D51" s="221"/>
      <c r="E51" s="217"/>
      <c r="F51" s="217"/>
      <c r="G51" s="217"/>
      <c r="H51" s="217"/>
      <c r="I51" s="218"/>
    </row>
    <row r="52" spans="1:9" ht="11.1" customHeight="1" x14ac:dyDescent="0.2">
      <c r="A52" s="219">
        <f t="shared" si="0"/>
        <v>48</v>
      </c>
      <c r="B52" s="220" t="s">
        <v>653</v>
      </c>
      <c r="C52" s="785" t="str">
        <f>'F30'!C52</f>
        <v>3721, 4306</v>
      </c>
      <c r="D52" s="221"/>
      <c r="E52" s="217"/>
      <c r="F52" s="217"/>
      <c r="G52" s="217"/>
      <c r="H52" s="217"/>
      <c r="I52" s="218"/>
    </row>
    <row r="53" spans="1:9" ht="11.1" customHeight="1" x14ac:dyDescent="0.2">
      <c r="A53" s="219">
        <f t="shared" si="0"/>
        <v>49</v>
      </c>
      <c r="B53" s="220" t="s">
        <v>523</v>
      </c>
      <c r="C53" s="785" t="str">
        <f>'F30'!C53</f>
        <v>3970, 4450</v>
      </c>
      <c r="D53" s="221"/>
      <c r="E53" s="217"/>
      <c r="F53" s="217"/>
      <c r="G53" s="217"/>
      <c r="H53" s="217"/>
      <c r="I53" s="218"/>
    </row>
    <row r="54" spans="1:9" ht="11.1" customHeight="1" x14ac:dyDescent="0.2">
      <c r="A54" s="219">
        <f t="shared" si="0"/>
        <v>50</v>
      </c>
      <c r="B54" s="220" t="s">
        <v>189</v>
      </c>
      <c r="C54" s="785" t="str">
        <f>'F30'!C54</f>
        <v>4401</v>
      </c>
      <c r="D54" s="221"/>
      <c r="E54" s="217"/>
      <c r="F54" s="217"/>
      <c r="G54" s="217"/>
      <c r="H54" s="217"/>
      <c r="I54" s="218"/>
    </row>
    <row r="55" spans="1:9" ht="11.1" customHeight="1" x14ac:dyDescent="0.2">
      <c r="A55" s="214">
        <f t="shared" si="0"/>
        <v>51</v>
      </c>
      <c r="B55" s="222" t="s">
        <v>190</v>
      </c>
      <c r="C55" s="786" t="str">
        <f>'F30'!C55</f>
        <v>=SUM(C48:C54)</v>
      </c>
      <c r="D55" s="223"/>
      <c r="E55" s="224"/>
      <c r="F55" s="224"/>
      <c r="G55" s="224"/>
      <c r="H55" s="225"/>
      <c r="I55" s="226"/>
    </row>
    <row r="56" spans="1:9" ht="11.1" customHeight="1" x14ac:dyDescent="0.2">
      <c r="A56" s="427">
        <f t="shared" si="0"/>
        <v>52</v>
      </c>
      <c r="B56" s="222" t="s">
        <v>191</v>
      </c>
      <c r="C56" s="786" t="str">
        <f>'F30'!C56</f>
        <v>=C47+C55</v>
      </c>
      <c r="D56" s="223"/>
      <c r="E56" s="224"/>
      <c r="F56" s="224"/>
      <c r="G56" s="224"/>
      <c r="H56" s="225"/>
      <c r="I56" s="226"/>
    </row>
    <row r="57" spans="1:9" ht="11.1" customHeight="1" x14ac:dyDescent="0.2">
      <c r="A57" s="219">
        <f t="shared" si="0"/>
        <v>53</v>
      </c>
      <c r="B57" s="220" t="s">
        <v>1298</v>
      </c>
      <c r="C57" s="785" t="str">
        <f>'F30'!C57</f>
        <v>4501 to 4599, 4801</v>
      </c>
      <c r="D57" s="221"/>
      <c r="E57" s="217"/>
      <c r="F57" s="217"/>
      <c r="G57" s="217"/>
      <c r="H57" s="217"/>
      <c r="I57" s="218"/>
    </row>
    <row r="58" spans="1:9" ht="11.1" customHeight="1" x14ac:dyDescent="0.2">
      <c r="A58" s="219">
        <f t="shared" si="0"/>
        <v>54</v>
      </c>
      <c r="B58" s="220" t="s">
        <v>193</v>
      </c>
      <c r="C58" s="785" t="str">
        <f>'F30'!C58</f>
        <v>4601 to 4700</v>
      </c>
      <c r="D58" s="221"/>
      <c r="E58" s="217"/>
      <c r="F58" s="217"/>
      <c r="G58" s="217"/>
      <c r="H58" s="217"/>
      <c r="I58" s="218"/>
    </row>
    <row r="59" spans="1:9" ht="11.1" customHeight="1" x14ac:dyDescent="0.2">
      <c r="A59" s="219">
        <f t="shared" si="0"/>
        <v>55</v>
      </c>
      <c r="B59" s="298" t="s">
        <v>194</v>
      </c>
      <c r="C59" s="785" t="str">
        <f>'F30'!C59</f>
        <v>4701 to 4899 Except 4801</v>
      </c>
      <c r="D59" s="221"/>
      <c r="E59" s="217"/>
      <c r="F59" s="217"/>
      <c r="G59" s="217"/>
      <c r="H59" s="217"/>
      <c r="I59" s="218"/>
    </row>
    <row r="60" spans="1:9" ht="11.1" customHeight="1" x14ac:dyDescent="0.2">
      <c r="A60" s="219">
        <f>A59+1</f>
        <v>56</v>
      </c>
      <c r="B60" s="298" t="s">
        <v>195</v>
      </c>
      <c r="C60" s="785" t="str">
        <f>'F30'!C60</f>
        <v>4901 to 4909, 5000 to 9999</v>
      </c>
      <c r="D60" s="221"/>
      <c r="E60" s="217"/>
      <c r="F60" s="217"/>
      <c r="G60" s="217"/>
      <c r="H60" s="217"/>
      <c r="I60" s="218"/>
    </row>
    <row r="61" spans="1:9" ht="11.1" customHeight="1" x14ac:dyDescent="0.2">
      <c r="A61" s="219">
        <f t="shared" si="0"/>
        <v>57</v>
      </c>
      <c r="B61" s="298" t="s">
        <v>196</v>
      </c>
      <c r="C61" s="785" t="str">
        <f>'F30'!C61</f>
        <v>4910 to 4919</v>
      </c>
      <c r="D61" s="221"/>
      <c r="E61" s="217"/>
      <c r="F61" s="217"/>
      <c r="G61" s="217"/>
      <c r="H61" s="217"/>
      <c r="I61" s="218"/>
    </row>
    <row r="62" spans="1:9" ht="11.1" customHeight="1" x14ac:dyDescent="0.2">
      <c r="A62" s="219">
        <f t="shared" si="0"/>
        <v>58</v>
      </c>
      <c r="B62" s="298" t="s">
        <v>197</v>
      </c>
      <c r="C62" s="785" t="str">
        <f>'F30'!C62</f>
        <v>4920 to 4999</v>
      </c>
      <c r="D62" s="221"/>
      <c r="E62" s="217"/>
      <c r="F62" s="217"/>
      <c r="G62" s="217"/>
      <c r="H62" s="217"/>
      <c r="I62" s="218"/>
    </row>
    <row r="63" spans="1:9" ht="11.1" customHeight="1" x14ac:dyDescent="0.2">
      <c r="A63" s="427">
        <f t="shared" si="0"/>
        <v>59</v>
      </c>
      <c r="B63" s="299" t="s">
        <v>198</v>
      </c>
      <c r="C63" s="789" t="str">
        <f>'F30'!C63</f>
        <v>=SUM(C57:C62)</v>
      </c>
      <c r="D63" s="223"/>
      <c r="E63" s="224"/>
      <c r="F63" s="224"/>
      <c r="G63" s="224"/>
      <c r="H63" s="225"/>
      <c r="I63" s="226"/>
    </row>
    <row r="64" spans="1:9" ht="11.1" customHeight="1" x14ac:dyDescent="0.2">
      <c r="A64" s="427">
        <f t="shared" si="0"/>
        <v>60</v>
      </c>
      <c r="B64" s="299" t="s">
        <v>199</v>
      </c>
      <c r="C64" s="790" t="str">
        <f>'F30'!C64</f>
        <v>=C56+C63</v>
      </c>
      <c r="D64" s="223"/>
      <c r="E64" s="224"/>
      <c r="F64" s="224"/>
      <c r="G64" s="224"/>
      <c r="H64" s="225"/>
      <c r="I64" s="226"/>
    </row>
    <row r="65" spans="1:9" ht="11.25" customHeight="1" x14ac:dyDescent="0.2">
      <c r="A65" s="427"/>
      <c r="B65" s="338" t="s">
        <v>19</v>
      </c>
      <c r="C65" s="794"/>
      <c r="D65" s="228">
        <f>D4</f>
        <v>42430</v>
      </c>
      <c r="E65" s="229">
        <f>E4</f>
        <v>42795</v>
      </c>
      <c r="F65" s="229">
        <f t="shared" ref="F65:I65" si="1">F4</f>
        <v>42917</v>
      </c>
      <c r="G65" s="229">
        <f t="shared" si="1"/>
        <v>42948</v>
      </c>
      <c r="H65" s="229">
        <f t="shared" si="1"/>
        <v>42979</v>
      </c>
      <c r="I65" s="230">
        <f t="shared" si="1"/>
        <v>42979</v>
      </c>
    </row>
    <row r="66" spans="1:9" ht="11.25" customHeight="1" x14ac:dyDescent="0.2">
      <c r="A66" s="219">
        <v>1</v>
      </c>
      <c r="B66" s="231" t="s">
        <v>200</v>
      </c>
      <c r="C66" s="791" t="str">
        <f>'F30'!C66</f>
        <v>(Trade debtors + provision for debts)/ (External sales + External sales other) x No. of days to date</v>
      </c>
      <c r="D66" s="216"/>
      <c r="E66" s="232"/>
      <c r="F66" s="232"/>
      <c r="G66" s="232"/>
      <c r="H66" s="232"/>
      <c r="I66" s="233"/>
    </row>
    <row r="67" spans="1:9" ht="11.25" customHeight="1" x14ac:dyDescent="0.2">
      <c r="A67" s="219">
        <f>A66+1</f>
        <v>2</v>
      </c>
      <c r="B67" s="234" t="s">
        <v>201</v>
      </c>
      <c r="C67" s="792" t="str">
        <f>'F30'!C67</f>
        <v>(Stock + Provision for stock obsolescence)/ -(Total Cost of sales)  x No. of days to date</v>
      </c>
      <c r="D67" s="221"/>
      <c r="E67" s="217"/>
      <c r="F67" s="217"/>
      <c r="G67" s="217"/>
      <c r="H67" s="217"/>
      <c r="I67" s="218"/>
    </row>
    <row r="68" spans="1:9" ht="11.25" customHeight="1" x14ac:dyDescent="0.2">
      <c r="A68" s="219">
        <f t="shared" ref="A68:A73" si="2">A67+1</f>
        <v>3</v>
      </c>
      <c r="B68" s="231" t="s">
        <v>1231</v>
      </c>
      <c r="C68" s="791" t="str">
        <f>'F30'!C68</f>
        <v>Account Payable/Cost of Goods Sold x No. of days to date</v>
      </c>
      <c r="D68" s="221"/>
      <c r="E68" s="217"/>
      <c r="F68" s="217"/>
      <c r="G68" s="217"/>
      <c r="H68" s="217"/>
      <c r="I68" s="218"/>
    </row>
    <row r="69" spans="1:9" ht="11.25" customHeight="1" x14ac:dyDescent="0.2">
      <c r="A69" s="219">
        <f t="shared" si="2"/>
        <v>4</v>
      </c>
      <c r="B69" s="234" t="s">
        <v>202</v>
      </c>
      <c r="C69" s="792" t="str">
        <f>'F30'!C69</f>
        <v>Total Liabilities / Total Equity</v>
      </c>
      <c r="D69" s="221"/>
      <c r="E69" s="217"/>
      <c r="F69" s="217"/>
      <c r="G69" s="217"/>
      <c r="H69" s="217"/>
      <c r="I69" s="218"/>
    </row>
    <row r="70" spans="1:9" ht="11.25" customHeight="1" x14ac:dyDescent="0.2">
      <c r="A70" s="219">
        <f t="shared" si="2"/>
        <v>5</v>
      </c>
      <c r="B70" s="234" t="s">
        <v>203</v>
      </c>
      <c r="C70" s="792" t="str">
        <f>'F30'!C70</f>
        <v>Total Borrowings / Total Equity. Total Borrowings refers to summation of OD or factoring or revolving credit, Trust receipts or ST loans, current portion of Term Loans, Current HP creditors, Long Term Loans and HP Creditors.</v>
      </c>
      <c r="D70" s="221"/>
      <c r="E70" s="217"/>
      <c r="F70" s="217"/>
      <c r="G70" s="217"/>
      <c r="H70" s="217"/>
      <c r="I70" s="218"/>
    </row>
    <row r="71" spans="1:9" ht="11.25" customHeight="1" x14ac:dyDescent="0.2">
      <c r="A71" s="219">
        <f t="shared" si="2"/>
        <v>6</v>
      </c>
      <c r="B71" s="234" t="s">
        <v>204</v>
      </c>
      <c r="C71" s="792" t="str">
        <f>'F30'!C71</f>
        <v>1301Z</v>
      </c>
      <c r="D71" s="221"/>
      <c r="E71" s="217"/>
      <c r="F71" s="217"/>
      <c r="G71" s="217"/>
      <c r="H71" s="217"/>
      <c r="I71" s="218"/>
    </row>
    <row r="72" spans="1:9" ht="11.25" customHeight="1" x14ac:dyDescent="0.2">
      <c r="A72" s="219">
        <f t="shared" si="2"/>
        <v>7</v>
      </c>
      <c r="B72" s="234" t="s">
        <v>205</v>
      </c>
      <c r="C72" s="792" t="str">
        <f>'F30'!C72</f>
        <v>1201Z, 1221Z, 1241Z, 1242Z, 1241L</v>
      </c>
      <c r="D72" s="221"/>
      <c r="E72" s="217"/>
      <c r="F72" s="217"/>
      <c r="G72" s="217"/>
      <c r="H72" s="217"/>
      <c r="I72" s="218"/>
    </row>
    <row r="73" spans="1:9" ht="11.25" customHeight="1" x14ac:dyDescent="0.2">
      <c r="A73" s="439">
        <f t="shared" si="2"/>
        <v>8</v>
      </c>
      <c r="B73" s="235" t="s">
        <v>206</v>
      </c>
      <c r="C73" s="793" t="str">
        <f>'F30'!C73</f>
        <v>3993</v>
      </c>
      <c r="D73" s="430"/>
      <c r="E73" s="236"/>
      <c r="F73" s="236"/>
      <c r="G73" s="236"/>
      <c r="H73" s="236"/>
      <c r="I73" s="237"/>
    </row>
  </sheetData>
  <mergeCells count="4">
    <mergeCell ref="D1:G1"/>
    <mergeCell ref="D2:G2"/>
    <mergeCell ref="A3:B3"/>
    <mergeCell ref="A4:B4"/>
  </mergeCells>
  <printOptions gridLines="1"/>
  <pageMargins left="0.9055118110236221" right="0.70866141732283472" top="0.35433070866141736" bottom="0.35433070866141736" header="0.31496062992125984" footer="0.31496062992125984"/>
  <pageSetup paperSize="9" scale="97" fitToWidth="0"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65"/>
  <sheetViews>
    <sheetView view="pageBreakPreview" zoomScale="120" zoomScaleNormal="120" zoomScaleSheetLayoutView="120" workbookViewId="0">
      <selection activeCell="B344" sqref="B344"/>
    </sheetView>
  </sheetViews>
  <sheetFormatPr defaultRowHeight="11.25" x14ac:dyDescent="0.2"/>
  <cols>
    <col min="1" max="1" width="4" style="37" customWidth="1"/>
    <col min="2" max="2" width="27.7109375" style="4" customWidth="1"/>
    <col min="3" max="3" width="37.28515625" style="551" customWidth="1"/>
    <col min="4" max="16" width="7.28515625" style="1" customWidth="1"/>
    <col min="17" max="17" width="7.7109375" style="1" customWidth="1"/>
    <col min="18" max="18" width="9.5703125" style="1" bestFit="1" customWidth="1"/>
    <col min="19" max="16384" width="9.140625" style="1"/>
  </cols>
  <sheetData>
    <row r="1" spans="1:18" ht="12.75" customHeight="1" x14ac:dyDescent="0.2">
      <c r="A1" s="490" t="s">
        <v>66</v>
      </c>
      <c r="B1" s="206"/>
      <c r="C1" s="491"/>
      <c r="D1" s="854" t="str">
        <f>'F22'!D1:N1</f>
        <v>AS OF: 11-Oct-2017</v>
      </c>
      <c r="E1" s="855"/>
      <c r="F1" s="855"/>
      <c r="G1" s="855"/>
      <c r="H1" s="855"/>
      <c r="I1" s="855"/>
      <c r="J1" s="855"/>
      <c r="K1" s="855"/>
      <c r="L1" s="855"/>
      <c r="M1" s="856"/>
      <c r="N1" s="933" t="str">
        <f>'F22'!O1</f>
        <v>FOR THE YEAR OF:   2018</v>
      </c>
      <c r="O1" s="846"/>
      <c r="P1" s="846"/>
      <c r="Q1" s="846"/>
      <c r="R1" s="934"/>
    </row>
    <row r="2" spans="1:18" ht="12.75" customHeight="1" x14ac:dyDescent="0.2">
      <c r="A2" s="930" t="s">
        <v>1471</v>
      </c>
      <c r="B2" s="860"/>
      <c r="C2" s="491"/>
      <c r="D2" s="847" t="s">
        <v>209</v>
      </c>
      <c r="E2" s="848"/>
      <c r="F2" s="848"/>
      <c r="G2" s="848"/>
      <c r="H2" s="848"/>
      <c r="I2" s="848"/>
      <c r="J2" s="848"/>
      <c r="K2" s="848"/>
      <c r="L2" s="848"/>
      <c r="M2" s="848"/>
      <c r="N2" s="848"/>
      <c r="O2" s="848"/>
      <c r="P2" s="848"/>
      <c r="Q2" s="848"/>
      <c r="R2" s="849"/>
    </row>
    <row r="3" spans="1:18" ht="12.75" customHeight="1" x14ac:dyDescent="0.2">
      <c r="A3" s="931"/>
      <c r="B3" s="932"/>
      <c r="C3" s="492"/>
      <c r="D3" s="100">
        <v>42826</v>
      </c>
      <c r="E3" s="100">
        <v>42856</v>
      </c>
      <c r="F3" s="100">
        <v>42887</v>
      </c>
      <c r="G3" s="100">
        <v>42917</v>
      </c>
      <c r="H3" s="100">
        <v>42948</v>
      </c>
      <c r="I3" s="100">
        <v>42979</v>
      </c>
      <c r="J3" s="100">
        <v>43009</v>
      </c>
      <c r="K3" s="100">
        <v>43040</v>
      </c>
      <c r="L3" s="100">
        <v>43070</v>
      </c>
      <c r="M3" s="100">
        <v>43101</v>
      </c>
      <c r="N3" s="270">
        <v>43132</v>
      </c>
      <c r="O3" s="270">
        <v>43160</v>
      </c>
      <c r="P3" s="130" t="s">
        <v>87</v>
      </c>
      <c r="Q3" s="579" t="s">
        <v>1493</v>
      </c>
      <c r="R3" s="307" t="s">
        <v>1326</v>
      </c>
    </row>
    <row r="4" spans="1:18" x14ac:dyDescent="0.2">
      <c r="A4" s="111">
        <v>1</v>
      </c>
      <c r="B4" s="93" t="s">
        <v>210</v>
      </c>
      <c r="C4" s="493" t="s">
        <v>726</v>
      </c>
      <c r="D4" s="101"/>
      <c r="E4" s="54"/>
      <c r="F4" s="56"/>
      <c r="G4" s="54"/>
      <c r="H4" s="238"/>
      <c r="I4" s="54"/>
      <c r="J4" s="54"/>
      <c r="K4" s="54"/>
      <c r="L4" s="238"/>
      <c r="M4" s="238"/>
      <c r="N4" s="238"/>
      <c r="O4" s="238"/>
      <c r="P4" s="411"/>
      <c r="Q4" s="239"/>
      <c r="R4" s="239"/>
    </row>
    <row r="5" spans="1:18" x14ac:dyDescent="0.2">
      <c r="A5" s="111">
        <f>A4+1</f>
        <v>2</v>
      </c>
      <c r="B5" s="93" t="s">
        <v>214</v>
      </c>
      <c r="C5" s="494" t="s">
        <v>727</v>
      </c>
      <c r="D5" s="101"/>
      <c r="E5" s="54"/>
      <c r="F5" s="56"/>
      <c r="G5" s="54"/>
      <c r="H5" s="238"/>
      <c r="I5" s="54"/>
      <c r="J5" s="54"/>
      <c r="K5" s="54"/>
      <c r="L5" s="238"/>
      <c r="M5" s="238"/>
      <c r="N5" s="238"/>
      <c r="O5" s="238"/>
      <c r="P5" s="411"/>
      <c r="Q5" s="239"/>
      <c r="R5" s="239"/>
    </row>
    <row r="6" spans="1:18" x14ac:dyDescent="0.2">
      <c r="A6" s="111">
        <f t="shared" ref="A6:A69" si="0">A5+1</f>
        <v>3</v>
      </c>
      <c r="B6" s="93" t="s">
        <v>211</v>
      </c>
      <c r="C6" s="494" t="s">
        <v>728</v>
      </c>
      <c r="D6" s="101"/>
      <c r="E6" s="54"/>
      <c r="F6" s="56"/>
      <c r="G6" s="54"/>
      <c r="H6" s="238"/>
      <c r="I6" s="54"/>
      <c r="J6" s="54"/>
      <c r="K6" s="54"/>
      <c r="L6" s="238"/>
      <c r="M6" s="238"/>
      <c r="N6" s="238"/>
      <c r="O6" s="238"/>
      <c r="P6" s="411"/>
      <c r="Q6" s="239"/>
      <c r="R6" s="239"/>
    </row>
    <row r="7" spans="1:18" x14ac:dyDescent="0.2">
      <c r="A7" s="111">
        <f t="shared" si="0"/>
        <v>4</v>
      </c>
      <c r="B7" s="93" t="s">
        <v>212</v>
      </c>
      <c r="C7" s="494" t="s">
        <v>729</v>
      </c>
      <c r="D7" s="101"/>
      <c r="E7" s="43"/>
      <c r="F7" s="43"/>
      <c r="G7" s="43"/>
      <c r="H7" s="495"/>
      <c r="I7" s="43"/>
      <c r="J7" s="43"/>
      <c r="K7" s="43"/>
      <c r="L7" s="495"/>
      <c r="M7" s="495"/>
      <c r="N7" s="495"/>
      <c r="O7" s="495"/>
      <c r="P7" s="412"/>
      <c r="Q7" s="240"/>
      <c r="R7" s="240"/>
    </row>
    <row r="8" spans="1:18" x14ac:dyDescent="0.2">
      <c r="A8" s="111">
        <f t="shared" si="0"/>
        <v>5</v>
      </c>
      <c r="B8" s="93" t="s">
        <v>213</v>
      </c>
      <c r="C8" s="494" t="s">
        <v>730</v>
      </c>
      <c r="D8" s="101"/>
      <c r="E8" s="43"/>
      <c r="F8" s="43"/>
      <c r="G8" s="43"/>
      <c r="H8" s="495"/>
      <c r="I8" s="43"/>
      <c r="J8" s="43"/>
      <c r="K8" s="43"/>
      <c r="L8" s="495"/>
      <c r="M8" s="495"/>
      <c r="N8" s="495"/>
      <c r="O8" s="495"/>
      <c r="P8" s="412"/>
      <c r="Q8" s="240"/>
      <c r="R8" s="240"/>
    </row>
    <row r="9" spans="1:18" x14ac:dyDescent="0.2">
      <c r="A9" s="111">
        <f t="shared" si="0"/>
        <v>6</v>
      </c>
      <c r="B9" s="93" t="s">
        <v>215</v>
      </c>
      <c r="C9" s="494" t="s">
        <v>731</v>
      </c>
      <c r="D9" s="101"/>
      <c r="E9" s="43"/>
      <c r="F9" s="43"/>
      <c r="G9" s="43"/>
      <c r="H9" s="495"/>
      <c r="I9" s="43"/>
      <c r="J9" s="43"/>
      <c r="K9" s="43"/>
      <c r="L9" s="495"/>
      <c r="M9" s="495"/>
      <c r="N9" s="495"/>
      <c r="O9" s="495"/>
      <c r="P9" s="412"/>
      <c r="Q9" s="240"/>
      <c r="R9" s="240"/>
    </row>
    <row r="10" spans="1:18" x14ac:dyDescent="0.2">
      <c r="A10" s="111">
        <f t="shared" si="0"/>
        <v>7</v>
      </c>
      <c r="B10" s="93" t="s">
        <v>413</v>
      </c>
      <c r="C10" s="494" t="s">
        <v>732</v>
      </c>
      <c r="D10" s="101"/>
      <c r="E10" s="54"/>
      <c r="F10" s="56"/>
      <c r="G10" s="54"/>
      <c r="H10" s="238"/>
      <c r="I10" s="54"/>
      <c r="J10" s="54"/>
      <c r="K10" s="54"/>
      <c r="L10" s="238"/>
      <c r="M10" s="238"/>
      <c r="N10" s="238"/>
      <c r="O10" s="238"/>
      <c r="P10" s="411"/>
      <c r="Q10" s="239"/>
      <c r="R10" s="239"/>
    </row>
    <row r="11" spans="1:18" x14ac:dyDescent="0.2">
      <c r="A11" s="111">
        <f t="shared" si="0"/>
        <v>8</v>
      </c>
      <c r="B11" s="93" t="s">
        <v>216</v>
      </c>
      <c r="C11" s="494" t="s">
        <v>733</v>
      </c>
      <c r="D11" s="101"/>
      <c r="E11" s="54"/>
      <c r="F11" s="56"/>
      <c r="G11" s="54"/>
      <c r="H11" s="238"/>
      <c r="I11" s="54"/>
      <c r="J11" s="54"/>
      <c r="K11" s="54"/>
      <c r="L11" s="238"/>
      <c r="M11" s="238"/>
      <c r="N11" s="238"/>
      <c r="O11" s="238"/>
      <c r="P11" s="411"/>
      <c r="Q11" s="239"/>
      <c r="R11" s="239"/>
    </row>
    <row r="12" spans="1:18" x14ac:dyDescent="0.2">
      <c r="A12" s="111">
        <f t="shared" si="0"/>
        <v>9</v>
      </c>
      <c r="B12" s="93" t="s">
        <v>217</v>
      </c>
      <c r="C12" s="496" t="s">
        <v>734</v>
      </c>
      <c r="D12" s="101"/>
      <c r="E12" s="54"/>
      <c r="F12" s="56"/>
      <c r="G12" s="54"/>
      <c r="H12" s="238"/>
      <c r="I12" s="54"/>
      <c r="J12" s="54"/>
      <c r="K12" s="54"/>
      <c r="L12" s="238"/>
      <c r="M12" s="238"/>
      <c r="N12" s="238"/>
      <c r="O12" s="238"/>
      <c r="P12" s="411"/>
      <c r="Q12" s="239"/>
      <c r="R12" s="239"/>
    </row>
    <row r="13" spans="1:18" x14ac:dyDescent="0.2">
      <c r="A13" s="110">
        <f t="shared" si="0"/>
        <v>10</v>
      </c>
      <c r="B13" s="497" t="s">
        <v>55</v>
      </c>
      <c r="C13" s="316" t="s">
        <v>1249</v>
      </c>
      <c r="D13" s="104"/>
      <c r="E13" s="39"/>
      <c r="F13" s="40"/>
      <c r="G13" s="39"/>
      <c r="H13" s="450"/>
      <c r="I13" s="39"/>
      <c r="J13" s="39"/>
      <c r="K13" s="39"/>
      <c r="L13" s="450"/>
      <c r="M13" s="450"/>
      <c r="N13" s="450"/>
      <c r="O13" s="450"/>
      <c r="P13" s="451"/>
      <c r="Q13" s="447"/>
      <c r="R13" s="447"/>
    </row>
    <row r="14" spans="1:18" x14ac:dyDescent="0.2">
      <c r="A14" s="111">
        <f t="shared" si="0"/>
        <v>11</v>
      </c>
      <c r="B14" s="93" t="s">
        <v>218</v>
      </c>
      <c r="C14" s="494" t="s">
        <v>1637</v>
      </c>
      <c r="D14" s="101"/>
      <c r="E14" s="54"/>
      <c r="F14" s="56"/>
      <c r="G14" s="54"/>
      <c r="H14" s="238"/>
      <c r="I14" s="54"/>
      <c r="J14" s="54"/>
      <c r="K14" s="54"/>
      <c r="L14" s="238"/>
      <c r="M14" s="238"/>
      <c r="N14" s="238"/>
      <c r="O14" s="238"/>
      <c r="P14" s="411"/>
      <c r="Q14" s="239"/>
      <c r="R14" s="239"/>
    </row>
    <row r="15" spans="1:18" x14ac:dyDescent="0.2">
      <c r="A15" s="111">
        <f t="shared" si="0"/>
        <v>12</v>
      </c>
      <c r="B15" s="93" t="s">
        <v>219</v>
      </c>
      <c r="C15" s="494" t="s">
        <v>1638</v>
      </c>
      <c r="D15" s="101"/>
      <c r="E15" s="54"/>
      <c r="F15" s="56"/>
      <c r="G15" s="54"/>
      <c r="H15" s="238"/>
      <c r="I15" s="54"/>
      <c r="J15" s="54"/>
      <c r="K15" s="54"/>
      <c r="L15" s="238"/>
      <c r="M15" s="238"/>
      <c r="N15" s="238"/>
      <c r="O15" s="238"/>
      <c r="P15" s="411"/>
      <c r="Q15" s="239"/>
      <c r="R15" s="239"/>
    </row>
    <row r="16" spans="1:18" x14ac:dyDescent="0.2">
      <c r="A16" s="111">
        <f t="shared" si="0"/>
        <v>13</v>
      </c>
      <c r="B16" s="93" t="s">
        <v>220</v>
      </c>
      <c r="C16" s="494" t="s">
        <v>1639</v>
      </c>
      <c r="D16" s="101"/>
      <c r="E16" s="54"/>
      <c r="F16" s="56"/>
      <c r="G16" s="54"/>
      <c r="H16" s="238"/>
      <c r="I16" s="54"/>
      <c r="J16" s="54"/>
      <c r="K16" s="54"/>
      <c r="L16" s="238"/>
      <c r="M16" s="238"/>
      <c r="N16" s="238"/>
      <c r="O16" s="238"/>
      <c r="P16" s="411"/>
      <c r="Q16" s="239"/>
      <c r="R16" s="239"/>
    </row>
    <row r="17" spans="1:18" x14ac:dyDescent="0.2">
      <c r="A17" s="111">
        <f t="shared" si="0"/>
        <v>14</v>
      </c>
      <c r="B17" s="93" t="s">
        <v>221</v>
      </c>
      <c r="C17" s="494" t="s">
        <v>1640</v>
      </c>
      <c r="D17" s="101"/>
      <c r="E17" s="54"/>
      <c r="F17" s="56"/>
      <c r="G17" s="54"/>
      <c r="H17" s="238"/>
      <c r="I17" s="54"/>
      <c r="J17" s="54"/>
      <c r="K17" s="54"/>
      <c r="L17" s="238"/>
      <c r="M17" s="238"/>
      <c r="N17" s="238"/>
      <c r="O17" s="238"/>
      <c r="P17" s="411"/>
      <c r="Q17" s="239"/>
      <c r="R17" s="239"/>
    </row>
    <row r="18" spans="1:18" x14ac:dyDescent="0.2">
      <c r="A18" s="111">
        <f t="shared" si="0"/>
        <v>15</v>
      </c>
      <c r="B18" s="93" t="s">
        <v>414</v>
      </c>
      <c r="C18" s="494" t="s">
        <v>1641</v>
      </c>
      <c r="D18" s="101"/>
      <c r="E18" s="54"/>
      <c r="F18" s="56"/>
      <c r="G18" s="54"/>
      <c r="H18" s="238"/>
      <c r="I18" s="54"/>
      <c r="J18" s="54"/>
      <c r="K18" s="54"/>
      <c r="L18" s="238"/>
      <c r="M18" s="238"/>
      <c r="N18" s="238"/>
      <c r="O18" s="238"/>
      <c r="P18" s="411"/>
      <c r="Q18" s="239"/>
      <c r="R18" s="239"/>
    </row>
    <row r="19" spans="1:18" x14ac:dyDescent="0.2">
      <c r="A19" s="111">
        <f t="shared" si="0"/>
        <v>16</v>
      </c>
      <c r="B19" s="93" t="s">
        <v>415</v>
      </c>
      <c r="C19" s="494" t="s">
        <v>1642</v>
      </c>
      <c r="D19" s="101"/>
      <c r="E19" s="54"/>
      <c r="F19" s="56"/>
      <c r="G19" s="54"/>
      <c r="H19" s="238"/>
      <c r="I19" s="54"/>
      <c r="J19" s="54"/>
      <c r="K19" s="54"/>
      <c r="L19" s="238"/>
      <c r="M19" s="238"/>
      <c r="N19" s="238"/>
      <c r="O19" s="238"/>
      <c r="P19" s="411"/>
      <c r="Q19" s="239"/>
      <c r="R19" s="239"/>
    </row>
    <row r="20" spans="1:18" x14ac:dyDescent="0.2">
      <c r="A20" s="111">
        <f t="shared" si="0"/>
        <v>17</v>
      </c>
      <c r="B20" s="93" t="s">
        <v>222</v>
      </c>
      <c r="C20" s="494" t="s">
        <v>1643</v>
      </c>
      <c r="D20" s="101"/>
      <c r="E20" s="54"/>
      <c r="F20" s="56"/>
      <c r="G20" s="54"/>
      <c r="H20" s="238"/>
      <c r="I20" s="54"/>
      <c r="J20" s="54"/>
      <c r="K20" s="54"/>
      <c r="L20" s="238"/>
      <c r="M20" s="238"/>
      <c r="N20" s="238"/>
      <c r="O20" s="238"/>
      <c r="P20" s="411"/>
      <c r="Q20" s="239"/>
      <c r="R20" s="239"/>
    </row>
    <row r="21" spans="1:18" x14ac:dyDescent="0.2">
      <c r="A21" s="111">
        <f t="shared" si="0"/>
        <v>18</v>
      </c>
      <c r="B21" s="93" t="s">
        <v>223</v>
      </c>
      <c r="C21" s="494" t="s">
        <v>1644</v>
      </c>
      <c r="D21" s="101"/>
      <c r="E21" s="54"/>
      <c r="F21" s="56"/>
      <c r="G21" s="54"/>
      <c r="H21" s="238"/>
      <c r="I21" s="54"/>
      <c r="J21" s="54"/>
      <c r="K21" s="54"/>
      <c r="L21" s="238"/>
      <c r="M21" s="238"/>
      <c r="N21" s="238"/>
      <c r="O21" s="238"/>
      <c r="P21" s="411"/>
      <c r="Q21" s="239"/>
      <c r="R21" s="239"/>
    </row>
    <row r="22" spans="1:18" x14ac:dyDescent="0.2">
      <c r="A22" s="111">
        <f t="shared" si="0"/>
        <v>19</v>
      </c>
      <c r="B22" s="93" t="s">
        <v>224</v>
      </c>
      <c r="C22" s="496" t="s">
        <v>1645</v>
      </c>
      <c r="D22" s="101"/>
      <c r="E22" s="54"/>
      <c r="F22" s="56"/>
      <c r="G22" s="54"/>
      <c r="H22" s="238"/>
      <c r="I22" s="54"/>
      <c r="J22" s="54"/>
      <c r="K22" s="54"/>
      <c r="L22" s="238"/>
      <c r="M22" s="238"/>
      <c r="N22" s="238"/>
      <c r="O22" s="238"/>
      <c r="P22" s="411"/>
      <c r="Q22" s="239"/>
      <c r="R22" s="239"/>
    </row>
    <row r="23" spans="1:18" x14ac:dyDescent="0.2">
      <c r="A23" s="110">
        <f t="shared" si="0"/>
        <v>20</v>
      </c>
      <c r="B23" s="497" t="s">
        <v>54</v>
      </c>
      <c r="C23" s="316" t="s">
        <v>1250</v>
      </c>
      <c r="D23" s="104"/>
      <c r="E23" s="39"/>
      <c r="F23" s="40"/>
      <c r="G23" s="39"/>
      <c r="H23" s="450"/>
      <c r="I23" s="39"/>
      <c r="J23" s="39"/>
      <c r="K23" s="39"/>
      <c r="L23" s="450"/>
      <c r="M23" s="450"/>
      <c r="N23" s="450"/>
      <c r="O23" s="450"/>
      <c r="P23" s="451"/>
      <c r="Q23" s="447"/>
      <c r="R23" s="447"/>
    </row>
    <row r="24" spans="1:18" x14ac:dyDescent="0.2">
      <c r="A24" s="111">
        <f t="shared" si="0"/>
        <v>21</v>
      </c>
      <c r="B24" s="4" t="s">
        <v>425</v>
      </c>
      <c r="C24" s="494" t="s">
        <v>1646</v>
      </c>
      <c r="D24" s="101"/>
      <c r="E24" s="54"/>
      <c r="F24" s="56"/>
      <c r="G24" s="54"/>
      <c r="H24" s="238"/>
      <c r="I24" s="54"/>
      <c r="J24" s="54"/>
      <c r="K24" s="54"/>
      <c r="L24" s="238"/>
      <c r="M24" s="238"/>
      <c r="N24" s="238"/>
      <c r="O24" s="238"/>
      <c r="P24" s="411"/>
      <c r="Q24" s="239"/>
      <c r="R24" s="239"/>
    </row>
    <row r="25" spans="1:18" x14ac:dyDescent="0.2">
      <c r="A25" s="111">
        <f t="shared" si="0"/>
        <v>22</v>
      </c>
      <c r="B25" s="93" t="s">
        <v>417</v>
      </c>
      <c r="C25" s="494" t="s">
        <v>1647</v>
      </c>
      <c r="D25" s="101"/>
      <c r="E25" s="54"/>
      <c r="F25" s="56"/>
      <c r="G25" s="54"/>
      <c r="H25" s="238"/>
      <c r="I25" s="54"/>
      <c r="J25" s="54"/>
      <c r="K25" s="54"/>
      <c r="L25" s="238"/>
      <c r="M25" s="238"/>
      <c r="N25" s="238"/>
      <c r="O25" s="238"/>
      <c r="P25" s="411"/>
      <c r="Q25" s="239"/>
      <c r="R25" s="239"/>
    </row>
    <row r="26" spans="1:18" x14ac:dyDescent="0.2">
      <c r="A26" s="111">
        <f t="shared" si="0"/>
        <v>23</v>
      </c>
      <c r="B26" s="93" t="s">
        <v>418</v>
      </c>
      <c r="C26" s="494" t="s">
        <v>1648</v>
      </c>
      <c r="D26" s="101"/>
      <c r="E26" s="54"/>
      <c r="F26" s="56"/>
      <c r="G26" s="54"/>
      <c r="H26" s="238"/>
      <c r="I26" s="54"/>
      <c r="J26" s="54"/>
      <c r="K26" s="54"/>
      <c r="L26" s="238"/>
      <c r="M26" s="238"/>
      <c r="N26" s="238"/>
      <c r="O26" s="238"/>
      <c r="P26" s="411"/>
      <c r="Q26" s="239"/>
      <c r="R26" s="239"/>
    </row>
    <row r="27" spans="1:18" x14ac:dyDescent="0.2">
      <c r="A27" s="111">
        <f t="shared" si="0"/>
        <v>24</v>
      </c>
      <c r="B27" s="93" t="s">
        <v>419</v>
      </c>
      <c r="C27" s="494" t="s">
        <v>1649</v>
      </c>
      <c r="D27" s="101"/>
      <c r="E27" s="54"/>
      <c r="F27" s="56"/>
      <c r="G27" s="54"/>
      <c r="H27" s="238"/>
      <c r="I27" s="54"/>
      <c r="J27" s="54"/>
      <c r="K27" s="54"/>
      <c r="L27" s="238"/>
      <c r="M27" s="238"/>
      <c r="N27" s="238"/>
      <c r="O27" s="238"/>
      <c r="P27" s="411"/>
      <c r="Q27" s="239"/>
      <c r="R27" s="239"/>
    </row>
    <row r="28" spans="1:18" x14ac:dyDescent="0.2">
      <c r="A28" s="111">
        <f t="shared" si="0"/>
        <v>25</v>
      </c>
      <c r="B28" s="93" t="s">
        <v>420</v>
      </c>
      <c r="C28" s="494" t="s">
        <v>1650</v>
      </c>
      <c r="D28" s="101"/>
      <c r="E28" s="54"/>
      <c r="F28" s="56"/>
      <c r="G28" s="54"/>
      <c r="H28" s="238"/>
      <c r="I28" s="54"/>
      <c r="J28" s="54"/>
      <c r="K28" s="54"/>
      <c r="L28" s="238"/>
      <c r="M28" s="238"/>
      <c r="N28" s="238"/>
      <c r="O28" s="238"/>
      <c r="P28" s="411"/>
      <c r="Q28" s="239"/>
      <c r="R28" s="239"/>
    </row>
    <row r="29" spans="1:18" x14ac:dyDescent="0.2">
      <c r="A29" s="111">
        <f t="shared" si="0"/>
        <v>26</v>
      </c>
      <c r="B29" s="93" t="s">
        <v>421</v>
      </c>
      <c r="C29" s="494" t="s">
        <v>1651</v>
      </c>
      <c r="D29" s="101"/>
      <c r="E29" s="54"/>
      <c r="F29" s="56"/>
      <c r="G29" s="54"/>
      <c r="H29" s="238"/>
      <c r="I29" s="54"/>
      <c r="J29" s="54"/>
      <c r="K29" s="54"/>
      <c r="L29" s="238"/>
      <c r="M29" s="238"/>
      <c r="N29" s="238"/>
      <c r="O29" s="238"/>
      <c r="P29" s="411"/>
      <c r="Q29" s="239"/>
      <c r="R29" s="239"/>
    </row>
    <row r="30" spans="1:18" x14ac:dyDescent="0.2">
      <c r="A30" s="111">
        <f t="shared" si="0"/>
        <v>27</v>
      </c>
      <c r="B30" s="93" t="s">
        <v>422</v>
      </c>
      <c r="C30" s="494" t="s">
        <v>1652</v>
      </c>
      <c r="D30" s="101"/>
      <c r="E30" s="54"/>
      <c r="F30" s="56"/>
      <c r="G30" s="54"/>
      <c r="H30" s="238"/>
      <c r="I30" s="54"/>
      <c r="J30" s="54"/>
      <c r="K30" s="54"/>
      <c r="L30" s="238"/>
      <c r="M30" s="238"/>
      <c r="N30" s="238"/>
      <c r="O30" s="238"/>
      <c r="P30" s="411"/>
      <c r="Q30" s="239"/>
      <c r="R30" s="239"/>
    </row>
    <row r="31" spans="1:18" x14ac:dyDescent="0.2">
      <c r="A31" s="111">
        <f t="shared" si="0"/>
        <v>28</v>
      </c>
      <c r="B31" s="93" t="s">
        <v>423</v>
      </c>
      <c r="C31" s="494" t="s">
        <v>1653</v>
      </c>
      <c r="D31" s="101"/>
      <c r="E31" s="54"/>
      <c r="F31" s="56"/>
      <c r="G31" s="54"/>
      <c r="H31" s="238"/>
      <c r="I31" s="54"/>
      <c r="J31" s="54"/>
      <c r="K31" s="54"/>
      <c r="L31" s="238"/>
      <c r="M31" s="238"/>
      <c r="N31" s="238"/>
      <c r="O31" s="238"/>
      <c r="P31" s="411"/>
      <c r="Q31" s="239"/>
      <c r="R31" s="239"/>
    </row>
    <row r="32" spans="1:18" x14ac:dyDescent="0.2">
      <c r="A32" s="111">
        <f t="shared" si="0"/>
        <v>29</v>
      </c>
      <c r="B32" s="93" t="s">
        <v>424</v>
      </c>
      <c r="C32" s="496" t="s">
        <v>1654</v>
      </c>
      <c r="D32" s="101"/>
      <c r="E32" s="54"/>
      <c r="F32" s="56"/>
      <c r="G32" s="54"/>
      <c r="H32" s="498"/>
      <c r="I32" s="54"/>
      <c r="J32" s="54"/>
      <c r="K32" s="54"/>
      <c r="L32" s="238"/>
      <c r="M32" s="238"/>
      <c r="N32" s="238"/>
      <c r="O32" s="238"/>
      <c r="P32" s="411"/>
      <c r="Q32" s="239"/>
      <c r="R32" s="239"/>
    </row>
    <row r="33" spans="1:18" x14ac:dyDescent="0.2">
      <c r="A33" s="110">
        <f t="shared" si="0"/>
        <v>30</v>
      </c>
      <c r="B33" s="497" t="s">
        <v>416</v>
      </c>
      <c r="C33" s="316" t="s">
        <v>1251</v>
      </c>
      <c r="D33" s="104"/>
      <c r="E33" s="39"/>
      <c r="F33" s="40"/>
      <c r="G33" s="39"/>
      <c r="H33" s="499"/>
      <c r="I33" s="39"/>
      <c r="J33" s="39"/>
      <c r="K33" s="39"/>
      <c r="L33" s="450"/>
      <c r="M33" s="450"/>
      <c r="N33" s="450"/>
      <c r="O33" s="450"/>
      <c r="P33" s="451"/>
      <c r="Q33" s="447"/>
      <c r="R33" s="447"/>
    </row>
    <row r="34" spans="1:18" s="31" customFormat="1" x14ac:dyDescent="0.2">
      <c r="A34" s="110">
        <f t="shared" si="0"/>
        <v>31</v>
      </c>
      <c r="B34" s="497" t="s">
        <v>53</v>
      </c>
      <c r="C34" s="316" t="s">
        <v>1252</v>
      </c>
      <c r="D34" s="104"/>
      <c r="E34" s="39"/>
      <c r="F34" s="40"/>
      <c r="G34" s="39"/>
      <c r="H34" s="450"/>
      <c r="I34" s="39"/>
      <c r="J34" s="39"/>
      <c r="K34" s="39"/>
      <c r="L34" s="450"/>
      <c r="M34" s="450"/>
      <c r="N34" s="450"/>
      <c r="O34" s="450"/>
      <c r="P34" s="451"/>
      <c r="Q34" s="447"/>
      <c r="R34" s="447"/>
    </row>
    <row r="35" spans="1:18" x14ac:dyDescent="0.2">
      <c r="A35" s="111">
        <f t="shared" si="0"/>
        <v>32</v>
      </c>
      <c r="B35" s="93" t="s">
        <v>225</v>
      </c>
      <c r="C35" s="494" t="s">
        <v>735</v>
      </c>
      <c r="D35" s="101"/>
      <c r="E35" s="54"/>
      <c r="F35" s="56"/>
      <c r="G35" s="54"/>
      <c r="H35" s="238"/>
      <c r="I35" s="54"/>
      <c r="J35" s="54"/>
      <c r="K35" s="54"/>
      <c r="L35" s="238"/>
      <c r="M35" s="238"/>
      <c r="N35" s="238"/>
      <c r="O35" s="238"/>
      <c r="P35" s="411"/>
      <c r="Q35" s="239"/>
      <c r="R35" s="239"/>
    </row>
    <row r="36" spans="1:18" x14ac:dyDescent="0.2">
      <c r="A36" s="111">
        <f t="shared" si="0"/>
        <v>33</v>
      </c>
      <c r="B36" s="93" t="s">
        <v>226</v>
      </c>
      <c r="C36" s="494" t="s">
        <v>736</v>
      </c>
      <c r="D36" s="101"/>
      <c r="E36" s="54"/>
      <c r="F36" s="56"/>
      <c r="G36" s="54"/>
      <c r="H36" s="238"/>
      <c r="I36" s="54"/>
      <c r="J36" s="54"/>
      <c r="K36" s="54"/>
      <c r="L36" s="238"/>
      <c r="M36" s="238"/>
      <c r="N36" s="238"/>
      <c r="O36" s="238"/>
      <c r="P36" s="411"/>
      <c r="Q36" s="239"/>
      <c r="R36" s="239"/>
    </row>
    <row r="37" spans="1:18" x14ac:dyDescent="0.2">
      <c r="A37" s="111">
        <f t="shared" si="0"/>
        <v>34</v>
      </c>
      <c r="B37" s="93" t="s">
        <v>227</v>
      </c>
      <c r="C37" s="494" t="s">
        <v>737</v>
      </c>
      <c r="D37" s="101"/>
      <c r="E37" s="54"/>
      <c r="F37" s="56"/>
      <c r="G37" s="54"/>
      <c r="H37" s="238"/>
      <c r="I37" s="54"/>
      <c r="J37" s="54"/>
      <c r="K37" s="54"/>
      <c r="L37" s="238"/>
      <c r="M37" s="238"/>
      <c r="N37" s="238"/>
      <c r="O37" s="238"/>
      <c r="P37" s="411"/>
      <c r="Q37" s="239"/>
      <c r="R37" s="239"/>
    </row>
    <row r="38" spans="1:18" x14ac:dyDescent="0.2">
      <c r="A38" s="111">
        <f t="shared" si="0"/>
        <v>35</v>
      </c>
      <c r="B38" s="93" t="s">
        <v>228</v>
      </c>
      <c r="C38" s="494" t="s">
        <v>738</v>
      </c>
      <c r="D38" s="101"/>
      <c r="E38" s="54"/>
      <c r="F38" s="56"/>
      <c r="G38" s="54"/>
      <c r="H38" s="238"/>
      <c r="I38" s="54"/>
      <c r="J38" s="54"/>
      <c r="K38" s="54"/>
      <c r="L38" s="238"/>
      <c r="M38" s="238"/>
      <c r="N38" s="238"/>
      <c r="O38" s="238"/>
      <c r="P38" s="411"/>
      <c r="Q38" s="239"/>
      <c r="R38" s="239"/>
    </row>
    <row r="39" spans="1:18" x14ac:dyDescent="0.2">
      <c r="A39" s="111">
        <f t="shared" si="0"/>
        <v>36</v>
      </c>
      <c r="B39" s="93" t="s">
        <v>230</v>
      </c>
      <c r="C39" s="494" t="s">
        <v>1655</v>
      </c>
      <c r="D39" s="500"/>
      <c r="E39" s="43"/>
      <c r="F39" s="72"/>
      <c r="G39" s="43"/>
      <c r="H39" s="495"/>
      <c r="I39" s="43"/>
      <c r="J39" s="43"/>
      <c r="K39" s="43"/>
      <c r="L39" s="495"/>
      <c r="M39" s="495"/>
      <c r="N39" s="495"/>
      <c r="O39" s="495"/>
      <c r="P39" s="412"/>
      <c r="Q39" s="240"/>
      <c r="R39" s="240"/>
    </row>
    <row r="40" spans="1:18" x14ac:dyDescent="0.2">
      <c r="A40" s="111">
        <f t="shared" si="0"/>
        <v>37</v>
      </c>
      <c r="B40" s="93" t="s">
        <v>426</v>
      </c>
      <c r="C40" s="494" t="s">
        <v>739</v>
      </c>
      <c r="D40" s="101"/>
      <c r="E40" s="54"/>
      <c r="F40" s="56"/>
      <c r="G40" s="54"/>
      <c r="H40" s="238"/>
      <c r="I40" s="54"/>
      <c r="J40" s="54"/>
      <c r="K40" s="54"/>
      <c r="L40" s="238"/>
      <c r="M40" s="238"/>
      <c r="N40" s="238"/>
      <c r="O40" s="238"/>
      <c r="P40" s="411"/>
      <c r="Q40" s="239"/>
      <c r="R40" s="239"/>
    </row>
    <row r="41" spans="1:18" x14ac:dyDescent="0.2">
      <c r="A41" s="111">
        <f t="shared" si="0"/>
        <v>38</v>
      </c>
      <c r="B41" s="93" t="s">
        <v>229</v>
      </c>
      <c r="C41" s="496" t="s">
        <v>740</v>
      </c>
      <c r="D41" s="101"/>
      <c r="E41" s="54"/>
      <c r="F41" s="56"/>
      <c r="G41" s="54"/>
      <c r="H41" s="238"/>
      <c r="I41" s="54"/>
      <c r="J41" s="54"/>
      <c r="K41" s="54"/>
      <c r="L41" s="238"/>
      <c r="M41" s="238"/>
      <c r="N41" s="238"/>
      <c r="O41" s="238"/>
      <c r="P41" s="411"/>
      <c r="Q41" s="239"/>
      <c r="R41" s="239"/>
    </row>
    <row r="42" spans="1:18" x14ac:dyDescent="0.2">
      <c r="A42" s="111">
        <f t="shared" si="0"/>
        <v>39</v>
      </c>
      <c r="B42" s="93" t="s">
        <v>1277</v>
      </c>
      <c r="C42" s="320" t="s">
        <v>1278</v>
      </c>
      <c r="D42" s="101"/>
      <c r="E42" s="54"/>
      <c r="F42" s="56"/>
      <c r="G42" s="54"/>
      <c r="H42" s="238"/>
      <c r="I42" s="54"/>
      <c r="J42" s="54"/>
      <c r="K42" s="54"/>
      <c r="L42" s="238"/>
      <c r="M42" s="238"/>
      <c r="N42" s="238"/>
      <c r="O42" s="238"/>
      <c r="P42" s="411"/>
      <c r="Q42" s="239"/>
      <c r="R42" s="239"/>
    </row>
    <row r="43" spans="1:18" x14ac:dyDescent="0.2">
      <c r="A43" s="111">
        <f t="shared" si="0"/>
        <v>40</v>
      </c>
      <c r="B43" s="93" t="s">
        <v>1271</v>
      </c>
      <c r="C43" s="320" t="s">
        <v>1270</v>
      </c>
      <c r="D43" s="101"/>
      <c r="E43" s="54"/>
      <c r="F43" s="56"/>
      <c r="G43" s="54"/>
      <c r="H43" s="238"/>
      <c r="I43" s="54"/>
      <c r="J43" s="54"/>
      <c r="K43" s="54"/>
      <c r="L43" s="238"/>
      <c r="M43" s="238"/>
      <c r="N43" s="238"/>
      <c r="O43" s="238"/>
      <c r="P43" s="411"/>
      <c r="Q43" s="239"/>
      <c r="R43" s="239"/>
    </row>
    <row r="44" spans="1:18" ht="12" x14ac:dyDescent="0.2">
      <c r="A44" s="110">
        <f t="shared" si="0"/>
        <v>41</v>
      </c>
      <c r="B44" s="497" t="s">
        <v>51</v>
      </c>
      <c r="C44" s="501" t="s">
        <v>1280</v>
      </c>
      <c r="D44" s="104"/>
      <c r="E44" s="39"/>
      <c r="F44" s="40"/>
      <c r="G44" s="39"/>
      <c r="H44" s="450"/>
      <c r="I44" s="39"/>
      <c r="J44" s="39"/>
      <c r="K44" s="39"/>
      <c r="L44" s="450"/>
      <c r="M44" s="450"/>
      <c r="N44" s="450"/>
      <c r="O44" s="450"/>
      <c r="P44" s="451"/>
      <c r="Q44" s="447"/>
      <c r="R44" s="447"/>
    </row>
    <row r="45" spans="1:18" x14ac:dyDescent="0.2">
      <c r="A45" s="111">
        <f t="shared" si="0"/>
        <v>42</v>
      </c>
      <c r="B45" s="4" t="s">
        <v>231</v>
      </c>
      <c r="C45" s="494" t="s">
        <v>1656</v>
      </c>
      <c r="D45" s="101"/>
      <c r="E45" s="54"/>
      <c r="F45" s="56"/>
      <c r="G45" s="54"/>
      <c r="H45" s="238"/>
      <c r="I45" s="54"/>
      <c r="J45" s="54"/>
      <c r="K45" s="54"/>
      <c r="L45" s="238"/>
      <c r="M45" s="238"/>
      <c r="N45" s="238"/>
      <c r="O45" s="238"/>
      <c r="P45" s="411"/>
      <c r="Q45" s="239"/>
      <c r="R45" s="239"/>
    </row>
    <row r="46" spans="1:18" x14ac:dyDescent="0.2">
      <c r="A46" s="111">
        <f t="shared" si="0"/>
        <v>43</v>
      </c>
      <c r="B46" s="4" t="s">
        <v>232</v>
      </c>
      <c r="C46" s="494" t="s">
        <v>1657</v>
      </c>
      <c r="D46" s="101"/>
      <c r="E46" s="54"/>
      <c r="F46" s="56"/>
      <c r="G46" s="54"/>
      <c r="H46" s="238"/>
      <c r="I46" s="54"/>
      <c r="J46" s="54"/>
      <c r="K46" s="54"/>
      <c r="L46" s="238"/>
      <c r="M46" s="238"/>
      <c r="N46" s="238"/>
      <c r="O46" s="238"/>
      <c r="P46" s="411"/>
      <c r="Q46" s="239"/>
      <c r="R46" s="239"/>
    </row>
    <row r="47" spans="1:18" x14ac:dyDescent="0.2">
      <c r="A47" s="111">
        <f t="shared" si="0"/>
        <v>44</v>
      </c>
      <c r="B47" s="4" t="s">
        <v>427</v>
      </c>
      <c r="C47" s="494" t="s">
        <v>1658</v>
      </c>
      <c r="D47" s="101"/>
      <c r="E47" s="54"/>
      <c r="F47" s="56"/>
      <c r="G47" s="54"/>
      <c r="H47" s="238"/>
      <c r="I47" s="54"/>
      <c r="J47" s="54"/>
      <c r="K47" s="54"/>
      <c r="L47" s="238"/>
      <c r="M47" s="238"/>
      <c r="N47" s="238"/>
      <c r="O47" s="238"/>
      <c r="P47" s="411"/>
      <c r="Q47" s="239"/>
      <c r="R47" s="239"/>
    </row>
    <row r="48" spans="1:18" x14ac:dyDescent="0.2">
      <c r="A48" s="111">
        <f t="shared" si="0"/>
        <v>45</v>
      </c>
      <c r="B48" s="4" t="s">
        <v>428</v>
      </c>
      <c r="C48" s="494" t="s">
        <v>1659</v>
      </c>
      <c r="D48" s="101"/>
      <c r="E48" s="54"/>
      <c r="F48" s="56"/>
      <c r="G48" s="54"/>
      <c r="H48" s="238"/>
      <c r="I48" s="54"/>
      <c r="J48" s="54"/>
      <c r="K48" s="54"/>
      <c r="L48" s="238"/>
      <c r="M48" s="238"/>
      <c r="N48" s="238"/>
      <c r="O48" s="238"/>
      <c r="P48" s="411"/>
      <c r="Q48" s="239"/>
      <c r="R48" s="239"/>
    </row>
    <row r="49" spans="1:18" x14ac:dyDescent="0.2">
      <c r="A49" s="111">
        <f t="shared" si="0"/>
        <v>46</v>
      </c>
      <c r="B49" s="4" t="s">
        <v>234</v>
      </c>
      <c r="C49" s="494" t="s">
        <v>1660</v>
      </c>
      <c r="D49" s="101"/>
      <c r="E49" s="54"/>
      <c r="F49" s="56"/>
      <c r="G49" s="54"/>
      <c r="H49" s="238"/>
      <c r="I49" s="54"/>
      <c r="J49" s="54"/>
      <c r="K49" s="54"/>
      <c r="L49" s="238"/>
      <c r="M49" s="238"/>
      <c r="N49" s="238"/>
      <c r="O49" s="238"/>
      <c r="P49" s="411"/>
      <c r="Q49" s="239"/>
      <c r="R49" s="239"/>
    </row>
    <row r="50" spans="1:18" x14ac:dyDescent="0.2">
      <c r="A50" s="111">
        <f t="shared" si="0"/>
        <v>47</v>
      </c>
      <c r="B50" s="4" t="s">
        <v>429</v>
      </c>
      <c r="C50" s="494" t="s">
        <v>1661</v>
      </c>
      <c r="D50" s="101"/>
      <c r="E50" s="54"/>
      <c r="F50" s="56"/>
      <c r="G50" s="54"/>
      <c r="H50" s="238"/>
      <c r="I50" s="54"/>
      <c r="J50" s="54"/>
      <c r="K50" s="54"/>
      <c r="L50" s="238"/>
      <c r="M50" s="238"/>
      <c r="N50" s="238"/>
      <c r="O50" s="238"/>
      <c r="P50" s="411"/>
      <c r="Q50" s="239"/>
      <c r="R50" s="239"/>
    </row>
    <row r="51" spans="1:18" x14ac:dyDescent="0.2">
      <c r="A51" s="111">
        <f t="shared" si="0"/>
        <v>48</v>
      </c>
      <c r="B51" s="4" t="s">
        <v>233</v>
      </c>
      <c r="C51" s="494" t="s">
        <v>1662</v>
      </c>
      <c r="D51" s="101"/>
      <c r="E51" s="54"/>
      <c r="F51" s="56"/>
      <c r="G51" s="54"/>
      <c r="H51" s="238"/>
      <c r="I51" s="54"/>
      <c r="J51" s="54"/>
      <c r="K51" s="54"/>
      <c r="L51" s="238"/>
      <c r="M51" s="238"/>
      <c r="N51" s="238"/>
      <c r="O51" s="238"/>
      <c r="P51" s="411"/>
      <c r="Q51" s="239"/>
      <c r="R51" s="239"/>
    </row>
    <row r="52" spans="1:18" x14ac:dyDescent="0.2">
      <c r="A52" s="111">
        <f t="shared" si="0"/>
        <v>49</v>
      </c>
      <c r="B52" s="4" t="s">
        <v>1279</v>
      </c>
      <c r="C52" s="494" t="s">
        <v>1663</v>
      </c>
      <c r="D52" s="101"/>
      <c r="E52" s="54"/>
      <c r="F52" s="56"/>
      <c r="G52" s="54"/>
      <c r="H52" s="238"/>
      <c r="I52" s="54"/>
      <c r="J52" s="54"/>
      <c r="K52" s="54"/>
      <c r="L52" s="238"/>
      <c r="M52" s="238"/>
      <c r="N52" s="238"/>
      <c r="O52" s="238"/>
      <c r="P52" s="411"/>
      <c r="Q52" s="239"/>
      <c r="R52" s="239"/>
    </row>
    <row r="53" spans="1:18" ht="12" x14ac:dyDescent="0.2">
      <c r="A53" s="110">
        <f t="shared" si="0"/>
        <v>50</v>
      </c>
      <c r="B53" s="497" t="s">
        <v>50</v>
      </c>
      <c r="C53" s="501" t="s">
        <v>1311</v>
      </c>
      <c r="D53" s="104"/>
      <c r="E53" s="39"/>
      <c r="F53" s="40"/>
      <c r="G53" s="39"/>
      <c r="H53" s="450"/>
      <c r="I53" s="39"/>
      <c r="J53" s="39"/>
      <c r="K53" s="39"/>
      <c r="L53" s="450"/>
      <c r="M53" s="450"/>
      <c r="N53" s="450"/>
      <c r="O53" s="450"/>
      <c r="P53" s="451"/>
      <c r="Q53" s="447"/>
      <c r="R53" s="447"/>
    </row>
    <row r="54" spans="1:18" x14ac:dyDescent="0.2">
      <c r="A54" s="111">
        <f t="shared" si="0"/>
        <v>51</v>
      </c>
      <c r="B54" s="93" t="s">
        <v>430</v>
      </c>
      <c r="C54" s="493" t="s">
        <v>1664</v>
      </c>
      <c r="D54" s="101"/>
      <c r="E54" s="54"/>
      <c r="F54" s="56"/>
      <c r="G54" s="54"/>
      <c r="H54" s="238"/>
      <c r="I54" s="54"/>
      <c r="J54" s="54"/>
      <c r="K54" s="54"/>
      <c r="L54" s="238"/>
      <c r="M54" s="238"/>
      <c r="N54" s="238"/>
      <c r="O54" s="238"/>
      <c r="P54" s="411"/>
      <c r="Q54" s="239"/>
      <c r="R54" s="239"/>
    </row>
    <row r="55" spans="1:18" x14ac:dyDescent="0.2">
      <c r="A55" s="111">
        <f t="shared" si="0"/>
        <v>52</v>
      </c>
      <c r="B55" s="93" t="s">
        <v>431</v>
      </c>
      <c r="C55" s="493" t="s">
        <v>1665</v>
      </c>
      <c r="D55" s="101"/>
      <c r="E55" s="54"/>
      <c r="F55" s="56"/>
      <c r="G55" s="54"/>
      <c r="H55" s="238"/>
      <c r="I55" s="54"/>
      <c r="J55" s="54"/>
      <c r="K55" s="54"/>
      <c r="L55" s="238"/>
      <c r="M55" s="238"/>
      <c r="N55" s="238"/>
      <c r="O55" s="238"/>
      <c r="P55" s="411"/>
      <c r="Q55" s="239"/>
      <c r="R55" s="239"/>
    </row>
    <row r="56" spans="1:18" x14ac:dyDescent="0.2">
      <c r="A56" s="111">
        <f t="shared" si="0"/>
        <v>53</v>
      </c>
      <c r="B56" s="93" t="s">
        <v>432</v>
      </c>
      <c r="C56" s="493" t="s">
        <v>1666</v>
      </c>
      <c r="D56" s="101"/>
      <c r="E56" s="54"/>
      <c r="F56" s="56"/>
      <c r="G56" s="54"/>
      <c r="H56" s="238"/>
      <c r="I56" s="54"/>
      <c r="J56" s="54"/>
      <c r="K56" s="54"/>
      <c r="L56" s="238"/>
      <c r="M56" s="238"/>
      <c r="N56" s="238"/>
      <c r="O56" s="238"/>
      <c r="P56" s="411"/>
      <c r="Q56" s="239"/>
      <c r="R56" s="239"/>
    </row>
    <row r="57" spans="1:18" x14ac:dyDescent="0.2">
      <c r="A57" s="111">
        <f t="shared" si="0"/>
        <v>54</v>
      </c>
      <c r="B57" s="93" t="s">
        <v>433</v>
      </c>
      <c r="C57" s="493" t="s">
        <v>1667</v>
      </c>
      <c r="D57" s="101"/>
      <c r="E57" s="54"/>
      <c r="F57" s="56"/>
      <c r="G57" s="54"/>
      <c r="H57" s="238"/>
      <c r="I57" s="54"/>
      <c r="J57" s="54"/>
      <c r="K57" s="54"/>
      <c r="L57" s="238"/>
      <c r="M57" s="238"/>
      <c r="N57" s="238"/>
      <c r="O57" s="238"/>
      <c r="P57" s="411"/>
      <c r="Q57" s="239"/>
      <c r="R57" s="239"/>
    </row>
    <row r="58" spans="1:18" x14ac:dyDescent="0.2">
      <c r="A58" s="111">
        <f t="shared" si="0"/>
        <v>55</v>
      </c>
      <c r="B58" s="93" t="s">
        <v>434</v>
      </c>
      <c r="C58" s="493" t="s">
        <v>1668</v>
      </c>
      <c r="D58" s="101"/>
      <c r="E58" s="54"/>
      <c r="F58" s="56"/>
      <c r="G58" s="54"/>
      <c r="H58" s="238"/>
      <c r="I58" s="54"/>
      <c r="J58" s="54"/>
      <c r="K58" s="54"/>
      <c r="L58" s="238"/>
      <c r="M58" s="238"/>
      <c r="N58" s="238"/>
      <c r="O58" s="238"/>
      <c r="P58" s="411"/>
      <c r="Q58" s="239"/>
      <c r="R58" s="239"/>
    </row>
    <row r="59" spans="1:18" x14ac:dyDescent="0.2">
      <c r="A59" s="111">
        <f t="shared" si="0"/>
        <v>56</v>
      </c>
      <c r="B59" s="93" t="s">
        <v>435</v>
      </c>
      <c r="C59" s="493" t="s">
        <v>1669</v>
      </c>
      <c r="D59" s="101"/>
      <c r="E59" s="54"/>
      <c r="F59" s="56"/>
      <c r="G59" s="54"/>
      <c r="H59" s="238"/>
      <c r="I59" s="54"/>
      <c r="J59" s="54"/>
      <c r="K59" s="54"/>
      <c r="L59" s="238"/>
      <c r="M59" s="238"/>
      <c r="N59" s="238"/>
      <c r="O59" s="238"/>
      <c r="P59" s="411"/>
      <c r="Q59" s="239"/>
      <c r="R59" s="239"/>
    </row>
    <row r="60" spans="1:18" x14ac:dyDescent="0.2">
      <c r="A60" s="111">
        <f t="shared" si="0"/>
        <v>57</v>
      </c>
      <c r="B60" s="93" t="s">
        <v>436</v>
      </c>
      <c r="C60" s="493" t="s">
        <v>1670</v>
      </c>
      <c r="D60" s="101"/>
      <c r="E60" s="54"/>
      <c r="F60" s="56"/>
      <c r="G60" s="54"/>
      <c r="H60" s="238"/>
      <c r="I60" s="54"/>
      <c r="J60" s="54"/>
      <c r="K60" s="54"/>
      <c r="L60" s="238"/>
      <c r="M60" s="238"/>
      <c r="N60" s="238"/>
      <c r="O60" s="238"/>
      <c r="P60" s="411"/>
      <c r="Q60" s="239"/>
      <c r="R60" s="239"/>
    </row>
    <row r="61" spans="1:18" x14ac:dyDescent="0.2">
      <c r="A61" s="110">
        <f t="shared" si="0"/>
        <v>58</v>
      </c>
      <c r="B61" s="497" t="s">
        <v>437</v>
      </c>
      <c r="C61" s="316" t="s">
        <v>1312</v>
      </c>
      <c r="D61" s="104"/>
      <c r="E61" s="39"/>
      <c r="F61" s="40"/>
      <c r="G61" s="39"/>
      <c r="H61" s="450"/>
      <c r="I61" s="39"/>
      <c r="J61" s="39"/>
      <c r="K61" s="39"/>
      <c r="L61" s="450"/>
      <c r="M61" s="450"/>
      <c r="N61" s="450"/>
      <c r="O61" s="450"/>
      <c r="P61" s="451"/>
      <c r="Q61" s="447"/>
      <c r="R61" s="447"/>
    </row>
    <row r="62" spans="1:18" x14ac:dyDescent="0.2">
      <c r="A62" s="111">
        <f t="shared" si="0"/>
        <v>59</v>
      </c>
      <c r="B62" s="93" t="s">
        <v>376</v>
      </c>
      <c r="C62" s="493" t="s">
        <v>717</v>
      </c>
      <c r="D62" s="101"/>
      <c r="E62" s="54"/>
      <c r="F62" s="56"/>
      <c r="G62" s="54"/>
      <c r="H62" s="238"/>
      <c r="I62" s="54"/>
      <c r="J62" s="54"/>
      <c r="K62" s="54"/>
      <c r="L62" s="238"/>
      <c r="M62" s="238"/>
      <c r="N62" s="238"/>
      <c r="O62" s="238"/>
      <c r="P62" s="411"/>
      <c r="Q62" s="239"/>
      <c r="R62" s="239"/>
    </row>
    <row r="63" spans="1:18" x14ac:dyDescent="0.2">
      <c r="A63" s="111">
        <f t="shared" si="0"/>
        <v>60</v>
      </c>
      <c r="B63" s="93" t="s">
        <v>438</v>
      </c>
      <c r="C63" s="494" t="s">
        <v>718</v>
      </c>
      <c r="D63" s="101"/>
      <c r="E63" s="54"/>
      <c r="F63" s="56"/>
      <c r="G63" s="54"/>
      <c r="H63" s="238"/>
      <c r="I63" s="54"/>
      <c r="J63" s="54"/>
      <c r="K63" s="54"/>
      <c r="L63" s="238"/>
      <c r="M63" s="238"/>
      <c r="N63" s="238"/>
      <c r="O63" s="238"/>
      <c r="P63" s="411"/>
      <c r="Q63" s="239"/>
      <c r="R63" s="239"/>
    </row>
    <row r="64" spans="1:18" x14ac:dyDescent="0.2">
      <c r="A64" s="111">
        <f t="shared" si="0"/>
        <v>61</v>
      </c>
      <c r="B64" s="93" t="s">
        <v>439</v>
      </c>
      <c r="C64" s="494" t="s">
        <v>719</v>
      </c>
      <c r="D64" s="101"/>
      <c r="E64" s="54"/>
      <c r="F64" s="56"/>
      <c r="G64" s="54"/>
      <c r="H64" s="238"/>
      <c r="I64" s="54"/>
      <c r="J64" s="54"/>
      <c r="K64" s="54"/>
      <c r="L64" s="238"/>
      <c r="M64" s="238"/>
      <c r="N64" s="238"/>
      <c r="O64" s="238"/>
      <c r="P64" s="411"/>
      <c r="Q64" s="239"/>
      <c r="R64" s="239"/>
    </row>
    <row r="65" spans="1:18" x14ac:dyDescent="0.2">
      <c r="A65" s="111">
        <f t="shared" si="0"/>
        <v>62</v>
      </c>
      <c r="B65" s="93" t="s">
        <v>440</v>
      </c>
      <c r="C65" s="494" t="s">
        <v>720</v>
      </c>
      <c r="D65" s="101"/>
      <c r="E65" s="54"/>
      <c r="F65" s="56"/>
      <c r="G65" s="54"/>
      <c r="H65" s="238"/>
      <c r="I65" s="54"/>
      <c r="J65" s="54"/>
      <c r="K65" s="54"/>
      <c r="L65" s="238"/>
      <c r="M65" s="238"/>
      <c r="N65" s="238"/>
      <c r="O65" s="238"/>
      <c r="P65" s="411"/>
      <c r="Q65" s="239"/>
      <c r="R65" s="239"/>
    </row>
    <row r="66" spans="1:18" x14ac:dyDescent="0.2">
      <c r="A66" s="111">
        <f t="shared" si="0"/>
        <v>63</v>
      </c>
      <c r="B66" s="93" t="s">
        <v>441</v>
      </c>
      <c r="C66" s="494" t="s">
        <v>721</v>
      </c>
      <c r="D66" s="101"/>
      <c r="E66" s="54"/>
      <c r="F66" s="56"/>
      <c r="G66" s="54"/>
      <c r="H66" s="238"/>
      <c r="I66" s="54"/>
      <c r="J66" s="54"/>
      <c r="K66" s="54"/>
      <c r="L66" s="238"/>
      <c r="M66" s="238"/>
      <c r="N66" s="238"/>
      <c r="O66" s="238"/>
      <c r="P66" s="411"/>
      <c r="Q66" s="239"/>
      <c r="R66" s="239"/>
    </row>
    <row r="67" spans="1:18" x14ac:dyDescent="0.2">
      <c r="A67" s="111">
        <f t="shared" si="0"/>
        <v>64</v>
      </c>
      <c r="B67" s="93" t="s">
        <v>442</v>
      </c>
      <c r="C67" s="494" t="s">
        <v>722</v>
      </c>
      <c r="D67" s="101"/>
      <c r="E67" s="54"/>
      <c r="F67" s="56"/>
      <c r="G67" s="54"/>
      <c r="H67" s="238"/>
      <c r="I67" s="54"/>
      <c r="J67" s="54"/>
      <c r="K67" s="54"/>
      <c r="L67" s="238"/>
      <c r="M67" s="238"/>
      <c r="N67" s="238"/>
      <c r="O67" s="238"/>
      <c r="P67" s="411"/>
      <c r="Q67" s="239"/>
      <c r="R67" s="239"/>
    </row>
    <row r="68" spans="1:18" x14ac:dyDescent="0.2">
      <c r="A68" s="111">
        <f t="shared" si="0"/>
        <v>65</v>
      </c>
      <c r="B68" s="93" t="s">
        <v>443</v>
      </c>
      <c r="C68" s="494" t="s">
        <v>723</v>
      </c>
      <c r="D68" s="101"/>
      <c r="E68" s="54"/>
      <c r="F68" s="56"/>
      <c r="G68" s="54"/>
      <c r="H68" s="238"/>
      <c r="I68" s="54"/>
      <c r="J68" s="54"/>
      <c r="K68" s="54"/>
      <c r="L68" s="238"/>
      <c r="M68" s="238"/>
      <c r="N68" s="238"/>
      <c r="O68" s="238"/>
      <c r="P68" s="411"/>
      <c r="Q68" s="239"/>
      <c r="R68" s="239"/>
    </row>
    <row r="69" spans="1:18" x14ac:dyDescent="0.2">
      <c r="A69" s="111">
        <f t="shared" si="0"/>
        <v>66</v>
      </c>
      <c r="B69" s="93" t="s">
        <v>404</v>
      </c>
      <c r="C69" s="494" t="s">
        <v>724</v>
      </c>
      <c r="D69" s="101"/>
      <c r="E69" s="54"/>
      <c r="F69" s="56"/>
      <c r="G69" s="54"/>
      <c r="H69" s="238"/>
      <c r="I69" s="54"/>
      <c r="J69" s="54"/>
      <c r="K69" s="54"/>
      <c r="L69" s="238"/>
      <c r="M69" s="238"/>
      <c r="N69" s="238"/>
      <c r="O69" s="238"/>
      <c r="P69" s="411"/>
      <c r="Q69" s="239"/>
      <c r="R69" s="239"/>
    </row>
    <row r="70" spans="1:18" s="31" customFormat="1" x14ac:dyDescent="0.2">
      <c r="A70" s="110">
        <f t="shared" ref="A70:A133" si="1">A69+1</f>
        <v>67</v>
      </c>
      <c r="B70" s="502" t="s">
        <v>49</v>
      </c>
      <c r="C70" s="316" t="s">
        <v>1281</v>
      </c>
      <c r="D70" s="104"/>
      <c r="E70" s="39"/>
      <c r="F70" s="40"/>
      <c r="G70" s="39"/>
      <c r="H70" s="450"/>
      <c r="I70" s="39"/>
      <c r="J70" s="39"/>
      <c r="K70" s="39"/>
      <c r="L70" s="450"/>
      <c r="M70" s="450"/>
      <c r="N70" s="450"/>
      <c r="O70" s="450"/>
      <c r="P70" s="451"/>
      <c r="Q70" s="447"/>
      <c r="R70" s="447"/>
    </row>
    <row r="71" spans="1:18" s="31" customFormat="1" ht="12" thickBot="1" x14ac:dyDescent="0.25">
      <c r="A71" s="393">
        <f t="shared" si="1"/>
        <v>68</v>
      </c>
      <c r="B71" s="503" t="s">
        <v>47</v>
      </c>
      <c r="C71" s="321" t="s">
        <v>1282</v>
      </c>
      <c r="D71" s="112"/>
      <c r="E71" s="34"/>
      <c r="F71" s="121"/>
      <c r="G71" s="34"/>
      <c r="H71" s="504"/>
      <c r="I71" s="34"/>
      <c r="J71" s="34"/>
      <c r="K71" s="34"/>
      <c r="L71" s="504"/>
      <c r="M71" s="504"/>
      <c r="N71" s="504"/>
      <c r="O71" s="504"/>
      <c r="P71" s="452"/>
      <c r="Q71" s="446"/>
      <c r="R71" s="446"/>
    </row>
    <row r="72" spans="1:18" s="31" customFormat="1" ht="12" thickTop="1" x14ac:dyDescent="0.2">
      <c r="A72" s="111">
        <f t="shared" si="1"/>
        <v>69</v>
      </c>
      <c r="B72" s="505" t="s">
        <v>235</v>
      </c>
      <c r="C72" s="506"/>
      <c r="D72" s="500"/>
      <c r="E72" s="43"/>
      <c r="F72" s="72"/>
      <c r="G72" s="43"/>
      <c r="H72" s="495"/>
      <c r="I72" s="43"/>
      <c r="J72" s="43"/>
      <c r="K72" s="43"/>
      <c r="L72" s="495"/>
      <c r="M72" s="495"/>
      <c r="N72" s="495"/>
      <c r="O72" s="495"/>
      <c r="P72" s="412"/>
      <c r="Q72" s="240"/>
      <c r="R72" s="240"/>
    </row>
    <row r="73" spans="1:18" s="31" customFormat="1" x14ac:dyDescent="0.2">
      <c r="A73" s="111">
        <f t="shared" si="1"/>
        <v>70</v>
      </c>
      <c r="B73" s="241" t="s">
        <v>236</v>
      </c>
      <c r="C73" s="494" t="s">
        <v>1671</v>
      </c>
      <c r="D73" s="500"/>
      <c r="E73" s="43"/>
      <c r="F73" s="72"/>
      <c r="G73" s="43"/>
      <c r="H73" s="495"/>
      <c r="I73" s="43"/>
      <c r="J73" s="43"/>
      <c r="K73" s="43"/>
      <c r="L73" s="495"/>
      <c r="M73" s="495"/>
      <c r="N73" s="495"/>
      <c r="O73" s="495"/>
      <c r="P73" s="412"/>
      <c r="Q73" s="240"/>
      <c r="R73" s="240"/>
    </row>
    <row r="74" spans="1:18" s="31" customFormat="1" x14ac:dyDescent="0.2">
      <c r="A74" s="111">
        <f t="shared" si="1"/>
        <v>71</v>
      </c>
      <c r="B74" s="241" t="s">
        <v>1327</v>
      </c>
      <c r="C74" s="494" t="s">
        <v>1672</v>
      </c>
      <c r="D74" s="500"/>
      <c r="E74" s="43"/>
      <c r="F74" s="72"/>
      <c r="G74" s="43"/>
      <c r="H74" s="495"/>
      <c r="I74" s="43"/>
      <c r="J74" s="43"/>
      <c r="K74" s="43"/>
      <c r="L74" s="495"/>
      <c r="M74" s="495"/>
      <c r="N74" s="495"/>
      <c r="O74" s="495"/>
      <c r="P74" s="412"/>
      <c r="Q74" s="240"/>
      <c r="R74" s="240"/>
    </row>
    <row r="75" spans="1:18" s="31" customFormat="1" x14ac:dyDescent="0.2">
      <c r="A75" s="111">
        <f t="shared" si="1"/>
        <v>72</v>
      </c>
      <c r="B75" s="241" t="s">
        <v>1285</v>
      </c>
      <c r="C75" s="494" t="s">
        <v>1673</v>
      </c>
      <c r="D75" s="500"/>
      <c r="E75" s="43"/>
      <c r="F75" s="72"/>
      <c r="G75" s="43"/>
      <c r="H75" s="495"/>
      <c r="I75" s="43"/>
      <c r="J75" s="43"/>
      <c r="K75" s="43"/>
      <c r="L75" s="495"/>
      <c r="M75" s="495"/>
      <c r="N75" s="495"/>
      <c r="O75" s="495"/>
      <c r="P75" s="412"/>
      <c r="Q75" s="240"/>
      <c r="R75" s="240"/>
    </row>
    <row r="76" spans="1:18" s="31" customFormat="1" x14ac:dyDescent="0.2">
      <c r="A76" s="111">
        <f t="shared" si="1"/>
        <v>73</v>
      </c>
      <c r="B76" s="241" t="s">
        <v>24</v>
      </c>
      <c r="C76" s="494" t="s">
        <v>920</v>
      </c>
      <c r="D76" s="500"/>
      <c r="E76" s="43"/>
      <c r="F76" s="72"/>
      <c r="G76" s="43"/>
      <c r="H76" s="495"/>
      <c r="I76" s="43"/>
      <c r="J76" s="43"/>
      <c r="K76" s="43"/>
      <c r="L76" s="495"/>
      <c r="M76" s="495"/>
      <c r="N76" s="495"/>
      <c r="O76" s="495"/>
      <c r="P76" s="412"/>
      <c r="Q76" s="240"/>
      <c r="R76" s="240"/>
    </row>
    <row r="77" spans="1:18" s="31" customFormat="1" x14ac:dyDescent="0.2">
      <c r="A77" s="111">
        <f t="shared" si="1"/>
        <v>74</v>
      </c>
      <c r="B77" s="241" t="s">
        <v>237</v>
      </c>
      <c r="C77" s="494" t="s">
        <v>741</v>
      </c>
      <c r="D77" s="500"/>
      <c r="E77" s="43"/>
      <c r="F77" s="72"/>
      <c r="G77" s="43"/>
      <c r="H77" s="495"/>
      <c r="I77" s="43"/>
      <c r="J77" s="43"/>
      <c r="K77" s="43"/>
      <c r="L77" s="495"/>
      <c r="M77" s="495"/>
      <c r="N77" s="495"/>
      <c r="O77" s="495"/>
      <c r="P77" s="412"/>
      <c r="Q77" s="240"/>
      <c r="R77" s="240"/>
    </row>
    <row r="78" spans="1:18" s="31" customFormat="1" x14ac:dyDescent="0.2">
      <c r="A78" s="111">
        <f t="shared" si="1"/>
        <v>75</v>
      </c>
      <c r="B78" s="241" t="s">
        <v>238</v>
      </c>
      <c r="C78" s="494" t="s">
        <v>1828</v>
      </c>
      <c r="D78" s="500"/>
      <c r="E78" s="43"/>
      <c r="F78" s="72"/>
      <c r="G78" s="43"/>
      <c r="H78" s="495"/>
      <c r="I78" s="43"/>
      <c r="J78" s="43"/>
      <c r="K78" s="43"/>
      <c r="L78" s="495"/>
      <c r="M78" s="495"/>
      <c r="N78" s="495"/>
      <c r="O78" s="495"/>
      <c r="P78" s="412"/>
      <c r="Q78" s="240"/>
      <c r="R78" s="240"/>
    </row>
    <row r="79" spans="1:18" s="31" customFormat="1" x14ac:dyDescent="0.2">
      <c r="A79" s="111">
        <f t="shared" si="1"/>
        <v>76</v>
      </c>
      <c r="B79" s="241" t="s">
        <v>1272</v>
      </c>
      <c r="C79" s="496" t="s">
        <v>1273</v>
      </c>
      <c r="D79" s="500"/>
      <c r="E79" s="43"/>
      <c r="F79" s="72"/>
      <c r="G79" s="43"/>
      <c r="H79" s="495"/>
      <c r="I79" s="43"/>
      <c r="J79" s="43"/>
      <c r="K79" s="43"/>
      <c r="L79" s="495"/>
      <c r="M79" s="495"/>
      <c r="N79" s="495"/>
      <c r="O79" s="495"/>
      <c r="P79" s="412"/>
      <c r="Q79" s="240"/>
      <c r="R79" s="240"/>
    </row>
    <row r="80" spans="1:18" s="31" customFormat="1" x14ac:dyDescent="0.2">
      <c r="A80" s="111">
        <f t="shared" si="1"/>
        <v>77</v>
      </c>
      <c r="B80" s="241" t="s">
        <v>239</v>
      </c>
      <c r="C80" s="496" t="s">
        <v>742</v>
      </c>
      <c r="D80" s="500"/>
      <c r="E80" s="43"/>
      <c r="F80" s="72"/>
      <c r="G80" s="43"/>
      <c r="H80" s="495"/>
      <c r="I80" s="43"/>
      <c r="J80" s="43"/>
      <c r="K80" s="43"/>
      <c r="L80" s="495"/>
      <c r="M80" s="495"/>
      <c r="N80" s="495"/>
      <c r="O80" s="495"/>
      <c r="P80" s="412"/>
      <c r="Q80" s="240"/>
      <c r="R80" s="240"/>
    </row>
    <row r="81" spans="1:18" s="31" customFormat="1" x14ac:dyDescent="0.2">
      <c r="A81" s="111">
        <f t="shared" si="1"/>
        <v>78</v>
      </c>
      <c r="B81" s="241" t="s">
        <v>355</v>
      </c>
      <c r="C81" s="320">
        <v>9001</v>
      </c>
      <c r="D81" s="500"/>
      <c r="E81" s="43"/>
      <c r="F81" s="72"/>
      <c r="G81" s="43"/>
      <c r="H81" s="495"/>
      <c r="I81" s="43"/>
      <c r="J81" s="43"/>
      <c r="K81" s="43"/>
      <c r="L81" s="495"/>
      <c r="M81" s="495"/>
      <c r="N81" s="495"/>
      <c r="O81" s="495"/>
      <c r="P81" s="412"/>
      <c r="Q81" s="240"/>
      <c r="R81" s="240"/>
    </row>
    <row r="82" spans="1:18" s="31" customFormat="1" x14ac:dyDescent="0.2">
      <c r="A82" s="111">
        <f>A81+1</f>
        <v>79</v>
      </c>
      <c r="B82" s="241" t="s">
        <v>356</v>
      </c>
      <c r="C82" s="320" t="s">
        <v>1544</v>
      </c>
      <c r="D82" s="500"/>
      <c r="E82" s="43"/>
      <c r="F82" s="72"/>
      <c r="G82" s="43"/>
      <c r="H82" s="495"/>
      <c r="I82" s="43"/>
      <c r="J82" s="43"/>
      <c r="K82" s="43"/>
      <c r="L82" s="495"/>
      <c r="M82" s="495"/>
      <c r="N82" s="495"/>
      <c r="O82" s="495"/>
      <c r="P82" s="412"/>
      <c r="Q82" s="240"/>
      <c r="R82" s="240"/>
    </row>
    <row r="83" spans="1:18" s="31" customFormat="1" x14ac:dyDescent="0.2">
      <c r="A83" s="111">
        <f t="shared" si="1"/>
        <v>80</v>
      </c>
      <c r="B83" s="241" t="s">
        <v>1753</v>
      </c>
      <c r="C83" s="320" t="s">
        <v>1545</v>
      </c>
      <c r="D83" s="500"/>
      <c r="E83" s="43"/>
      <c r="F83" s="72"/>
      <c r="G83" s="43"/>
      <c r="H83" s="495"/>
      <c r="I83" s="43"/>
      <c r="J83" s="43"/>
      <c r="K83" s="43"/>
      <c r="L83" s="495"/>
      <c r="M83" s="495"/>
      <c r="N83" s="495"/>
      <c r="O83" s="495"/>
      <c r="P83" s="412"/>
      <c r="Q83" s="240"/>
      <c r="R83" s="240"/>
    </row>
    <row r="84" spans="1:18" s="31" customFormat="1" x14ac:dyDescent="0.2">
      <c r="A84" s="111">
        <f t="shared" si="1"/>
        <v>81</v>
      </c>
      <c r="B84" s="241" t="s">
        <v>1754</v>
      </c>
      <c r="C84" s="320" t="s">
        <v>1546</v>
      </c>
      <c r="D84" s="500"/>
      <c r="E84" s="43"/>
      <c r="F84" s="72"/>
      <c r="G84" s="43"/>
      <c r="H84" s="495"/>
      <c r="I84" s="43"/>
      <c r="J84" s="43"/>
      <c r="K84" s="43"/>
      <c r="L84" s="495"/>
      <c r="M84" s="495"/>
      <c r="N84" s="495"/>
      <c r="O84" s="495"/>
      <c r="P84" s="412"/>
      <c r="Q84" s="240"/>
      <c r="R84" s="240"/>
    </row>
    <row r="85" spans="1:18" s="31" customFormat="1" ht="12" x14ac:dyDescent="0.2">
      <c r="A85" s="110">
        <f t="shared" si="1"/>
        <v>82</v>
      </c>
      <c r="B85" s="507" t="s">
        <v>1253</v>
      </c>
      <c r="C85" s="316" t="s">
        <v>1832</v>
      </c>
      <c r="D85" s="102"/>
      <c r="E85" s="49"/>
      <c r="F85" s="50"/>
      <c r="G85" s="49"/>
      <c r="H85" s="449"/>
      <c r="I85" s="49"/>
      <c r="J85" s="49"/>
      <c r="K85" s="49"/>
      <c r="L85" s="449"/>
      <c r="M85" s="449"/>
      <c r="N85" s="449"/>
      <c r="O85" s="449"/>
      <c r="P85" s="453"/>
      <c r="Q85" s="448"/>
      <c r="R85" s="448"/>
    </row>
    <row r="86" spans="1:18" s="31" customFormat="1" x14ac:dyDescent="0.2">
      <c r="A86" s="111">
        <f t="shared" si="1"/>
        <v>83</v>
      </c>
      <c r="B86" s="508" t="s">
        <v>725</v>
      </c>
      <c r="C86" s="509"/>
      <c r="D86" s="500"/>
      <c r="E86" s="43"/>
      <c r="F86" s="72"/>
      <c r="G86" s="43"/>
      <c r="H86" s="495"/>
      <c r="I86" s="43"/>
      <c r="J86" s="43"/>
      <c r="K86" s="43"/>
      <c r="L86" s="495"/>
      <c r="M86" s="495"/>
      <c r="N86" s="495"/>
      <c r="O86" s="495"/>
      <c r="P86" s="412"/>
      <c r="Q86" s="240"/>
      <c r="R86" s="240"/>
    </row>
    <row r="87" spans="1:18" s="31" customFormat="1" x14ac:dyDescent="0.2">
      <c r="A87" s="111">
        <f t="shared" si="1"/>
        <v>84</v>
      </c>
      <c r="B87" s="93" t="s">
        <v>308</v>
      </c>
      <c r="C87" s="496" t="s">
        <v>743</v>
      </c>
      <c r="D87" s="101"/>
      <c r="E87" s="54"/>
      <c r="F87" s="56"/>
      <c r="G87" s="54"/>
      <c r="H87" s="238"/>
      <c r="I87" s="54"/>
      <c r="J87" s="54"/>
      <c r="K87" s="54"/>
      <c r="L87" s="238"/>
      <c r="M87" s="238"/>
      <c r="N87" s="238"/>
      <c r="O87" s="238"/>
      <c r="P87" s="411"/>
      <c r="Q87" s="239"/>
      <c r="R87" s="239"/>
    </row>
    <row r="88" spans="1:18" x14ac:dyDescent="0.2">
      <c r="A88" s="111">
        <f t="shared" si="1"/>
        <v>85</v>
      </c>
      <c r="B88" s="93" t="s">
        <v>463</v>
      </c>
      <c r="C88" s="494" t="s">
        <v>922</v>
      </c>
      <c r="D88" s="58"/>
      <c r="E88" s="4"/>
      <c r="F88" s="4"/>
      <c r="G88" s="4"/>
      <c r="H88" s="4"/>
      <c r="I88" s="4"/>
      <c r="J88" s="4"/>
      <c r="K88" s="4"/>
      <c r="L88" s="4"/>
      <c r="M88" s="4"/>
      <c r="N88" s="4"/>
      <c r="O88" s="4"/>
      <c r="P88" s="405"/>
      <c r="Q88" s="5"/>
      <c r="R88" s="5"/>
    </row>
    <row r="89" spans="1:18" s="31" customFormat="1" x14ac:dyDescent="0.2">
      <c r="A89" s="111">
        <f>A88+1</f>
        <v>86</v>
      </c>
      <c r="B89" s="93" t="s">
        <v>356</v>
      </c>
      <c r="C89" s="320" t="s">
        <v>1547</v>
      </c>
      <c r="D89" s="101"/>
      <c r="E89" s="54"/>
      <c r="F89" s="56"/>
      <c r="G89" s="54"/>
      <c r="H89" s="238"/>
      <c r="I89" s="54"/>
      <c r="J89" s="54"/>
      <c r="K89" s="54"/>
      <c r="L89" s="238"/>
      <c r="M89" s="238"/>
      <c r="N89" s="238"/>
      <c r="O89" s="238"/>
      <c r="P89" s="411"/>
      <c r="Q89" s="239"/>
      <c r="R89" s="239"/>
    </row>
    <row r="90" spans="1:18" s="31" customFormat="1" x14ac:dyDescent="0.2">
      <c r="A90" s="111">
        <f t="shared" si="1"/>
        <v>87</v>
      </c>
      <c r="B90" s="93" t="s">
        <v>1755</v>
      </c>
      <c r="C90" s="320" t="s">
        <v>1548</v>
      </c>
      <c r="D90" s="101"/>
      <c r="E90" s="54"/>
      <c r="F90" s="56"/>
      <c r="G90" s="54"/>
      <c r="H90" s="238"/>
      <c r="I90" s="54"/>
      <c r="J90" s="54"/>
      <c r="K90" s="54"/>
      <c r="L90" s="238"/>
      <c r="M90" s="238"/>
      <c r="N90" s="238"/>
      <c r="O90" s="238"/>
      <c r="P90" s="411"/>
      <c r="Q90" s="239"/>
      <c r="R90" s="239"/>
    </row>
    <row r="91" spans="1:18" s="31" customFormat="1" x14ac:dyDescent="0.2">
      <c r="A91" s="111">
        <f t="shared" si="1"/>
        <v>88</v>
      </c>
      <c r="B91" s="93" t="s">
        <v>1756</v>
      </c>
      <c r="C91" s="320" t="s">
        <v>1549</v>
      </c>
      <c r="D91" s="101"/>
      <c r="E91" s="54"/>
      <c r="F91" s="56"/>
      <c r="G91" s="54"/>
      <c r="H91" s="238"/>
      <c r="I91" s="54"/>
      <c r="J91" s="54"/>
      <c r="K91" s="54"/>
      <c r="L91" s="238"/>
      <c r="M91" s="238"/>
      <c r="N91" s="238"/>
      <c r="O91" s="238"/>
      <c r="P91" s="411"/>
      <c r="Q91" s="239"/>
      <c r="R91" s="239"/>
    </row>
    <row r="92" spans="1:18" s="31" customFormat="1" x14ac:dyDescent="0.2">
      <c r="A92" s="111">
        <f t="shared" si="1"/>
        <v>89</v>
      </c>
      <c r="B92" s="93" t="s">
        <v>456</v>
      </c>
      <c r="C92" s="320">
        <v>9111</v>
      </c>
      <c r="D92" s="101"/>
      <c r="E92" s="54"/>
      <c r="F92" s="56"/>
      <c r="G92" s="54"/>
      <c r="H92" s="238"/>
      <c r="I92" s="54"/>
      <c r="J92" s="54"/>
      <c r="K92" s="54"/>
      <c r="L92" s="238"/>
      <c r="M92" s="238"/>
      <c r="N92" s="238"/>
      <c r="O92" s="238"/>
      <c r="P92" s="411"/>
      <c r="Q92" s="239"/>
      <c r="R92" s="239"/>
    </row>
    <row r="93" spans="1:18" s="31" customFormat="1" x14ac:dyDescent="0.2">
      <c r="A93" s="111">
        <f t="shared" si="1"/>
        <v>90</v>
      </c>
      <c r="B93" s="93" t="s">
        <v>457</v>
      </c>
      <c r="C93" s="320">
        <v>9112</v>
      </c>
      <c r="D93" s="101"/>
      <c r="E93" s="54"/>
      <c r="F93" s="56"/>
      <c r="G93" s="54"/>
      <c r="H93" s="238"/>
      <c r="I93" s="54"/>
      <c r="J93" s="54"/>
      <c r="K93" s="54"/>
      <c r="L93" s="238"/>
      <c r="M93" s="238"/>
      <c r="N93" s="238"/>
      <c r="O93" s="238"/>
      <c r="P93" s="411"/>
      <c r="Q93" s="239"/>
      <c r="R93" s="239"/>
    </row>
    <row r="94" spans="1:18" s="31" customFormat="1" x14ac:dyDescent="0.2">
      <c r="A94" s="111">
        <f t="shared" si="1"/>
        <v>91</v>
      </c>
      <c r="B94" s="93" t="s">
        <v>458</v>
      </c>
      <c r="C94" s="320">
        <v>9113</v>
      </c>
      <c r="D94" s="101"/>
      <c r="E94" s="54"/>
      <c r="F94" s="56"/>
      <c r="G94" s="54"/>
      <c r="H94" s="238"/>
      <c r="I94" s="54"/>
      <c r="J94" s="54"/>
      <c r="K94" s="54"/>
      <c r="L94" s="238"/>
      <c r="M94" s="238"/>
      <c r="N94" s="238"/>
      <c r="O94" s="238"/>
      <c r="P94" s="411"/>
      <c r="Q94" s="239"/>
      <c r="R94" s="239"/>
    </row>
    <row r="95" spans="1:18" s="31" customFormat="1" x14ac:dyDescent="0.2">
      <c r="A95" s="111">
        <f t="shared" si="1"/>
        <v>92</v>
      </c>
      <c r="B95" s="93" t="s">
        <v>459</v>
      </c>
      <c r="C95" s="320">
        <v>9114</v>
      </c>
      <c r="D95" s="101"/>
      <c r="E95" s="54"/>
      <c r="F95" s="56"/>
      <c r="G95" s="54"/>
      <c r="H95" s="238"/>
      <c r="I95" s="54"/>
      <c r="J95" s="54"/>
      <c r="K95" s="54"/>
      <c r="L95" s="238"/>
      <c r="M95" s="238"/>
      <c r="N95" s="238"/>
      <c r="O95" s="238"/>
      <c r="P95" s="411"/>
      <c r="Q95" s="239"/>
      <c r="R95" s="239"/>
    </row>
    <row r="96" spans="1:18" s="31" customFormat="1" x14ac:dyDescent="0.2">
      <c r="A96" s="111">
        <f t="shared" si="1"/>
        <v>93</v>
      </c>
      <c r="B96" s="93" t="s">
        <v>460</v>
      </c>
      <c r="C96" s="320">
        <v>9115</v>
      </c>
      <c r="D96" s="101"/>
      <c r="E96" s="54"/>
      <c r="F96" s="56"/>
      <c r="G96" s="54"/>
      <c r="H96" s="238"/>
      <c r="I96" s="54"/>
      <c r="J96" s="54"/>
      <c r="K96" s="54"/>
      <c r="L96" s="238"/>
      <c r="M96" s="238"/>
      <c r="N96" s="238"/>
      <c r="O96" s="238"/>
      <c r="P96" s="411"/>
      <c r="Q96" s="239"/>
      <c r="R96" s="239"/>
    </row>
    <row r="97" spans="1:18" s="31" customFormat="1" x14ac:dyDescent="0.2">
      <c r="A97" s="111">
        <f t="shared" si="1"/>
        <v>94</v>
      </c>
      <c r="B97" s="93" t="s">
        <v>462</v>
      </c>
      <c r="C97" s="320">
        <v>9117</v>
      </c>
      <c r="D97" s="101"/>
      <c r="E97" s="54"/>
      <c r="F97" s="56"/>
      <c r="G97" s="54"/>
      <c r="H97" s="238"/>
      <c r="I97" s="54"/>
      <c r="J97" s="54"/>
      <c r="K97" s="54"/>
      <c r="L97" s="238"/>
      <c r="M97" s="238"/>
      <c r="N97" s="238"/>
      <c r="O97" s="238"/>
      <c r="P97" s="411"/>
      <c r="Q97" s="239"/>
      <c r="R97" s="239"/>
    </row>
    <row r="98" spans="1:18" s="31" customFormat="1" x14ac:dyDescent="0.2">
      <c r="A98" s="111">
        <f t="shared" si="1"/>
        <v>95</v>
      </c>
      <c r="B98" s="93" t="s">
        <v>361</v>
      </c>
      <c r="C98" s="320">
        <v>9121</v>
      </c>
      <c r="D98" s="101"/>
      <c r="E98" s="54"/>
      <c r="F98" s="56"/>
      <c r="G98" s="54"/>
      <c r="H98" s="238"/>
      <c r="I98" s="54"/>
      <c r="J98" s="54"/>
      <c r="K98" s="54"/>
      <c r="L98" s="238"/>
      <c r="M98" s="238"/>
      <c r="N98" s="238"/>
      <c r="O98" s="238"/>
      <c r="P98" s="411"/>
      <c r="Q98" s="239"/>
      <c r="R98" s="239"/>
    </row>
    <row r="99" spans="1:18" s="31" customFormat="1" x14ac:dyDescent="0.2">
      <c r="A99" s="111">
        <f t="shared" si="1"/>
        <v>96</v>
      </c>
      <c r="B99" s="93" t="s">
        <v>362</v>
      </c>
      <c r="C99" s="320">
        <v>9122</v>
      </c>
      <c r="D99" s="101"/>
      <c r="E99" s="54"/>
      <c r="F99" s="56"/>
      <c r="G99" s="54"/>
      <c r="H99" s="238"/>
      <c r="I99" s="54"/>
      <c r="J99" s="54"/>
      <c r="K99" s="54"/>
      <c r="L99" s="238"/>
      <c r="M99" s="238"/>
      <c r="N99" s="238"/>
      <c r="O99" s="238"/>
      <c r="P99" s="411"/>
      <c r="Q99" s="239"/>
      <c r="R99" s="239"/>
    </row>
    <row r="100" spans="1:18" s="31" customFormat="1" x14ac:dyDescent="0.2">
      <c r="A100" s="111">
        <f t="shared" si="1"/>
        <v>97</v>
      </c>
      <c r="B100" s="93" t="s">
        <v>241</v>
      </c>
      <c r="C100" s="320">
        <v>9131</v>
      </c>
      <c r="D100" s="101"/>
      <c r="E100" s="54"/>
      <c r="F100" s="56"/>
      <c r="G100" s="54"/>
      <c r="H100" s="238"/>
      <c r="I100" s="54"/>
      <c r="J100" s="54"/>
      <c r="K100" s="54"/>
      <c r="L100" s="238"/>
      <c r="M100" s="238"/>
      <c r="N100" s="238"/>
      <c r="O100" s="238"/>
      <c r="P100" s="411"/>
      <c r="Q100" s="239"/>
      <c r="R100" s="239"/>
    </row>
    <row r="101" spans="1:18" s="31" customFormat="1" x14ac:dyDescent="0.2">
      <c r="A101" s="111">
        <f t="shared" si="1"/>
        <v>98</v>
      </c>
      <c r="B101" s="93" t="s">
        <v>242</v>
      </c>
      <c r="C101" s="320">
        <v>9132</v>
      </c>
      <c r="D101" s="101"/>
      <c r="E101" s="54"/>
      <c r="F101" s="56"/>
      <c r="G101" s="54"/>
      <c r="H101" s="238"/>
      <c r="I101" s="54"/>
      <c r="J101" s="54"/>
      <c r="K101" s="54"/>
      <c r="L101" s="238"/>
      <c r="M101" s="238"/>
      <c r="N101" s="238"/>
      <c r="O101" s="238"/>
      <c r="P101" s="411"/>
      <c r="Q101" s="239"/>
      <c r="R101" s="239"/>
    </row>
    <row r="102" spans="1:18" s="31" customFormat="1" x14ac:dyDescent="0.2">
      <c r="A102" s="111">
        <f t="shared" si="1"/>
        <v>99</v>
      </c>
      <c r="B102" s="93" t="s">
        <v>240</v>
      </c>
      <c r="C102" s="320">
        <v>9133</v>
      </c>
      <c r="D102" s="101"/>
      <c r="E102" s="54"/>
      <c r="F102" s="56"/>
      <c r="G102" s="54"/>
      <c r="H102" s="238"/>
      <c r="I102" s="54"/>
      <c r="J102" s="54"/>
      <c r="K102" s="54"/>
      <c r="L102" s="238"/>
      <c r="M102" s="238"/>
      <c r="N102" s="238"/>
      <c r="O102" s="238"/>
      <c r="P102" s="411"/>
      <c r="Q102" s="239"/>
      <c r="R102" s="239"/>
    </row>
    <row r="103" spans="1:18" s="31" customFormat="1" x14ac:dyDescent="0.2">
      <c r="A103" s="110">
        <f t="shared" si="1"/>
        <v>100</v>
      </c>
      <c r="B103" s="510" t="s">
        <v>1254</v>
      </c>
      <c r="C103" s="316" t="s">
        <v>1833</v>
      </c>
      <c r="D103" s="104"/>
      <c r="E103" s="39"/>
      <c r="F103" s="40"/>
      <c r="G103" s="39"/>
      <c r="H103" s="450"/>
      <c r="I103" s="39"/>
      <c r="J103" s="39"/>
      <c r="K103" s="39"/>
      <c r="L103" s="450"/>
      <c r="M103" s="450"/>
      <c r="N103" s="450"/>
      <c r="O103" s="450"/>
      <c r="P103" s="451"/>
      <c r="Q103" s="447"/>
      <c r="R103" s="447"/>
    </row>
    <row r="104" spans="1:18" s="31" customFormat="1" ht="11.25" customHeight="1" x14ac:dyDescent="0.2">
      <c r="A104" s="110">
        <f t="shared" si="1"/>
        <v>101</v>
      </c>
      <c r="B104" s="502" t="s">
        <v>88</v>
      </c>
      <c r="C104" s="316" t="s">
        <v>1834</v>
      </c>
      <c r="D104" s="104"/>
      <c r="E104" s="39"/>
      <c r="F104" s="40"/>
      <c r="G104" s="39"/>
      <c r="H104" s="450"/>
      <c r="I104" s="39"/>
      <c r="J104" s="39"/>
      <c r="K104" s="39"/>
      <c r="L104" s="450"/>
      <c r="M104" s="450"/>
      <c r="N104" s="450"/>
      <c r="O104" s="450"/>
      <c r="P104" s="451"/>
      <c r="Q104" s="447"/>
      <c r="R104" s="447"/>
    </row>
    <row r="105" spans="1:18" x14ac:dyDescent="0.2">
      <c r="A105" s="111">
        <f t="shared" si="1"/>
        <v>102</v>
      </c>
      <c r="B105" s="93" t="s">
        <v>116</v>
      </c>
      <c r="C105" s="494" t="s">
        <v>744</v>
      </c>
      <c r="D105" s="580"/>
      <c r="E105" s="54"/>
      <c r="F105" s="56"/>
      <c r="G105" s="54"/>
      <c r="H105" s="238"/>
      <c r="I105" s="54"/>
      <c r="J105" s="54"/>
      <c r="K105" s="54"/>
      <c r="L105" s="238"/>
      <c r="M105" s="238"/>
      <c r="N105" s="238"/>
      <c r="O105" s="238"/>
      <c r="P105" s="411"/>
      <c r="Q105" s="239"/>
      <c r="R105" s="239"/>
    </row>
    <row r="106" spans="1:18" ht="11.25" customHeight="1" x14ac:dyDescent="0.2">
      <c r="A106" s="111">
        <f t="shared" si="1"/>
        <v>103</v>
      </c>
      <c r="B106" s="93" t="s">
        <v>243</v>
      </c>
      <c r="C106" s="494" t="s">
        <v>745</v>
      </c>
      <c r="D106" s="580"/>
      <c r="E106" s="54"/>
      <c r="F106" s="56"/>
      <c r="G106" s="54"/>
      <c r="H106" s="238"/>
      <c r="I106" s="54"/>
      <c r="J106" s="54"/>
      <c r="K106" s="54"/>
      <c r="L106" s="238"/>
      <c r="M106" s="238"/>
      <c r="N106" s="238"/>
      <c r="O106" s="238"/>
      <c r="P106" s="411"/>
      <c r="Q106" s="239"/>
      <c r="R106" s="239"/>
    </row>
    <row r="107" spans="1:18" x14ac:dyDescent="0.2">
      <c r="A107" s="111">
        <f t="shared" si="1"/>
        <v>104</v>
      </c>
      <c r="B107" s="93" t="s">
        <v>244</v>
      </c>
      <c r="C107" s="494" t="s">
        <v>746</v>
      </c>
      <c r="D107" s="581"/>
      <c r="E107" s="43"/>
      <c r="F107" s="72"/>
      <c r="G107" s="43"/>
      <c r="H107" s="495"/>
      <c r="I107" s="43"/>
      <c r="J107" s="43"/>
      <c r="K107" s="43"/>
      <c r="L107" s="495"/>
      <c r="M107" s="495"/>
      <c r="N107" s="495"/>
      <c r="O107" s="495"/>
      <c r="P107" s="412"/>
      <c r="Q107" s="240"/>
      <c r="R107" s="240"/>
    </row>
    <row r="108" spans="1:18" x14ac:dyDescent="0.2">
      <c r="A108" s="111">
        <f t="shared" si="1"/>
        <v>105</v>
      </c>
      <c r="B108" s="93" t="s">
        <v>245</v>
      </c>
      <c r="C108" s="494" t="s">
        <v>747</v>
      </c>
      <c r="D108" s="580"/>
      <c r="E108" s="54"/>
      <c r="F108" s="56"/>
      <c r="G108" s="54"/>
      <c r="H108" s="238"/>
      <c r="I108" s="54"/>
      <c r="J108" s="54"/>
      <c r="K108" s="54"/>
      <c r="L108" s="238"/>
      <c r="M108" s="238"/>
      <c r="N108" s="238"/>
      <c r="O108" s="238"/>
      <c r="P108" s="411"/>
      <c r="Q108" s="239"/>
      <c r="R108" s="239"/>
    </row>
    <row r="109" spans="1:18" x14ac:dyDescent="0.2">
      <c r="A109" s="111">
        <f t="shared" si="1"/>
        <v>106</v>
      </c>
      <c r="B109" s="93" t="s">
        <v>246</v>
      </c>
      <c r="C109" s="494" t="s">
        <v>748</v>
      </c>
      <c r="D109" s="580"/>
      <c r="E109" s="54"/>
      <c r="F109" s="56"/>
      <c r="G109" s="54"/>
      <c r="H109" s="238"/>
      <c r="I109" s="54"/>
      <c r="J109" s="54"/>
      <c r="K109" s="54"/>
      <c r="L109" s="238"/>
      <c r="M109" s="238"/>
      <c r="N109" s="238"/>
      <c r="O109" s="238"/>
      <c r="P109" s="411"/>
      <c r="Q109" s="239"/>
      <c r="R109" s="239"/>
    </row>
    <row r="110" spans="1:18" x14ac:dyDescent="0.2">
      <c r="A110" s="111">
        <f t="shared" si="1"/>
        <v>107</v>
      </c>
      <c r="B110" s="93" t="s">
        <v>119</v>
      </c>
      <c r="C110" s="494" t="s">
        <v>749</v>
      </c>
      <c r="D110" s="580"/>
      <c r="E110" s="54"/>
      <c r="F110" s="56"/>
      <c r="G110" s="54"/>
      <c r="H110" s="238"/>
      <c r="I110" s="54"/>
      <c r="J110" s="54"/>
      <c r="K110" s="54"/>
      <c r="L110" s="238"/>
      <c r="M110" s="238"/>
      <c r="N110" s="238"/>
      <c r="O110" s="238"/>
      <c r="P110" s="411"/>
      <c r="Q110" s="239"/>
      <c r="R110" s="239"/>
    </row>
    <row r="111" spans="1:18" x14ac:dyDescent="0.2">
      <c r="A111" s="111">
        <f t="shared" si="1"/>
        <v>108</v>
      </c>
      <c r="B111" s="93" t="s">
        <v>247</v>
      </c>
      <c r="C111" s="494" t="s">
        <v>750</v>
      </c>
      <c r="D111" s="580"/>
      <c r="E111" s="54"/>
      <c r="F111" s="56"/>
      <c r="G111" s="54"/>
      <c r="H111" s="238"/>
      <c r="I111" s="54"/>
      <c r="J111" s="54"/>
      <c r="K111" s="54"/>
      <c r="L111" s="238"/>
      <c r="M111" s="238"/>
      <c r="N111" s="238"/>
      <c r="O111" s="238"/>
      <c r="P111" s="411"/>
      <c r="Q111" s="239"/>
      <c r="R111" s="239"/>
    </row>
    <row r="112" spans="1:18" x14ac:dyDescent="0.2">
      <c r="A112" s="111">
        <f t="shared" si="1"/>
        <v>109</v>
      </c>
      <c r="B112" s="93" t="s">
        <v>248</v>
      </c>
      <c r="C112" s="494" t="s">
        <v>751</v>
      </c>
      <c r="D112" s="580"/>
      <c r="E112" s="54"/>
      <c r="F112" s="56"/>
      <c r="G112" s="54"/>
      <c r="H112" s="238"/>
      <c r="I112" s="54"/>
      <c r="J112" s="54"/>
      <c r="K112" s="54"/>
      <c r="L112" s="238"/>
      <c r="M112" s="238"/>
      <c r="N112" s="238"/>
      <c r="O112" s="238"/>
      <c r="P112" s="411"/>
      <c r="Q112" s="239"/>
      <c r="R112" s="239"/>
    </row>
    <row r="113" spans="1:18" x14ac:dyDescent="0.2">
      <c r="A113" s="111">
        <f t="shared" si="1"/>
        <v>110</v>
      </c>
      <c r="B113" s="93" t="s">
        <v>127</v>
      </c>
      <c r="C113" s="494" t="s">
        <v>752</v>
      </c>
      <c r="D113" s="580"/>
      <c r="E113" s="54"/>
      <c r="F113" s="56"/>
      <c r="G113" s="54"/>
      <c r="H113" s="238"/>
      <c r="I113" s="54"/>
      <c r="J113" s="54"/>
      <c r="K113" s="54"/>
      <c r="L113" s="238"/>
      <c r="M113" s="238"/>
      <c r="N113" s="238"/>
      <c r="O113" s="238"/>
      <c r="P113" s="411"/>
      <c r="Q113" s="239"/>
      <c r="R113" s="239"/>
    </row>
    <row r="114" spans="1:18" x14ac:dyDescent="0.2">
      <c r="A114" s="111">
        <f t="shared" si="1"/>
        <v>111</v>
      </c>
      <c r="B114" s="93" t="s">
        <v>444</v>
      </c>
      <c r="C114" s="494" t="s">
        <v>753</v>
      </c>
      <c r="D114" s="580"/>
      <c r="E114" s="54"/>
      <c r="F114" s="56"/>
      <c r="G114" s="54"/>
      <c r="H114" s="238"/>
      <c r="I114" s="54"/>
      <c r="J114" s="54"/>
      <c r="K114" s="54"/>
      <c r="L114" s="238"/>
      <c r="M114" s="238"/>
      <c r="N114" s="238"/>
      <c r="O114" s="238"/>
      <c r="P114" s="411"/>
      <c r="Q114" s="239"/>
      <c r="R114" s="239"/>
    </row>
    <row r="115" spans="1:18" x14ac:dyDescent="0.2">
      <c r="A115" s="111">
        <f t="shared" si="1"/>
        <v>112</v>
      </c>
      <c r="B115" s="93" t="s">
        <v>249</v>
      </c>
      <c r="C115" s="494" t="s">
        <v>754</v>
      </c>
      <c r="D115" s="580"/>
      <c r="E115" s="54"/>
      <c r="F115" s="56"/>
      <c r="G115" s="54"/>
      <c r="H115" s="238"/>
      <c r="I115" s="54"/>
      <c r="J115" s="54"/>
      <c r="K115" s="54"/>
      <c r="L115" s="238"/>
      <c r="M115" s="238"/>
      <c r="N115" s="238"/>
      <c r="O115" s="238"/>
      <c r="P115" s="411"/>
      <c r="Q115" s="239"/>
      <c r="R115" s="239"/>
    </row>
    <row r="116" spans="1:18" x14ac:dyDescent="0.2">
      <c r="A116" s="111">
        <f t="shared" si="1"/>
        <v>113</v>
      </c>
      <c r="B116" s="93" t="s">
        <v>250</v>
      </c>
      <c r="C116" s="494" t="s">
        <v>755</v>
      </c>
      <c r="D116" s="580"/>
      <c r="E116" s="54"/>
      <c r="F116" s="56"/>
      <c r="G116" s="54"/>
      <c r="H116" s="238"/>
      <c r="I116" s="54"/>
      <c r="J116" s="54"/>
      <c r="K116" s="54"/>
      <c r="L116" s="238"/>
      <c r="M116" s="238"/>
      <c r="N116" s="238"/>
      <c r="O116" s="238"/>
      <c r="P116" s="411"/>
      <c r="Q116" s="239"/>
      <c r="R116" s="239"/>
    </row>
    <row r="117" spans="1:18" x14ac:dyDescent="0.2">
      <c r="A117" s="111">
        <f t="shared" si="1"/>
        <v>114</v>
      </c>
      <c r="B117" s="93" t="s">
        <v>251</v>
      </c>
      <c r="C117" s="494" t="s">
        <v>756</v>
      </c>
      <c r="D117" s="580"/>
      <c r="E117" s="54"/>
      <c r="F117" s="56"/>
      <c r="G117" s="54"/>
      <c r="H117" s="238"/>
      <c r="I117" s="54"/>
      <c r="J117" s="54"/>
      <c r="K117" s="54"/>
      <c r="L117" s="238"/>
      <c r="M117" s="238"/>
      <c r="N117" s="238"/>
      <c r="O117" s="238"/>
      <c r="P117" s="411"/>
      <c r="Q117" s="239"/>
      <c r="R117" s="239"/>
    </row>
    <row r="118" spans="1:18" x14ac:dyDescent="0.2">
      <c r="A118" s="111">
        <f t="shared" si="1"/>
        <v>115</v>
      </c>
      <c r="B118" s="93" t="s">
        <v>252</v>
      </c>
      <c r="C118" s="494" t="s">
        <v>757</v>
      </c>
      <c r="D118" s="580"/>
      <c r="E118" s="54"/>
      <c r="F118" s="56"/>
      <c r="G118" s="54"/>
      <c r="H118" s="238"/>
      <c r="I118" s="54"/>
      <c r="J118" s="54"/>
      <c r="K118" s="54"/>
      <c r="L118" s="238"/>
      <c r="M118" s="238"/>
      <c r="N118" s="238"/>
      <c r="O118" s="238"/>
      <c r="P118" s="411"/>
      <c r="Q118" s="239"/>
      <c r="R118" s="239"/>
    </row>
    <row r="119" spans="1:18" x14ac:dyDescent="0.2">
      <c r="A119" s="111">
        <f t="shared" si="1"/>
        <v>116</v>
      </c>
      <c r="B119" s="93" t="s">
        <v>253</v>
      </c>
      <c r="C119" s="494" t="s">
        <v>758</v>
      </c>
      <c r="D119" s="580"/>
      <c r="E119" s="54"/>
      <c r="F119" s="56"/>
      <c r="G119" s="54"/>
      <c r="H119" s="238"/>
      <c r="I119" s="54"/>
      <c r="J119" s="54"/>
      <c r="K119" s="54"/>
      <c r="L119" s="238"/>
      <c r="M119" s="238"/>
      <c r="N119" s="238"/>
      <c r="O119" s="238"/>
      <c r="P119" s="411"/>
      <c r="Q119" s="239"/>
      <c r="R119" s="239"/>
    </row>
    <row r="120" spans="1:18" x14ac:dyDescent="0.2">
      <c r="A120" s="111">
        <f t="shared" si="1"/>
        <v>117</v>
      </c>
      <c r="B120" s="93" t="s">
        <v>254</v>
      </c>
      <c r="C120" s="494" t="s">
        <v>759</v>
      </c>
      <c r="D120" s="580"/>
      <c r="E120" s="54"/>
      <c r="F120" s="56"/>
      <c r="G120" s="54"/>
      <c r="H120" s="238"/>
      <c r="I120" s="54"/>
      <c r="J120" s="54"/>
      <c r="K120" s="54"/>
      <c r="L120" s="238"/>
      <c r="M120" s="238"/>
      <c r="N120" s="238"/>
      <c r="O120" s="238"/>
      <c r="P120" s="411"/>
      <c r="Q120" s="239"/>
      <c r="R120" s="239"/>
    </row>
    <row r="121" spans="1:18" x14ac:dyDescent="0.2">
      <c r="A121" s="111">
        <f t="shared" si="1"/>
        <v>118</v>
      </c>
      <c r="B121" s="93" t="s">
        <v>255</v>
      </c>
      <c r="C121" s="494" t="s">
        <v>760</v>
      </c>
      <c r="D121" s="580"/>
      <c r="E121" s="54"/>
      <c r="F121" s="56"/>
      <c r="G121" s="54"/>
      <c r="H121" s="238"/>
      <c r="I121" s="54"/>
      <c r="J121" s="54"/>
      <c r="K121" s="54"/>
      <c r="L121" s="238"/>
      <c r="M121" s="238"/>
      <c r="N121" s="238"/>
      <c r="O121" s="238"/>
      <c r="P121" s="411"/>
      <c r="Q121" s="239"/>
      <c r="R121" s="239"/>
    </row>
    <row r="122" spans="1:18" x14ac:dyDescent="0.2">
      <c r="A122" s="111">
        <f t="shared" si="1"/>
        <v>119</v>
      </c>
      <c r="B122" s="93" t="s">
        <v>256</v>
      </c>
      <c r="C122" s="494" t="s">
        <v>761</v>
      </c>
      <c r="D122" s="580"/>
      <c r="E122" s="54"/>
      <c r="F122" s="56"/>
      <c r="G122" s="54"/>
      <c r="H122" s="238"/>
      <c r="I122" s="54"/>
      <c r="J122" s="54"/>
      <c r="K122" s="54"/>
      <c r="L122" s="238"/>
      <c r="M122" s="238"/>
      <c r="N122" s="238"/>
      <c r="O122" s="238"/>
      <c r="P122" s="411"/>
      <c r="Q122" s="239"/>
      <c r="R122" s="239"/>
    </row>
    <row r="123" spans="1:18" x14ac:dyDescent="0.2">
      <c r="A123" s="111">
        <f t="shared" si="1"/>
        <v>120</v>
      </c>
      <c r="B123" s="93" t="s">
        <v>257</v>
      </c>
      <c r="C123" s="494" t="s">
        <v>762</v>
      </c>
      <c r="D123" s="580"/>
      <c r="E123" s="54"/>
      <c r="F123" s="56"/>
      <c r="G123" s="54"/>
      <c r="H123" s="238"/>
      <c r="I123" s="54"/>
      <c r="J123" s="54"/>
      <c r="K123" s="54"/>
      <c r="L123" s="238"/>
      <c r="M123" s="238"/>
      <c r="N123" s="238"/>
      <c r="O123" s="238"/>
      <c r="P123" s="411"/>
      <c r="Q123" s="239"/>
      <c r="R123" s="239"/>
    </row>
    <row r="124" spans="1:18" x14ac:dyDescent="0.2">
      <c r="A124" s="111">
        <f t="shared" si="1"/>
        <v>121</v>
      </c>
      <c r="B124" s="93" t="s">
        <v>258</v>
      </c>
      <c r="C124" s="494" t="s">
        <v>763</v>
      </c>
      <c r="D124" s="581"/>
      <c r="E124" s="43"/>
      <c r="F124" s="72"/>
      <c r="G124" s="43"/>
      <c r="H124" s="495"/>
      <c r="I124" s="43"/>
      <c r="J124" s="43"/>
      <c r="K124" s="43"/>
      <c r="L124" s="495"/>
      <c r="M124" s="495"/>
      <c r="N124" s="495"/>
      <c r="O124" s="495"/>
      <c r="P124" s="412"/>
      <c r="Q124" s="240"/>
      <c r="R124" s="240"/>
    </row>
    <row r="125" spans="1:18" x14ac:dyDescent="0.2">
      <c r="A125" s="111">
        <f t="shared" si="1"/>
        <v>122</v>
      </c>
      <c r="B125" s="93" t="s">
        <v>259</v>
      </c>
      <c r="C125" s="494" t="s">
        <v>764</v>
      </c>
      <c r="D125" s="582"/>
      <c r="E125" s="241"/>
      <c r="F125" s="511"/>
      <c r="G125" s="54"/>
      <c r="H125" s="238"/>
      <c r="I125" s="54"/>
      <c r="J125" s="54"/>
      <c r="K125" s="54"/>
      <c r="L125" s="238"/>
      <c r="M125" s="238"/>
      <c r="N125" s="238"/>
      <c r="O125" s="238"/>
      <c r="P125" s="411"/>
      <c r="Q125" s="239"/>
      <c r="R125" s="239"/>
    </row>
    <row r="126" spans="1:18" x14ac:dyDescent="0.2">
      <c r="A126" s="111">
        <f t="shared" si="1"/>
        <v>123</v>
      </c>
      <c r="B126" s="93" t="s">
        <v>260</v>
      </c>
      <c r="C126" s="512" t="s">
        <v>765</v>
      </c>
      <c r="D126" s="582"/>
      <c r="E126" s="241"/>
      <c r="F126" s="511"/>
      <c r="G126" s="54"/>
      <c r="H126" s="238"/>
      <c r="I126" s="54"/>
      <c r="J126" s="54"/>
      <c r="K126" s="54"/>
      <c r="L126" s="238"/>
      <c r="M126" s="238"/>
      <c r="N126" s="238"/>
      <c r="O126" s="238"/>
      <c r="P126" s="411"/>
      <c r="Q126" s="239"/>
      <c r="R126" s="239"/>
    </row>
    <row r="127" spans="1:18" x14ac:dyDescent="0.2">
      <c r="A127" s="111">
        <f t="shared" si="1"/>
        <v>124</v>
      </c>
      <c r="B127" s="93" t="s">
        <v>261</v>
      </c>
      <c r="C127" s="512" t="s">
        <v>766</v>
      </c>
      <c r="D127" s="581"/>
      <c r="E127" s="43"/>
      <c r="F127" s="72"/>
      <c r="G127" s="43"/>
      <c r="H127" s="495"/>
      <c r="I127" s="43"/>
      <c r="J127" s="43"/>
      <c r="K127" s="43"/>
      <c r="L127" s="495"/>
      <c r="M127" s="495"/>
      <c r="N127" s="495"/>
      <c r="O127" s="495"/>
      <c r="P127" s="412"/>
      <c r="Q127" s="240"/>
      <c r="R127" s="240"/>
    </row>
    <row r="128" spans="1:18" x14ac:dyDescent="0.2">
      <c r="A128" s="111">
        <f t="shared" si="1"/>
        <v>125</v>
      </c>
      <c r="B128" s="93" t="s">
        <v>262</v>
      </c>
      <c r="C128" s="512" t="s">
        <v>767</v>
      </c>
      <c r="D128" s="580"/>
      <c r="E128" s="54"/>
      <c r="F128" s="56"/>
      <c r="G128" s="54"/>
      <c r="H128" s="238"/>
      <c r="I128" s="54"/>
      <c r="J128" s="54"/>
      <c r="K128" s="54"/>
      <c r="L128" s="238"/>
      <c r="M128" s="238"/>
      <c r="N128" s="238"/>
      <c r="O128" s="238"/>
      <c r="P128" s="411"/>
      <c r="Q128" s="239"/>
      <c r="R128" s="239"/>
    </row>
    <row r="129" spans="1:18" x14ac:dyDescent="0.2">
      <c r="A129" s="111">
        <f t="shared" si="1"/>
        <v>126</v>
      </c>
      <c r="B129" s="93" t="s">
        <v>263</v>
      </c>
      <c r="C129" s="512" t="s">
        <v>768</v>
      </c>
      <c r="D129" s="581"/>
      <c r="E129" s="43"/>
      <c r="F129" s="72"/>
      <c r="G129" s="43"/>
      <c r="H129" s="495"/>
      <c r="I129" s="43"/>
      <c r="J129" s="43"/>
      <c r="K129" s="43"/>
      <c r="L129" s="495"/>
      <c r="M129" s="495"/>
      <c r="N129" s="495"/>
      <c r="O129" s="495"/>
      <c r="P129" s="412"/>
      <c r="Q129" s="240"/>
      <c r="R129" s="240"/>
    </row>
    <row r="130" spans="1:18" x14ac:dyDescent="0.2">
      <c r="A130" s="111">
        <f t="shared" si="1"/>
        <v>127</v>
      </c>
      <c r="B130" s="93" t="s">
        <v>264</v>
      </c>
      <c r="C130" s="512" t="s">
        <v>769</v>
      </c>
      <c r="D130" s="581"/>
      <c r="E130" s="43"/>
      <c r="F130" s="72"/>
      <c r="G130" s="43"/>
      <c r="H130" s="495"/>
      <c r="I130" s="43"/>
      <c r="J130" s="43"/>
      <c r="K130" s="43"/>
      <c r="L130" s="495"/>
      <c r="M130" s="495"/>
      <c r="N130" s="495"/>
      <c r="O130" s="495"/>
      <c r="P130" s="412"/>
      <c r="Q130" s="240"/>
      <c r="R130" s="240"/>
    </row>
    <row r="131" spans="1:18" x14ac:dyDescent="0.2">
      <c r="A131" s="111">
        <f t="shared" si="1"/>
        <v>128</v>
      </c>
      <c r="B131" s="93" t="s">
        <v>445</v>
      </c>
      <c r="C131" s="513" t="s">
        <v>770</v>
      </c>
      <c r="D131" s="580"/>
      <c r="E131" s="54"/>
      <c r="F131" s="56"/>
      <c r="G131" s="54"/>
      <c r="H131" s="238"/>
      <c r="I131" s="54"/>
      <c r="J131" s="54"/>
      <c r="K131" s="54"/>
      <c r="L131" s="238"/>
      <c r="M131" s="238"/>
      <c r="N131" s="238"/>
      <c r="O131" s="238"/>
      <c r="P131" s="411"/>
      <c r="Q131" s="239"/>
      <c r="R131" s="239"/>
    </row>
    <row r="132" spans="1:18" x14ac:dyDescent="0.2">
      <c r="A132" s="110">
        <f t="shared" si="1"/>
        <v>129</v>
      </c>
      <c r="B132" s="510" t="s">
        <v>1235</v>
      </c>
      <c r="C132" s="514" t="s">
        <v>1835</v>
      </c>
      <c r="D132" s="104"/>
      <c r="E132" s="39"/>
      <c r="F132" s="40"/>
      <c r="G132" s="39"/>
      <c r="H132" s="450"/>
      <c r="I132" s="39"/>
      <c r="J132" s="39"/>
      <c r="K132" s="39"/>
      <c r="L132" s="450"/>
      <c r="M132" s="450"/>
      <c r="N132" s="450"/>
      <c r="O132" s="450"/>
      <c r="P132" s="451"/>
      <c r="Q132" s="447"/>
      <c r="R132" s="447"/>
    </row>
    <row r="133" spans="1:18" x14ac:dyDescent="0.2">
      <c r="A133" s="111">
        <f t="shared" si="1"/>
        <v>130</v>
      </c>
      <c r="B133" s="93" t="s">
        <v>265</v>
      </c>
      <c r="C133" s="515" t="s">
        <v>771</v>
      </c>
      <c r="D133" s="583"/>
      <c r="E133" s="54"/>
      <c r="F133" s="56"/>
      <c r="G133" s="54"/>
      <c r="H133" s="238"/>
      <c r="I133" s="54"/>
      <c r="J133" s="54"/>
      <c r="K133" s="54"/>
      <c r="L133" s="238"/>
      <c r="M133" s="238"/>
      <c r="N133" s="238"/>
      <c r="O133" s="238"/>
      <c r="P133" s="411"/>
      <c r="Q133" s="239"/>
      <c r="R133" s="239"/>
    </row>
    <row r="134" spans="1:18" x14ac:dyDescent="0.2">
      <c r="A134" s="111">
        <f t="shared" ref="A134:A197" si="2">A133+1</f>
        <v>131</v>
      </c>
      <c r="B134" s="93" t="s">
        <v>266</v>
      </c>
      <c r="C134" s="512" t="s">
        <v>772</v>
      </c>
      <c r="D134" s="583"/>
      <c r="E134" s="54"/>
      <c r="F134" s="56"/>
      <c r="G134" s="54"/>
      <c r="H134" s="238"/>
      <c r="I134" s="54"/>
      <c r="J134" s="54"/>
      <c r="K134" s="54"/>
      <c r="L134" s="238"/>
      <c r="M134" s="238"/>
      <c r="N134" s="238"/>
      <c r="O134" s="238"/>
      <c r="P134" s="411"/>
      <c r="Q134" s="239"/>
      <c r="R134" s="239"/>
    </row>
    <row r="135" spans="1:18" x14ac:dyDescent="0.2">
      <c r="A135" s="111">
        <f t="shared" si="2"/>
        <v>132</v>
      </c>
      <c r="B135" s="93" t="s">
        <v>267</v>
      </c>
      <c r="C135" s="512" t="s">
        <v>773</v>
      </c>
      <c r="D135" s="584"/>
      <c r="E135" s="495"/>
      <c r="F135" s="495"/>
      <c r="G135" s="495"/>
      <c r="H135" s="495"/>
      <c r="I135" s="43"/>
      <c r="J135" s="43"/>
      <c r="K135" s="43"/>
      <c r="L135" s="495"/>
      <c r="M135" s="495"/>
      <c r="N135" s="495"/>
      <c r="O135" s="495"/>
      <c r="P135" s="412"/>
      <c r="Q135" s="240"/>
      <c r="R135" s="240"/>
    </row>
    <row r="136" spans="1:18" x14ac:dyDescent="0.2">
      <c r="A136" s="111">
        <f t="shared" si="2"/>
        <v>133</v>
      </c>
      <c r="B136" s="93" t="s">
        <v>268</v>
      </c>
      <c r="C136" s="512" t="s">
        <v>774</v>
      </c>
      <c r="D136" s="583"/>
      <c r="E136" s="54"/>
      <c r="F136" s="56"/>
      <c r="G136" s="54"/>
      <c r="H136" s="238"/>
      <c r="I136" s="54"/>
      <c r="J136" s="54"/>
      <c r="K136" s="54"/>
      <c r="L136" s="238"/>
      <c r="M136" s="238"/>
      <c r="N136" s="238"/>
      <c r="O136" s="238"/>
      <c r="P136" s="411"/>
      <c r="Q136" s="239"/>
      <c r="R136" s="239"/>
    </row>
    <row r="137" spans="1:18" x14ac:dyDescent="0.2">
      <c r="A137" s="111">
        <f t="shared" si="2"/>
        <v>134</v>
      </c>
      <c r="B137" s="93" t="s">
        <v>269</v>
      </c>
      <c r="C137" s="512" t="s">
        <v>775</v>
      </c>
      <c r="D137" s="583"/>
      <c r="E137" s="54"/>
      <c r="F137" s="56"/>
      <c r="G137" s="54"/>
      <c r="H137" s="238"/>
      <c r="I137" s="54"/>
      <c r="J137" s="54"/>
      <c r="K137" s="54"/>
      <c r="L137" s="238"/>
      <c r="M137" s="238"/>
      <c r="N137" s="238"/>
      <c r="O137" s="238"/>
      <c r="P137" s="411"/>
      <c r="Q137" s="239"/>
      <c r="R137" s="239"/>
    </row>
    <row r="138" spans="1:18" x14ac:dyDescent="0.2">
      <c r="A138" s="111">
        <f t="shared" si="2"/>
        <v>135</v>
      </c>
      <c r="B138" s="93" t="s">
        <v>270</v>
      </c>
      <c r="C138" s="512" t="s">
        <v>776</v>
      </c>
      <c r="D138" s="583"/>
      <c r="E138" s="54"/>
      <c r="F138" s="56"/>
      <c r="G138" s="54"/>
      <c r="H138" s="238"/>
      <c r="I138" s="54"/>
      <c r="J138" s="54"/>
      <c r="K138" s="54"/>
      <c r="L138" s="238"/>
      <c r="M138" s="238"/>
      <c r="N138" s="238"/>
      <c r="O138" s="238"/>
      <c r="P138" s="411"/>
      <c r="Q138" s="239"/>
      <c r="R138" s="239"/>
    </row>
    <row r="139" spans="1:18" x14ac:dyDescent="0.2">
      <c r="A139" s="111">
        <f t="shared" si="2"/>
        <v>136</v>
      </c>
      <c r="B139" s="93" t="s">
        <v>446</v>
      </c>
      <c r="C139" s="512" t="s">
        <v>777</v>
      </c>
      <c r="D139" s="583"/>
      <c r="E139" s="54"/>
      <c r="F139" s="56"/>
      <c r="G139" s="54"/>
      <c r="H139" s="238"/>
      <c r="I139" s="54"/>
      <c r="J139" s="54"/>
      <c r="K139" s="54"/>
      <c r="L139" s="238"/>
      <c r="M139" s="238"/>
      <c r="N139" s="238"/>
      <c r="O139" s="238"/>
      <c r="P139" s="411"/>
      <c r="Q139" s="239"/>
      <c r="R139" s="239"/>
    </row>
    <row r="140" spans="1:18" x14ac:dyDescent="0.2">
      <c r="A140" s="111">
        <f t="shared" si="2"/>
        <v>137</v>
      </c>
      <c r="B140" s="93" t="s">
        <v>447</v>
      </c>
      <c r="C140" s="513" t="s">
        <v>778</v>
      </c>
      <c r="D140" s="584"/>
      <c r="E140" s="495"/>
      <c r="F140" s="495"/>
      <c r="G140" s="495"/>
      <c r="H140" s="495"/>
      <c r="I140" s="43"/>
      <c r="J140" s="43"/>
      <c r="K140" s="43"/>
      <c r="L140" s="495"/>
      <c r="M140" s="495"/>
      <c r="N140" s="495"/>
      <c r="O140" s="495"/>
      <c r="P140" s="412"/>
      <c r="Q140" s="240"/>
      <c r="R140" s="240"/>
    </row>
    <row r="141" spans="1:18" x14ac:dyDescent="0.2">
      <c r="A141" s="110">
        <f t="shared" si="2"/>
        <v>138</v>
      </c>
      <c r="B141" s="510" t="s">
        <v>1236</v>
      </c>
      <c r="C141" s="514" t="s">
        <v>1836</v>
      </c>
      <c r="D141" s="517"/>
      <c r="E141" s="449"/>
      <c r="F141" s="449"/>
      <c r="G141" s="449"/>
      <c r="H141" s="449"/>
      <c r="I141" s="49"/>
      <c r="J141" s="49"/>
      <c r="K141" s="49"/>
      <c r="L141" s="449"/>
      <c r="M141" s="449"/>
      <c r="N141" s="449"/>
      <c r="O141" s="449"/>
      <c r="P141" s="453"/>
      <c r="Q141" s="448"/>
      <c r="R141" s="448"/>
    </row>
    <row r="142" spans="1:18" x14ac:dyDescent="0.2">
      <c r="A142" s="111">
        <f t="shared" si="2"/>
        <v>139</v>
      </c>
      <c r="B142" s="93" t="s">
        <v>448</v>
      </c>
      <c r="C142" s="515" t="s">
        <v>779</v>
      </c>
      <c r="D142" s="101"/>
      <c r="E142" s="54"/>
      <c r="F142" s="56"/>
      <c r="G142" s="54"/>
      <c r="H142" s="238"/>
      <c r="I142" s="54"/>
      <c r="J142" s="54"/>
      <c r="K142" s="54"/>
      <c r="L142" s="238"/>
      <c r="M142" s="238"/>
      <c r="N142" s="238"/>
      <c r="O142" s="238"/>
      <c r="P142" s="411"/>
      <c r="Q142" s="239"/>
      <c r="R142" s="239"/>
    </row>
    <row r="143" spans="1:18" x14ac:dyDescent="0.2">
      <c r="A143" s="111">
        <f t="shared" si="2"/>
        <v>140</v>
      </c>
      <c r="B143" s="93" t="s">
        <v>271</v>
      </c>
      <c r="C143" s="512" t="s">
        <v>780</v>
      </c>
      <c r="D143" s="101"/>
      <c r="E143" s="54"/>
      <c r="F143" s="56"/>
      <c r="G143" s="54"/>
      <c r="H143" s="238"/>
      <c r="I143" s="54"/>
      <c r="J143" s="54"/>
      <c r="K143" s="54"/>
      <c r="L143" s="238"/>
      <c r="M143" s="238"/>
      <c r="N143" s="238"/>
      <c r="O143" s="238"/>
      <c r="P143" s="411"/>
      <c r="Q143" s="239"/>
      <c r="R143" s="239"/>
    </row>
    <row r="144" spans="1:18" x14ac:dyDescent="0.2">
      <c r="A144" s="111">
        <f t="shared" si="2"/>
        <v>141</v>
      </c>
      <c r="B144" s="93" t="s">
        <v>273</v>
      </c>
      <c r="C144" s="512" t="s">
        <v>781</v>
      </c>
      <c r="D144" s="101"/>
      <c r="E144" s="54"/>
      <c r="F144" s="56"/>
      <c r="G144" s="54"/>
      <c r="H144" s="238"/>
      <c r="I144" s="54"/>
      <c r="J144" s="54"/>
      <c r="K144" s="54"/>
      <c r="L144" s="238"/>
      <c r="M144" s="238"/>
      <c r="N144" s="238"/>
      <c r="O144" s="238"/>
      <c r="P144" s="411"/>
      <c r="Q144" s="239"/>
      <c r="R144" s="239"/>
    </row>
    <row r="145" spans="1:18" x14ac:dyDescent="0.2">
      <c r="A145" s="111">
        <f t="shared" si="2"/>
        <v>142</v>
      </c>
      <c r="B145" s="93" t="s">
        <v>272</v>
      </c>
      <c r="C145" s="513" t="s">
        <v>782</v>
      </c>
      <c r="D145" s="101"/>
      <c r="E145" s="54"/>
      <c r="F145" s="56"/>
      <c r="G145" s="54"/>
      <c r="H145" s="238"/>
      <c r="I145" s="54"/>
      <c r="J145" s="54"/>
      <c r="K145" s="54"/>
      <c r="L145" s="238"/>
      <c r="M145" s="238"/>
      <c r="N145" s="238"/>
      <c r="O145" s="238"/>
      <c r="P145" s="411"/>
      <c r="Q145" s="239"/>
      <c r="R145" s="239"/>
    </row>
    <row r="146" spans="1:18" x14ac:dyDescent="0.2">
      <c r="A146" s="110">
        <f t="shared" si="2"/>
        <v>143</v>
      </c>
      <c r="B146" s="510" t="s">
        <v>1237</v>
      </c>
      <c r="C146" s="514" t="s">
        <v>1837</v>
      </c>
      <c r="D146" s="104"/>
      <c r="E146" s="39"/>
      <c r="F146" s="40"/>
      <c r="G146" s="39"/>
      <c r="H146" s="450"/>
      <c r="I146" s="39"/>
      <c r="J146" s="39"/>
      <c r="K146" s="39"/>
      <c r="L146" s="450"/>
      <c r="M146" s="450"/>
      <c r="N146" s="450"/>
      <c r="O146" s="450"/>
      <c r="P146" s="451"/>
      <c r="Q146" s="447"/>
      <c r="R146" s="447"/>
    </row>
    <row r="147" spans="1:18" x14ac:dyDescent="0.2">
      <c r="A147" s="111">
        <f t="shared" si="2"/>
        <v>144</v>
      </c>
      <c r="B147" s="93" t="s">
        <v>39</v>
      </c>
      <c r="C147" s="515" t="s">
        <v>783</v>
      </c>
      <c r="D147" s="516"/>
      <c r="E147" s="495"/>
      <c r="F147" s="495"/>
      <c r="G147" s="495"/>
      <c r="H147" s="495"/>
      <c r="I147" s="43"/>
      <c r="J147" s="43"/>
      <c r="K147" s="43"/>
      <c r="L147" s="495"/>
      <c r="M147" s="495"/>
      <c r="N147" s="495"/>
      <c r="O147" s="495"/>
      <c r="P147" s="412"/>
      <c r="Q147" s="240"/>
      <c r="R147" s="240"/>
    </row>
    <row r="148" spans="1:18" x14ac:dyDescent="0.2">
      <c r="A148" s="111">
        <f t="shared" si="2"/>
        <v>145</v>
      </c>
      <c r="B148" s="93" t="s">
        <v>37</v>
      </c>
      <c r="C148" s="513" t="s">
        <v>784</v>
      </c>
      <c r="D148" s="101"/>
      <c r="E148" s="54"/>
      <c r="F148" s="56"/>
      <c r="G148" s="54"/>
      <c r="H148" s="238"/>
      <c r="I148" s="54"/>
      <c r="J148" s="54"/>
      <c r="K148" s="54"/>
      <c r="L148" s="238"/>
      <c r="M148" s="238"/>
      <c r="N148" s="238"/>
      <c r="O148" s="238"/>
      <c r="P148" s="411"/>
      <c r="Q148" s="239"/>
      <c r="R148" s="239"/>
    </row>
    <row r="149" spans="1:18" x14ac:dyDescent="0.2">
      <c r="A149" s="110">
        <f t="shared" si="2"/>
        <v>146</v>
      </c>
      <c r="B149" s="510" t="s">
        <v>1238</v>
      </c>
      <c r="C149" s="514" t="s">
        <v>1838</v>
      </c>
      <c r="D149" s="104"/>
      <c r="E149" s="39"/>
      <c r="F149" s="40"/>
      <c r="G149" s="39"/>
      <c r="H149" s="450"/>
      <c r="I149" s="39"/>
      <c r="J149" s="39"/>
      <c r="K149" s="39"/>
      <c r="L149" s="450"/>
      <c r="M149" s="450"/>
      <c r="N149" s="450"/>
      <c r="O149" s="450"/>
      <c r="P149" s="451"/>
      <c r="Q149" s="447"/>
      <c r="R149" s="447"/>
    </row>
    <row r="150" spans="1:18" x14ac:dyDescent="0.2">
      <c r="A150" s="111">
        <f t="shared" si="2"/>
        <v>147</v>
      </c>
      <c r="B150" s="93" t="s">
        <v>274</v>
      </c>
      <c r="C150" s="515" t="s">
        <v>785</v>
      </c>
      <c r="D150" s="500"/>
      <c r="E150" s="43"/>
      <c r="F150" s="72"/>
      <c r="G150" s="43"/>
      <c r="H150" s="495"/>
      <c r="I150" s="43"/>
      <c r="J150" s="43"/>
      <c r="K150" s="43"/>
      <c r="L150" s="495"/>
      <c r="M150" s="495"/>
      <c r="N150" s="495"/>
      <c r="O150" s="495"/>
      <c r="P150" s="412"/>
      <c r="Q150" s="240"/>
      <c r="R150" s="240"/>
    </row>
    <row r="151" spans="1:18" x14ac:dyDescent="0.2">
      <c r="A151" s="111">
        <f t="shared" si="2"/>
        <v>148</v>
      </c>
      <c r="B151" s="93" t="s">
        <v>449</v>
      </c>
      <c r="C151" s="512" t="s">
        <v>786</v>
      </c>
      <c r="D151" s="500"/>
      <c r="E151" s="43"/>
      <c r="F151" s="72"/>
      <c r="G151" s="43"/>
      <c r="H151" s="495"/>
      <c r="I151" s="43"/>
      <c r="J151" s="43"/>
      <c r="K151" s="43"/>
      <c r="L151" s="495"/>
      <c r="M151" s="495"/>
      <c r="N151" s="495"/>
      <c r="O151" s="495"/>
      <c r="P151" s="412"/>
      <c r="Q151" s="240"/>
      <c r="R151" s="240"/>
    </row>
    <row r="152" spans="1:18" x14ac:dyDescent="0.2">
      <c r="A152" s="111">
        <f t="shared" si="2"/>
        <v>149</v>
      </c>
      <c r="B152" s="93" t="s">
        <v>275</v>
      </c>
      <c r="C152" s="512" t="s">
        <v>787</v>
      </c>
      <c r="D152" s="500"/>
      <c r="E152" s="43"/>
      <c r="F152" s="72"/>
      <c r="G152" s="43"/>
      <c r="H152" s="495"/>
      <c r="I152" s="43"/>
      <c r="J152" s="43"/>
      <c r="K152" s="43"/>
      <c r="L152" s="495"/>
      <c r="M152" s="495"/>
      <c r="N152" s="495"/>
      <c r="O152" s="495"/>
      <c r="P152" s="412"/>
      <c r="Q152" s="240"/>
      <c r="R152" s="240"/>
    </row>
    <row r="153" spans="1:18" x14ac:dyDescent="0.2">
      <c r="A153" s="111">
        <f t="shared" si="2"/>
        <v>150</v>
      </c>
      <c r="B153" s="93" t="s">
        <v>276</v>
      </c>
      <c r="C153" s="512" t="s">
        <v>788</v>
      </c>
      <c r="D153" s="500"/>
      <c r="E153" s="43"/>
      <c r="F153" s="72"/>
      <c r="G153" s="43"/>
      <c r="H153" s="495"/>
      <c r="I153" s="43"/>
      <c r="J153" s="43"/>
      <c r="K153" s="43"/>
      <c r="L153" s="495"/>
      <c r="M153" s="495"/>
      <c r="N153" s="495"/>
      <c r="O153" s="495"/>
      <c r="P153" s="412"/>
      <c r="Q153" s="240"/>
      <c r="R153" s="240"/>
    </row>
    <row r="154" spans="1:18" x14ac:dyDescent="0.2">
      <c r="A154" s="111">
        <f t="shared" si="2"/>
        <v>151</v>
      </c>
      <c r="B154" s="93" t="s">
        <v>277</v>
      </c>
      <c r="C154" s="512" t="s">
        <v>789</v>
      </c>
      <c r="D154" s="500"/>
      <c r="E154" s="43"/>
      <c r="F154" s="72"/>
      <c r="G154" s="43"/>
      <c r="H154" s="495"/>
      <c r="I154" s="43"/>
      <c r="J154" s="43"/>
      <c r="K154" s="43"/>
      <c r="L154" s="495"/>
      <c r="M154" s="495"/>
      <c r="N154" s="495"/>
      <c r="O154" s="495"/>
      <c r="P154" s="412"/>
      <c r="Q154" s="240"/>
      <c r="R154" s="240"/>
    </row>
    <row r="155" spans="1:18" x14ac:dyDescent="0.2">
      <c r="A155" s="111">
        <f t="shared" si="2"/>
        <v>152</v>
      </c>
      <c r="B155" s="93" t="s">
        <v>278</v>
      </c>
      <c r="C155" s="512" t="s">
        <v>790</v>
      </c>
      <c r="D155" s="500"/>
      <c r="E155" s="43"/>
      <c r="F155" s="72"/>
      <c r="G155" s="43"/>
      <c r="H155" s="495"/>
      <c r="I155" s="43"/>
      <c r="J155" s="43"/>
      <c r="K155" s="43"/>
      <c r="L155" s="495"/>
      <c r="M155" s="495"/>
      <c r="N155" s="495"/>
      <c r="O155" s="495"/>
      <c r="P155" s="412"/>
      <c r="Q155" s="240"/>
      <c r="R155" s="240"/>
    </row>
    <row r="156" spans="1:18" x14ac:dyDescent="0.2">
      <c r="A156" s="111">
        <f t="shared" si="2"/>
        <v>153</v>
      </c>
      <c r="B156" s="93" t="s">
        <v>279</v>
      </c>
      <c r="C156" s="512" t="s">
        <v>791</v>
      </c>
      <c r="D156" s="101"/>
      <c r="E156" s="511"/>
      <c r="F156" s="56"/>
      <c r="G156" s="54"/>
      <c r="H156" s="238"/>
      <c r="I156" s="54"/>
      <c r="J156" s="54"/>
      <c r="K156" s="54"/>
      <c r="L156" s="238"/>
      <c r="M156" s="238"/>
      <c r="N156" s="238"/>
      <c r="O156" s="238"/>
      <c r="P156" s="411"/>
      <c r="Q156" s="239"/>
      <c r="R156" s="239"/>
    </row>
    <row r="157" spans="1:18" x14ac:dyDescent="0.2">
      <c r="A157" s="111">
        <f t="shared" si="2"/>
        <v>154</v>
      </c>
      <c r="B157" s="93" t="s">
        <v>280</v>
      </c>
      <c r="C157" s="512" t="s">
        <v>792</v>
      </c>
      <c r="D157" s="101"/>
      <c r="E157" s="511"/>
      <c r="F157" s="56"/>
      <c r="G157" s="54"/>
      <c r="H157" s="238"/>
      <c r="I157" s="54"/>
      <c r="J157" s="54"/>
      <c r="K157" s="54"/>
      <c r="L157" s="238"/>
      <c r="M157" s="238"/>
      <c r="N157" s="238"/>
      <c r="O157" s="238"/>
      <c r="P157" s="411"/>
      <c r="Q157" s="239"/>
      <c r="R157" s="239"/>
    </row>
    <row r="158" spans="1:18" x14ac:dyDescent="0.2">
      <c r="A158" s="111">
        <f t="shared" si="2"/>
        <v>155</v>
      </c>
      <c r="B158" s="93" t="s">
        <v>281</v>
      </c>
      <c r="C158" s="512" t="s">
        <v>793</v>
      </c>
      <c r="D158" s="101"/>
      <c r="E158" s="511"/>
      <c r="F158" s="56"/>
      <c r="G158" s="54"/>
      <c r="H158" s="238"/>
      <c r="I158" s="54"/>
      <c r="J158" s="54"/>
      <c r="K158" s="54"/>
      <c r="L158" s="238"/>
      <c r="M158" s="238"/>
      <c r="N158" s="238"/>
      <c r="O158" s="238"/>
      <c r="P158" s="411"/>
      <c r="Q158" s="239"/>
      <c r="R158" s="239"/>
    </row>
    <row r="159" spans="1:18" x14ac:dyDescent="0.2">
      <c r="A159" s="111">
        <f t="shared" si="2"/>
        <v>156</v>
      </c>
      <c r="B159" s="93" t="s">
        <v>282</v>
      </c>
      <c r="C159" s="513" t="s">
        <v>794</v>
      </c>
      <c r="D159" s="101"/>
      <c r="E159" s="511"/>
      <c r="F159" s="56"/>
      <c r="G159" s="54"/>
      <c r="H159" s="238"/>
      <c r="I159" s="54"/>
      <c r="J159" s="54"/>
      <c r="K159" s="54"/>
      <c r="L159" s="238"/>
      <c r="M159" s="238"/>
      <c r="N159" s="238"/>
      <c r="O159" s="238"/>
      <c r="P159" s="411"/>
      <c r="Q159" s="239"/>
      <c r="R159" s="239"/>
    </row>
    <row r="160" spans="1:18" x14ac:dyDescent="0.2">
      <c r="A160" s="111">
        <f t="shared" si="2"/>
        <v>157</v>
      </c>
      <c r="B160" s="93" t="s">
        <v>1328</v>
      </c>
      <c r="C160" s="795">
        <v>7411</v>
      </c>
      <c r="D160" s="101"/>
      <c r="E160" s="511"/>
      <c r="F160" s="56"/>
      <c r="G160" s="54"/>
      <c r="H160" s="238"/>
      <c r="I160" s="54"/>
      <c r="J160" s="54"/>
      <c r="K160" s="54"/>
      <c r="L160" s="238"/>
      <c r="M160" s="238"/>
      <c r="N160" s="238"/>
      <c r="O160" s="238"/>
      <c r="P160" s="411"/>
      <c r="Q160" s="239"/>
      <c r="R160" s="239"/>
    </row>
    <row r="161" spans="1:18" x14ac:dyDescent="0.2">
      <c r="A161" s="111">
        <f t="shared" si="2"/>
        <v>158</v>
      </c>
      <c r="B161" s="93" t="s">
        <v>1329</v>
      </c>
      <c r="C161" s="795">
        <v>7412</v>
      </c>
      <c r="D161" s="101"/>
      <c r="E161" s="511"/>
      <c r="F161" s="56"/>
      <c r="G161" s="54"/>
      <c r="H161" s="238"/>
      <c r="I161" s="54"/>
      <c r="J161" s="54"/>
      <c r="K161" s="54"/>
      <c r="L161" s="238"/>
      <c r="M161" s="238"/>
      <c r="N161" s="238"/>
      <c r="O161" s="238"/>
      <c r="P161" s="411"/>
      <c r="Q161" s="239"/>
      <c r="R161" s="239"/>
    </row>
    <row r="162" spans="1:18" x14ac:dyDescent="0.2">
      <c r="A162" s="111">
        <f t="shared" si="2"/>
        <v>159</v>
      </c>
      <c r="B162" s="93" t="s">
        <v>1330</v>
      </c>
      <c r="C162" s="795">
        <v>7413</v>
      </c>
      <c r="D162" s="101"/>
      <c r="E162" s="511"/>
      <c r="F162" s="56"/>
      <c r="G162" s="54"/>
      <c r="H162" s="238"/>
      <c r="I162" s="54"/>
      <c r="J162" s="54"/>
      <c r="K162" s="54"/>
      <c r="L162" s="238"/>
      <c r="M162" s="238"/>
      <c r="N162" s="238"/>
      <c r="O162" s="238"/>
      <c r="P162" s="411"/>
      <c r="Q162" s="239"/>
      <c r="R162" s="239"/>
    </row>
    <row r="163" spans="1:18" x14ac:dyDescent="0.2">
      <c r="A163" s="111">
        <f t="shared" si="2"/>
        <v>160</v>
      </c>
      <c r="B163" s="93" t="s">
        <v>1331</v>
      </c>
      <c r="C163" s="795">
        <v>7414</v>
      </c>
      <c r="D163" s="101"/>
      <c r="E163" s="511"/>
      <c r="F163" s="56"/>
      <c r="G163" s="54"/>
      <c r="H163" s="238"/>
      <c r="I163" s="54"/>
      <c r="J163" s="54"/>
      <c r="K163" s="54"/>
      <c r="L163" s="238"/>
      <c r="M163" s="238"/>
      <c r="N163" s="238"/>
      <c r="O163" s="238"/>
      <c r="P163" s="411"/>
      <c r="Q163" s="239"/>
      <c r="R163" s="239"/>
    </row>
    <row r="164" spans="1:18" x14ac:dyDescent="0.2">
      <c r="A164" s="111">
        <f t="shared" si="2"/>
        <v>161</v>
      </c>
      <c r="B164" s="93" t="s">
        <v>1332</v>
      </c>
      <c r="C164" s="795">
        <v>7415</v>
      </c>
      <c r="D164" s="101"/>
      <c r="E164" s="511"/>
      <c r="F164" s="56"/>
      <c r="G164" s="54"/>
      <c r="H164" s="238"/>
      <c r="I164" s="54"/>
      <c r="J164" s="54"/>
      <c r="K164" s="54"/>
      <c r="L164" s="238"/>
      <c r="M164" s="238"/>
      <c r="N164" s="238"/>
      <c r="O164" s="238"/>
      <c r="P164" s="411"/>
      <c r="Q164" s="239"/>
      <c r="R164" s="239"/>
    </row>
    <row r="165" spans="1:18" x14ac:dyDescent="0.2">
      <c r="A165" s="110">
        <f t="shared" si="2"/>
        <v>162</v>
      </c>
      <c r="B165" s="510" t="s">
        <v>1239</v>
      </c>
      <c r="C165" s="514" t="s">
        <v>1839</v>
      </c>
      <c r="D165" s="104"/>
      <c r="E165" s="518"/>
      <c r="F165" s="40"/>
      <c r="G165" s="39"/>
      <c r="H165" s="450"/>
      <c r="I165" s="39"/>
      <c r="J165" s="39"/>
      <c r="K165" s="39"/>
      <c r="L165" s="450"/>
      <c r="M165" s="450"/>
      <c r="N165" s="450"/>
      <c r="O165" s="450"/>
      <c r="P165" s="451"/>
      <c r="Q165" s="447"/>
      <c r="R165" s="447"/>
    </row>
    <row r="166" spans="1:18" x14ac:dyDescent="0.2">
      <c r="A166" s="111">
        <f t="shared" si="2"/>
        <v>163</v>
      </c>
      <c r="B166" s="93" t="s">
        <v>283</v>
      </c>
      <c r="C166" s="515" t="s">
        <v>1674</v>
      </c>
      <c r="D166" s="101"/>
      <c r="E166" s="511"/>
      <c r="F166" s="56"/>
      <c r="G166" s="54"/>
      <c r="H166" s="238"/>
      <c r="I166" s="54"/>
      <c r="J166" s="54"/>
      <c r="K166" s="54"/>
      <c r="L166" s="238"/>
      <c r="M166" s="238"/>
      <c r="N166" s="238"/>
      <c r="O166" s="238"/>
      <c r="P166" s="411"/>
      <c r="Q166" s="239"/>
      <c r="R166" s="239"/>
    </row>
    <row r="167" spans="1:18" x14ac:dyDescent="0.2">
      <c r="A167" s="111">
        <f t="shared" si="2"/>
        <v>164</v>
      </c>
      <c r="B167" s="93" t="s">
        <v>284</v>
      </c>
      <c r="C167" s="512" t="s">
        <v>1675</v>
      </c>
      <c r="D167" s="101"/>
      <c r="E167" s="511"/>
      <c r="F167" s="56"/>
      <c r="G167" s="54"/>
      <c r="H167" s="238"/>
      <c r="I167" s="54"/>
      <c r="J167" s="54"/>
      <c r="K167" s="54"/>
      <c r="L167" s="238"/>
      <c r="M167" s="238"/>
      <c r="N167" s="238"/>
      <c r="O167" s="238"/>
      <c r="P167" s="411"/>
      <c r="Q167" s="239"/>
      <c r="R167" s="239"/>
    </row>
    <row r="168" spans="1:18" x14ac:dyDescent="0.2">
      <c r="A168" s="111">
        <f t="shared" si="2"/>
        <v>165</v>
      </c>
      <c r="B168" s="93" t="s">
        <v>285</v>
      </c>
      <c r="C168" s="512" t="s">
        <v>795</v>
      </c>
      <c r="D168" s="101"/>
      <c r="E168" s="519"/>
      <c r="F168" s="56"/>
      <c r="G168" s="54"/>
      <c r="H168" s="238"/>
      <c r="I168" s="54"/>
      <c r="J168" s="54"/>
      <c r="K168" s="54"/>
      <c r="L168" s="238"/>
      <c r="M168" s="238"/>
      <c r="N168" s="238"/>
      <c r="O168" s="238"/>
      <c r="P168" s="411"/>
      <c r="Q168" s="239"/>
      <c r="R168" s="239"/>
    </row>
    <row r="169" spans="1:18" x14ac:dyDescent="0.2">
      <c r="A169" s="111">
        <f t="shared" si="2"/>
        <v>166</v>
      </c>
      <c r="B169" s="93" t="s">
        <v>287</v>
      </c>
      <c r="C169" s="512" t="s">
        <v>796</v>
      </c>
      <c r="D169" s="500"/>
      <c r="E169" s="43"/>
      <c r="F169" s="72"/>
      <c r="G169" s="43"/>
      <c r="H169" s="495"/>
      <c r="I169" s="43"/>
      <c r="J169" s="43"/>
      <c r="K169" s="43"/>
      <c r="L169" s="495"/>
      <c r="M169" s="495"/>
      <c r="N169" s="495"/>
      <c r="O169" s="495"/>
      <c r="P169" s="412"/>
      <c r="Q169" s="240"/>
      <c r="R169" s="240"/>
    </row>
    <row r="170" spans="1:18" x14ac:dyDescent="0.2">
      <c r="A170" s="111">
        <f t="shared" si="2"/>
        <v>167</v>
      </c>
      <c r="B170" s="93" t="s">
        <v>286</v>
      </c>
      <c r="C170" s="512" t="s">
        <v>797</v>
      </c>
      <c r="D170" s="500"/>
      <c r="E170" s="43"/>
      <c r="F170" s="72"/>
      <c r="G170" s="43"/>
      <c r="H170" s="495"/>
      <c r="I170" s="43"/>
      <c r="J170" s="43"/>
      <c r="K170" s="43"/>
      <c r="L170" s="495"/>
      <c r="M170" s="495"/>
      <c r="N170" s="495"/>
      <c r="O170" s="495"/>
      <c r="P170" s="412"/>
      <c r="Q170" s="240"/>
      <c r="R170" s="240"/>
    </row>
    <row r="171" spans="1:18" x14ac:dyDescent="0.2">
      <c r="A171" s="111">
        <f t="shared" si="2"/>
        <v>168</v>
      </c>
      <c r="B171" s="93" t="s">
        <v>288</v>
      </c>
      <c r="C171" s="512" t="s">
        <v>798</v>
      </c>
      <c r="D171" s="101"/>
      <c r="E171" s="54"/>
      <c r="F171" s="56"/>
      <c r="G171" s="54"/>
      <c r="H171" s="238"/>
      <c r="I171" s="54"/>
      <c r="J171" s="54"/>
      <c r="K171" s="54"/>
      <c r="L171" s="238"/>
      <c r="M171" s="238"/>
      <c r="N171" s="238"/>
      <c r="O171" s="238"/>
      <c r="P171" s="411"/>
      <c r="Q171" s="239"/>
      <c r="R171" s="239"/>
    </row>
    <row r="172" spans="1:18" x14ac:dyDescent="0.2">
      <c r="A172" s="111">
        <f t="shared" si="2"/>
        <v>169</v>
      </c>
      <c r="B172" s="93" t="s">
        <v>289</v>
      </c>
      <c r="C172" s="512" t="s">
        <v>799</v>
      </c>
      <c r="D172" s="500"/>
      <c r="E172" s="43"/>
      <c r="F172" s="43"/>
      <c r="G172" s="43"/>
      <c r="H172" s="495"/>
      <c r="I172" s="43"/>
      <c r="J172" s="43"/>
      <c r="K172" s="43"/>
      <c r="L172" s="495"/>
      <c r="M172" s="495"/>
      <c r="N172" s="495"/>
      <c r="O172" s="495"/>
      <c r="P172" s="412"/>
      <c r="Q172" s="240"/>
      <c r="R172" s="240"/>
    </row>
    <row r="173" spans="1:18" ht="12.75" x14ac:dyDescent="0.2">
      <c r="A173" s="111">
        <f t="shared" si="2"/>
        <v>170</v>
      </c>
      <c r="B173" s="93" t="s">
        <v>290</v>
      </c>
      <c r="C173" s="512" t="s">
        <v>800</v>
      </c>
      <c r="D173" s="58"/>
      <c r="E173" s="4"/>
      <c r="F173" s="520"/>
      <c r="G173" s="521"/>
      <c r="H173" s="242"/>
      <c r="I173" s="242"/>
      <c r="J173" s="242"/>
      <c r="K173" s="242"/>
      <c r="L173" s="242"/>
      <c r="M173" s="242"/>
      <c r="N173" s="242"/>
      <c r="O173" s="242"/>
      <c r="P173" s="522"/>
      <c r="Q173" s="523"/>
      <c r="R173" s="523"/>
    </row>
    <row r="174" spans="1:18" x14ac:dyDescent="0.2">
      <c r="A174" s="111">
        <f t="shared" si="2"/>
        <v>171</v>
      </c>
      <c r="B174" s="93" t="s">
        <v>291</v>
      </c>
      <c r="C174" s="513" t="s">
        <v>801</v>
      </c>
      <c r="D174" s="58"/>
      <c r="E174" s="4"/>
      <c r="F174" s="4"/>
      <c r="G174" s="4"/>
      <c r="H174" s="4"/>
      <c r="I174" s="4"/>
      <c r="J174" s="4"/>
      <c r="K174" s="4"/>
      <c r="L174" s="4"/>
      <c r="M174" s="4"/>
      <c r="N174" s="4"/>
      <c r="O174" s="4"/>
      <c r="P174" s="405"/>
      <c r="Q174" s="5"/>
      <c r="R174" s="5"/>
    </row>
    <row r="175" spans="1:18" x14ac:dyDescent="0.2">
      <c r="A175" s="110">
        <f t="shared" si="2"/>
        <v>172</v>
      </c>
      <c r="B175" s="510" t="s">
        <v>1240</v>
      </c>
      <c r="C175" s="514" t="s">
        <v>1840</v>
      </c>
      <c r="D175" s="524"/>
      <c r="E175" s="525"/>
      <c r="F175" s="525"/>
      <c r="G175" s="525"/>
      <c r="H175" s="525"/>
      <c r="I175" s="525"/>
      <c r="J175" s="525"/>
      <c r="K175" s="525"/>
      <c r="L175" s="525"/>
      <c r="M175" s="525"/>
      <c r="N175" s="525"/>
      <c r="O175" s="525"/>
      <c r="P175" s="526"/>
      <c r="Q175" s="82"/>
      <c r="R175" s="82"/>
    </row>
    <row r="176" spans="1:18" x14ac:dyDescent="0.2">
      <c r="A176" s="111">
        <f t="shared" si="2"/>
        <v>173</v>
      </c>
      <c r="B176" s="93" t="s">
        <v>322</v>
      </c>
      <c r="C176" s="515" t="s">
        <v>802</v>
      </c>
      <c r="D176" s="101"/>
      <c r="E176" s="54"/>
      <c r="F176" s="56"/>
      <c r="G176" s="54"/>
      <c r="H176" s="238"/>
      <c r="I176" s="54"/>
      <c r="J176" s="54"/>
      <c r="K176" s="54"/>
      <c r="L176" s="238"/>
      <c r="M176" s="238"/>
      <c r="N176" s="238"/>
      <c r="O176" s="238"/>
      <c r="P176" s="411"/>
      <c r="Q176" s="239"/>
      <c r="R176" s="239"/>
    </row>
    <row r="177" spans="1:18" x14ac:dyDescent="0.2">
      <c r="A177" s="111">
        <f t="shared" si="2"/>
        <v>174</v>
      </c>
      <c r="B177" s="93" t="s">
        <v>292</v>
      </c>
      <c r="C177" s="512" t="s">
        <v>803</v>
      </c>
      <c r="D177" s="101"/>
      <c r="E177" s="54"/>
      <c r="F177" s="56"/>
      <c r="G177" s="54"/>
      <c r="H177" s="238"/>
      <c r="I177" s="54"/>
      <c r="J177" s="54"/>
      <c r="K177" s="54"/>
      <c r="L177" s="238"/>
      <c r="M177" s="238"/>
      <c r="N177" s="238"/>
      <c r="O177" s="238"/>
      <c r="P177" s="411"/>
      <c r="Q177" s="239"/>
      <c r="R177" s="239"/>
    </row>
    <row r="178" spans="1:18" x14ac:dyDescent="0.2">
      <c r="A178" s="111">
        <f t="shared" si="2"/>
        <v>175</v>
      </c>
      <c r="B178" s="93" t="s">
        <v>293</v>
      </c>
      <c r="C178" s="512" t="s">
        <v>804</v>
      </c>
      <c r="D178" s="101"/>
      <c r="E178" s="54"/>
      <c r="F178" s="56"/>
      <c r="G178" s="54"/>
      <c r="H178" s="238"/>
      <c r="I178" s="54"/>
      <c r="J178" s="54"/>
      <c r="K178" s="54"/>
      <c r="L178" s="238"/>
      <c r="M178" s="238"/>
      <c r="N178" s="238"/>
      <c r="O178" s="238"/>
      <c r="P178" s="411"/>
      <c r="Q178" s="239"/>
      <c r="R178" s="239"/>
    </row>
    <row r="179" spans="1:18" x14ac:dyDescent="0.2">
      <c r="A179" s="111">
        <f t="shared" si="2"/>
        <v>176</v>
      </c>
      <c r="B179" s="93" t="s">
        <v>294</v>
      </c>
      <c r="C179" s="512" t="s">
        <v>805</v>
      </c>
      <c r="D179" s="101"/>
      <c r="E179" s="54"/>
      <c r="F179" s="56"/>
      <c r="G179" s="54"/>
      <c r="H179" s="238"/>
      <c r="I179" s="54"/>
      <c r="J179" s="54"/>
      <c r="K179" s="54"/>
      <c r="L179" s="238"/>
      <c r="M179" s="238"/>
      <c r="N179" s="238"/>
      <c r="O179" s="238"/>
      <c r="P179" s="411"/>
      <c r="Q179" s="239"/>
      <c r="R179" s="239"/>
    </row>
    <row r="180" spans="1:18" x14ac:dyDescent="0.2">
      <c r="A180" s="111">
        <f t="shared" si="2"/>
        <v>177</v>
      </c>
      <c r="B180" s="93" t="s">
        <v>295</v>
      </c>
      <c r="C180" s="512" t="s">
        <v>806</v>
      </c>
      <c r="D180" s="500"/>
      <c r="E180" s="43"/>
      <c r="F180" s="72"/>
      <c r="G180" s="43"/>
      <c r="H180" s="495"/>
      <c r="I180" s="43"/>
      <c r="J180" s="43"/>
      <c r="K180" s="43"/>
      <c r="L180" s="495"/>
      <c r="M180" s="495"/>
      <c r="N180" s="495"/>
      <c r="O180" s="495"/>
      <c r="P180" s="412"/>
      <c r="Q180" s="240"/>
      <c r="R180" s="240"/>
    </row>
    <row r="181" spans="1:18" x14ac:dyDescent="0.2">
      <c r="A181" s="111">
        <f t="shared" si="2"/>
        <v>178</v>
      </c>
      <c r="B181" s="93" t="s">
        <v>296</v>
      </c>
      <c r="C181" s="512" t="s">
        <v>807</v>
      </c>
      <c r="D181" s="500"/>
      <c r="E181" s="43"/>
      <c r="F181" s="72"/>
      <c r="G181" s="43"/>
      <c r="H181" s="495"/>
      <c r="I181" s="43"/>
      <c r="J181" s="43"/>
      <c r="K181" s="43"/>
      <c r="L181" s="495"/>
      <c r="M181" s="495"/>
      <c r="N181" s="495"/>
      <c r="O181" s="495"/>
      <c r="P181" s="412"/>
      <c r="Q181" s="240"/>
      <c r="R181" s="240"/>
    </row>
    <row r="182" spans="1:18" x14ac:dyDescent="0.2">
      <c r="A182" s="111">
        <f t="shared" si="2"/>
        <v>179</v>
      </c>
      <c r="B182" s="93" t="s">
        <v>450</v>
      </c>
      <c r="C182" s="512" t="s">
        <v>808</v>
      </c>
      <c r="D182" s="500"/>
      <c r="E182" s="43"/>
      <c r="F182" s="72"/>
      <c r="G182" s="43"/>
      <c r="H182" s="495"/>
      <c r="I182" s="43"/>
      <c r="J182" s="43"/>
      <c r="K182" s="43"/>
      <c r="L182" s="495"/>
      <c r="M182" s="495"/>
      <c r="N182" s="495"/>
      <c r="O182" s="495"/>
      <c r="P182" s="412"/>
      <c r="Q182" s="240"/>
      <c r="R182" s="240"/>
    </row>
    <row r="183" spans="1:18" x14ac:dyDescent="0.2">
      <c r="A183" s="111">
        <f t="shared" si="2"/>
        <v>180</v>
      </c>
      <c r="B183" s="93" t="s">
        <v>403</v>
      </c>
      <c r="C183" s="512" t="s">
        <v>809</v>
      </c>
      <c r="D183" s="101"/>
      <c r="E183" s="54"/>
      <c r="F183" s="56"/>
      <c r="G183" s="54"/>
      <c r="H183" s="238"/>
      <c r="I183" s="54"/>
      <c r="J183" s="54"/>
      <c r="K183" s="54"/>
      <c r="L183" s="238"/>
      <c r="M183" s="238"/>
      <c r="N183" s="238"/>
      <c r="O183" s="238"/>
      <c r="P183" s="411"/>
      <c r="Q183" s="239"/>
      <c r="R183" s="239"/>
    </row>
    <row r="184" spans="1:18" x14ac:dyDescent="0.2">
      <c r="A184" s="111">
        <f t="shared" si="2"/>
        <v>181</v>
      </c>
      <c r="B184" s="93" t="s">
        <v>297</v>
      </c>
      <c r="C184" s="512" t="s">
        <v>810</v>
      </c>
      <c r="D184" s="101"/>
      <c r="E184" s="54"/>
      <c r="F184" s="56"/>
      <c r="G184" s="54"/>
      <c r="H184" s="238"/>
      <c r="I184" s="54"/>
      <c r="J184" s="54"/>
      <c r="K184" s="54"/>
      <c r="L184" s="238"/>
      <c r="M184" s="238"/>
      <c r="N184" s="238"/>
      <c r="O184" s="238"/>
      <c r="P184" s="411"/>
      <c r="Q184" s="239"/>
      <c r="R184" s="239"/>
    </row>
    <row r="185" spans="1:18" x14ac:dyDescent="0.2">
      <c r="A185" s="111">
        <f t="shared" si="2"/>
        <v>182</v>
      </c>
      <c r="B185" s="93" t="s">
        <v>298</v>
      </c>
      <c r="C185" s="512" t="s">
        <v>811</v>
      </c>
      <c r="D185" s="101"/>
      <c r="E185" s="54"/>
      <c r="F185" s="56"/>
      <c r="G185" s="54"/>
      <c r="H185" s="238"/>
      <c r="I185" s="54"/>
      <c r="J185" s="54"/>
      <c r="K185" s="54"/>
      <c r="L185" s="238"/>
      <c r="M185" s="238"/>
      <c r="N185" s="238"/>
      <c r="O185" s="238"/>
      <c r="P185" s="411"/>
      <c r="Q185" s="239"/>
      <c r="R185" s="239"/>
    </row>
    <row r="186" spans="1:18" x14ac:dyDescent="0.2">
      <c r="A186" s="111">
        <f t="shared" si="2"/>
        <v>183</v>
      </c>
      <c r="B186" s="93" t="s">
        <v>299</v>
      </c>
      <c r="C186" s="512" t="s">
        <v>812</v>
      </c>
      <c r="D186" s="101"/>
      <c r="E186" s="54"/>
      <c r="F186" s="56"/>
      <c r="G186" s="54"/>
      <c r="H186" s="238"/>
      <c r="I186" s="54"/>
      <c r="J186" s="54"/>
      <c r="K186" s="54"/>
      <c r="L186" s="238"/>
      <c r="M186" s="238"/>
      <c r="N186" s="238"/>
      <c r="O186" s="238"/>
      <c r="P186" s="411"/>
      <c r="Q186" s="239"/>
      <c r="R186" s="239"/>
    </row>
    <row r="187" spans="1:18" x14ac:dyDescent="0.2">
      <c r="A187" s="111">
        <f t="shared" si="2"/>
        <v>184</v>
      </c>
      <c r="B187" s="93" t="s">
        <v>300</v>
      </c>
      <c r="C187" s="512" t="s">
        <v>813</v>
      </c>
      <c r="D187" s="58"/>
      <c r="E187" s="4"/>
      <c r="F187" s="4"/>
      <c r="G187" s="4"/>
      <c r="H187" s="4"/>
      <c r="I187" s="4"/>
      <c r="J187" s="4"/>
      <c r="K187" s="4"/>
      <c r="L187" s="4"/>
      <c r="M187" s="4"/>
      <c r="N187" s="4"/>
      <c r="O187" s="4"/>
      <c r="P187" s="405"/>
      <c r="Q187" s="5"/>
      <c r="R187" s="5"/>
    </row>
    <row r="188" spans="1:18" x14ac:dyDescent="0.2">
      <c r="A188" s="111">
        <f t="shared" si="2"/>
        <v>185</v>
      </c>
      <c r="B188" s="93" t="s">
        <v>323</v>
      </c>
      <c r="C188" s="513" t="s">
        <v>814</v>
      </c>
      <c r="D188" s="58"/>
      <c r="E188" s="4"/>
      <c r="F188" s="4"/>
      <c r="G188" s="4"/>
      <c r="H188" s="4"/>
      <c r="I188" s="4"/>
      <c r="J188" s="4"/>
      <c r="K188" s="4"/>
      <c r="L188" s="4"/>
      <c r="M188" s="4"/>
      <c r="N188" s="4"/>
      <c r="O188" s="4"/>
      <c r="P188" s="405"/>
      <c r="Q188" s="5"/>
      <c r="R188" s="5"/>
    </row>
    <row r="189" spans="1:18" x14ac:dyDescent="0.2">
      <c r="A189" s="110">
        <f t="shared" si="2"/>
        <v>186</v>
      </c>
      <c r="B189" s="510" t="s">
        <v>1241</v>
      </c>
      <c r="C189" s="514" t="s">
        <v>1841</v>
      </c>
      <c r="D189" s="524"/>
      <c r="E189" s="525"/>
      <c r="F189" s="525"/>
      <c r="G189" s="525"/>
      <c r="H189" s="525"/>
      <c r="I189" s="525"/>
      <c r="J189" s="525"/>
      <c r="K189" s="525"/>
      <c r="L189" s="525"/>
      <c r="M189" s="525"/>
      <c r="N189" s="525"/>
      <c r="O189" s="525"/>
      <c r="P189" s="526"/>
      <c r="Q189" s="82"/>
      <c r="R189" s="82"/>
    </row>
    <row r="190" spans="1:18" x14ac:dyDescent="0.2">
      <c r="A190" s="111">
        <f t="shared" si="2"/>
        <v>187</v>
      </c>
      <c r="B190" s="93" t="s">
        <v>301</v>
      </c>
      <c r="C190" s="515" t="s">
        <v>815</v>
      </c>
      <c r="D190" s="58"/>
      <c r="E190" s="4"/>
      <c r="F190" s="4"/>
      <c r="G190" s="4"/>
      <c r="H190" s="4"/>
      <c r="I190" s="4"/>
      <c r="J190" s="4"/>
      <c r="K190" s="4"/>
      <c r="L190" s="4"/>
      <c r="M190" s="4"/>
      <c r="N190" s="4"/>
      <c r="O190" s="4"/>
      <c r="P190" s="405"/>
      <c r="Q190" s="5"/>
      <c r="R190" s="5"/>
    </row>
    <row r="191" spans="1:18" x14ac:dyDescent="0.2">
      <c r="A191" s="111">
        <f t="shared" si="2"/>
        <v>188</v>
      </c>
      <c r="B191" s="93" t="s">
        <v>302</v>
      </c>
      <c r="C191" s="512" t="s">
        <v>816</v>
      </c>
      <c r="D191" s="58"/>
      <c r="E191" s="4"/>
      <c r="F191" s="4"/>
      <c r="G191" s="4"/>
      <c r="H191" s="4"/>
      <c r="I191" s="4"/>
      <c r="J191" s="4"/>
      <c r="K191" s="4"/>
      <c r="L191" s="4"/>
      <c r="M191" s="4"/>
      <c r="N191" s="4"/>
      <c r="O191" s="4"/>
      <c r="P191" s="405"/>
      <c r="Q191" s="5"/>
      <c r="R191" s="5"/>
    </row>
    <row r="192" spans="1:18" x14ac:dyDescent="0.2">
      <c r="A192" s="111">
        <f t="shared" si="2"/>
        <v>189</v>
      </c>
      <c r="B192" s="93" t="s">
        <v>451</v>
      </c>
      <c r="C192" s="512" t="s">
        <v>817</v>
      </c>
      <c r="D192" s="58"/>
      <c r="E192" s="4"/>
      <c r="F192" s="4"/>
      <c r="G192" s="4"/>
      <c r="H192" s="4"/>
      <c r="I192" s="4"/>
      <c r="J192" s="4"/>
      <c r="K192" s="4"/>
      <c r="L192" s="4"/>
      <c r="M192" s="4"/>
      <c r="N192" s="4"/>
      <c r="O192" s="4"/>
      <c r="P192" s="405"/>
      <c r="Q192" s="5"/>
      <c r="R192" s="5"/>
    </row>
    <row r="193" spans="1:18" x14ac:dyDescent="0.2">
      <c r="A193" s="111">
        <f t="shared" si="2"/>
        <v>190</v>
      </c>
      <c r="B193" s="93" t="s">
        <v>304</v>
      </c>
      <c r="C193" s="512" t="s">
        <v>818</v>
      </c>
      <c r="D193" s="58"/>
      <c r="E193" s="4"/>
      <c r="F193" s="4"/>
      <c r="G193" s="4"/>
      <c r="H193" s="4"/>
      <c r="I193" s="4"/>
      <c r="J193" s="4"/>
      <c r="K193" s="4"/>
      <c r="L193" s="4"/>
      <c r="M193" s="4"/>
      <c r="N193" s="4"/>
      <c r="O193" s="4"/>
      <c r="P193" s="405"/>
      <c r="Q193" s="5"/>
      <c r="R193" s="5"/>
    </row>
    <row r="194" spans="1:18" x14ac:dyDescent="0.2">
      <c r="A194" s="111">
        <f t="shared" si="2"/>
        <v>191</v>
      </c>
      <c r="B194" s="93" t="s">
        <v>305</v>
      </c>
      <c r="C194" s="513" t="s">
        <v>819</v>
      </c>
      <c r="D194" s="58"/>
      <c r="E194" s="4"/>
      <c r="F194" s="4"/>
      <c r="G194" s="4"/>
      <c r="H194" s="4"/>
      <c r="I194" s="4"/>
      <c r="J194" s="4"/>
      <c r="K194" s="4"/>
      <c r="L194" s="4"/>
      <c r="M194" s="4"/>
      <c r="N194" s="4"/>
      <c r="O194" s="4"/>
      <c r="P194" s="405"/>
      <c r="Q194" s="5"/>
      <c r="R194" s="5"/>
    </row>
    <row r="195" spans="1:18" x14ac:dyDescent="0.2">
      <c r="A195" s="110">
        <f t="shared" si="2"/>
        <v>192</v>
      </c>
      <c r="B195" s="510" t="s">
        <v>1242</v>
      </c>
      <c r="C195" s="514" t="s">
        <v>1842</v>
      </c>
      <c r="D195" s="524"/>
      <c r="E195" s="525"/>
      <c r="F195" s="525"/>
      <c r="G195" s="525"/>
      <c r="H195" s="525"/>
      <c r="I195" s="525"/>
      <c r="J195" s="525"/>
      <c r="K195" s="525"/>
      <c r="L195" s="525"/>
      <c r="M195" s="525"/>
      <c r="N195" s="525"/>
      <c r="O195" s="525"/>
      <c r="P195" s="526"/>
      <c r="Q195" s="82"/>
      <c r="R195" s="82"/>
    </row>
    <row r="196" spans="1:18" x14ac:dyDescent="0.2">
      <c r="A196" s="111">
        <f t="shared" si="2"/>
        <v>193</v>
      </c>
      <c r="B196" s="93" t="s">
        <v>306</v>
      </c>
      <c r="C196" s="515" t="s">
        <v>820</v>
      </c>
      <c r="D196" s="58"/>
      <c r="E196" s="4"/>
      <c r="F196" s="4"/>
      <c r="G196" s="4"/>
      <c r="H196" s="4"/>
      <c r="I196" s="4"/>
      <c r="J196" s="4"/>
      <c r="K196" s="4"/>
      <c r="L196" s="4"/>
      <c r="M196" s="4"/>
      <c r="N196" s="4"/>
      <c r="O196" s="4"/>
      <c r="P196" s="405"/>
      <c r="Q196" s="5"/>
      <c r="R196" s="5"/>
    </row>
    <row r="197" spans="1:18" x14ac:dyDescent="0.2">
      <c r="A197" s="111">
        <f t="shared" si="2"/>
        <v>194</v>
      </c>
      <c r="B197" s="93" t="s">
        <v>307</v>
      </c>
      <c r="C197" s="512" t="s">
        <v>821</v>
      </c>
      <c r="D197" s="58"/>
      <c r="E197" s="4"/>
      <c r="F197" s="4"/>
      <c r="G197" s="4"/>
      <c r="H197" s="4"/>
      <c r="I197" s="4"/>
      <c r="J197" s="4"/>
      <c r="K197" s="4"/>
      <c r="L197" s="4"/>
      <c r="M197" s="4"/>
      <c r="N197" s="4"/>
      <c r="O197" s="4"/>
      <c r="P197" s="405"/>
      <c r="Q197" s="5"/>
      <c r="R197" s="5"/>
    </row>
    <row r="198" spans="1:18" x14ac:dyDescent="0.2">
      <c r="A198" s="111">
        <f t="shared" ref="A198:A261" si="3">A197+1</f>
        <v>195</v>
      </c>
      <c r="B198" s="93" t="s">
        <v>308</v>
      </c>
      <c r="C198" s="512" t="s">
        <v>822</v>
      </c>
      <c r="D198" s="58"/>
      <c r="E198" s="4"/>
      <c r="F198" s="4"/>
      <c r="G198" s="4"/>
      <c r="H198" s="4"/>
      <c r="I198" s="4"/>
      <c r="J198" s="4"/>
      <c r="K198" s="4"/>
      <c r="L198" s="4"/>
      <c r="M198" s="4"/>
      <c r="N198" s="4"/>
      <c r="O198" s="4"/>
      <c r="P198" s="405"/>
      <c r="Q198" s="5"/>
      <c r="R198" s="5"/>
    </row>
    <row r="199" spans="1:18" x14ac:dyDescent="0.2">
      <c r="A199" s="111">
        <f t="shared" si="3"/>
        <v>196</v>
      </c>
      <c r="B199" s="93" t="s">
        <v>1256</v>
      </c>
      <c r="C199" s="512" t="s">
        <v>1676</v>
      </c>
      <c r="D199" s="58"/>
      <c r="E199" s="4"/>
      <c r="F199" s="4"/>
      <c r="G199" s="4"/>
      <c r="H199" s="4"/>
      <c r="I199" s="4"/>
      <c r="J199" s="4"/>
      <c r="K199" s="4"/>
      <c r="L199" s="4"/>
      <c r="M199" s="4"/>
      <c r="N199" s="4"/>
      <c r="O199" s="4"/>
      <c r="P199" s="405"/>
      <c r="Q199" s="5"/>
      <c r="R199" s="5"/>
    </row>
    <row r="200" spans="1:18" x14ac:dyDescent="0.2">
      <c r="A200" s="111">
        <f t="shared" si="3"/>
        <v>197</v>
      </c>
      <c r="B200" s="93" t="s">
        <v>1257</v>
      </c>
      <c r="C200" s="512" t="s">
        <v>1677</v>
      </c>
      <c r="D200" s="58"/>
      <c r="E200" s="4"/>
      <c r="F200" s="4"/>
      <c r="G200" s="4"/>
      <c r="H200" s="4"/>
      <c r="I200" s="4"/>
      <c r="J200" s="4"/>
      <c r="K200" s="4"/>
      <c r="L200" s="4"/>
      <c r="M200" s="4"/>
      <c r="N200" s="4"/>
      <c r="O200" s="4"/>
      <c r="P200" s="405"/>
      <c r="Q200" s="5"/>
      <c r="R200" s="5"/>
    </row>
    <row r="201" spans="1:18" x14ac:dyDescent="0.2">
      <c r="A201" s="111">
        <f t="shared" si="3"/>
        <v>198</v>
      </c>
      <c r="B201" s="93" t="s">
        <v>1258</v>
      </c>
      <c r="C201" s="512" t="s">
        <v>1678</v>
      </c>
      <c r="D201" s="58"/>
      <c r="E201" s="4"/>
      <c r="F201" s="4"/>
      <c r="G201" s="4"/>
      <c r="H201" s="4"/>
      <c r="I201" s="4"/>
      <c r="J201" s="4"/>
      <c r="K201" s="4"/>
      <c r="L201" s="4"/>
      <c r="M201" s="4"/>
      <c r="N201" s="4"/>
      <c r="O201" s="4"/>
      <c r="P201" s="405"/>
      <c r="Q201" s="5"/>
      <c r="R201" s="5"/>
    </row>
    <row r="202" spans="1:18" x14ac:dyDescent="0.2">
      <c r="A202" s="111">
        <f t="shared" si="3"/>
        <v>199</v>
      </c>
      <c r="B202" s="93" t="s">
        <v>1259</v>
      </c>
      <c r="C202" s="512" t="s">
        <v>1679</v>
      </c>
      <c r="D202" s="58"/>
      <c r="E202" s="4"/>
      <c r="F202" s="4"/>
      <c r="G202" s="4"/>
      <c r="H202" s="4"/>
      <c r="I202" s="4"/>
      <c r="J202" s="4"/>
      <c r="K202" s="4"/>
      <c r="L202" s="4"/>
      <c r="M202" s="4"/>
      <c r="N202" s="4"/>
      <c r="O202" s="4"/>
      <c r="P202" s="405"/>
      <c r="Q202" s="5"/>
      <c r="R202" s="5"/>
    </row>
    <row r="203" spans="1:18" x14ac:dyDescent="0.2">
      <c r="A203" s="111">
        <f t="shared" si="3"/>
        <v>200</v>
      </c>
      <c r="B203" s="93" t="s">
        <v>452</v>
      </c>
      <c r="C203" s="512" t="s">
        <v>1680</v>
      </c>
      <c r="D203" s="58"/>
      <c r="E203" s="4"/>
      <c r="F203" s="4"/>
      <c r="G203" s="4"/>
      <c r="H203" s="4"/>
      <c r="I203" s="4"/>
      <c r="J203" s="4"/>
      <c r="K203" s="4"/>
      <c r="L203" s="4"/>
      <c r="M203" s="4"/>
      <c r="N203" s="4"/>
      <c r="O203" s="4"/>
      <c r="P203" s="405"/>
      <c r="Q203" s="5"/>
      <c r="R203" s="5"/>
    </row>
    <row r="204" spans="1:18" x14ac:dyDescent="0.2">
      <c r="A204" s="111">
        <f t="shared" si="3"/>
        <v>201</v>
      </c>
      <c r="B204" s="93" t="s">
        <v>453</v>
      </c>
      <c r="C204" s="512" t="s">
        <v>1681</v>
      </c>
      <c r="D204" s="58"/>
      <c r="E204" s="4"/>
      <c r="F204" s="4"/>
      <c r="G204" s="4"/>
      <c r="H204" s="4"/>
      <c r="I204" s="4"/>
      <c r="J204" s="4"/>
      <c r="K204" s="4"/>
      <c r="L204" s="4"/>
      <c r="M204" s="4"/>
      <c r="N204" s="4"/>
      <c r="O204" s="4"/>
      <c r="P204" s="405"/>
      <c r="Q204" s="5"/>
      <c r="R204" s="5"/>
    </row>
    <row r="205" spans="1:18" x14ac:dyDescent="0.2">
      <c r="A205" s="110">
        <f t="shared" si="3"/>
        <v>202</v>
      </c>
      <c r="B205" s="527" t="s">
        <v>41</v>
      </c>
      <c r="C205" s="514" t="s">
        <v>1843</v>
      </c>
      <c r="D205" s="524"/>
      <c r="E205" s="525"/>
      <c r="F205" s="525"/>
      <c r="G205" s="525"/>
      <c r="H205" s="525"/>
      <c r="I205" s="525"/>
      <c r="J205" s="525"/>
      <c r="K205" s="525"/>
      <c r="L205" s="525"/>
      <c r="M205" s="525"/>
      <c r="N205" s="525"/>
      <c r="O205" s="525"/>
      <c r="P205" s="526"/>
      <c r="Q205" s="82"/>
      <c r="R205" s="82"/>
    </row>
    <row r="206" spans="1:18" x14ac:dyDescent="0.2">
      <c r="A206" s="111">
        <f t="shared" si="3"/>
        <v>203</v>
      </c>
      <c r="B206" s="93" t="s">
        <v>116</v>
      </c>
      <c r="C206" s="512" t="s">
        <v>823</v>
      </c>
      <c r="D206" s="58"/>
      <c r="E206" s="4"/>
      <c r="F206" s="4"/>
      <c r="G206" s="4"/>
      <c r="H206" s="4"/>
      <c r="I206" s="4"/>
      <c r="J206" s="4"/>
      <c r="K206" s="4"/>
      <c r="L206" s="4"/>
      <c r="M206" s="4"/>
      <c r="N206" s="4"/>
      <c r="O206" s="4"/>
      <c r="P206" s="405"/>
      <c r="Q206" s="5"/>
      <c r="R206" s="5"/>
    </row>
    <row r="207" spans="1:18" x14ac:dyDescent="0.2">
      <c r="A207" s="111">
        <f t="shared" si="3"/>
        <v>204</v>
      </c>
      <c r="B207" s="93" t="s">
        <v>243</v>
      </c>
      <c r="C207" s="512" t="s">
        <v>824</v>
      </c>
      <c r="D207" s="58"/>
      <c r="E207" s="4"/>
      <c r="F207" s="4"/>
      <c r="G207" s="4"/>
      <c r="H207" s="4"/>
      <c r="I207" s="4"/>
      <c r="J207" s="4"/>
      <c r="K207" s="4"/>
      <c r="L207" s="4"/>
      <c r="M207" s="4"/>
      <c r="N207" s="4"/>
      <c r="O207" s="4"/>
      <c r="P207" s="405"/>
      <c r="Q207" s="5"/>
      <c r="R207" s="5"/>
    </row>
    <row r="208" spans="1:18" x14ac:dyDescent="0.2">
      <c r="A208" s="111">
        <f t="shared" si="3"/>
        <v>205</v>
      </c>
      <c r="B208" s="93" t="s">
        <v>244</v>
      </c>
      <c r="C208" s="512" t="s">
        <v>825</v>
      </c>
      <c r="D208" s="58"/>
      <c r="E208" s="4"/>
      <c r="F208" s="4"/>
      <c r="G208" s="4"/>
      <c r="H208" s="4"/>
      <c r="I208" s="4"/>
      <c r="J208" s="4"/>
      <c r="K208" s="4"/>
      <c r="L208" s="4"/>
      <c r="M208" s="4"/>
      <c r="N208" s="4"/>
      <c r="O208" s="4"/>
      <c r="P208" s="405"/>
      <c r="Q208" s="5"/>
      <c r="R208" s="5"/>
    </row>
    <row r="209" spans="1:18" x14ac:dyDescent="0.2">
      <c r="A209" s="111">
        <f t="shared" si="3"/>
        <v>206</v>
      </c>
      <c r="B209" s="93" t="s">
        <v>245</v>
      </c>
      <c r="C209" s="512" t="s">
        <v>826</v>
      </c>
      <c r="D209" s="58"/>
      <c r="E209" s="4"/>
      <c r="F209" s="4"/>
      <c r="G209" s="4"/>
      <c r="H209" s="4"/>
      <c r="I209" s="4"/>
      <c r="J209" s="4"/>
      <c r="K209" s="4"/>
      <c r="L209" s="4"/>
      <c r="M209" s="4"/>
      <c r="N209" s="4"/>
      <c r="O209" s="4"/>
      <c r="P209" s="405"/>
      <c r="Q209" s="5"/>
      <c r="R209" s="5"/>
    </row>
    <row r="210" spans="1:18" x14ac:dyDescent="0.2">
      <c r="A210" s="111">
        <f t="shared" si="3"/>
        <v>207</v>
      </c>
      <c r="B210" s="93" t="s">
        <v>246</v>
      </c>
      <c r="C210" s="512" t="s">
        <v>827</v>
      </c>
      <c r="D210" s="58"/>
      <c r="E210" s="4"/>
      <c r="F210" s="4"/>
      <c r="G210" s="4"/>
      <c r="H210" s="4"/>
      <c r="I210" s="4"/>
      <c r="J210" s="4"/>
      <c r="K210" s="4"/>
      <c r="L210" s="4"/>
      <c r="M210" s="4"/>
      <c r="N210" s="4"/>
      <c r="O210" s="4"/>
      <c r="P210" s="405"/>
      <c r="Q210" s="5"/>
      <c r="R210" s="5"/>
    </row>
    <row r="211" spans="1:18" x14ac:dyDescent="0.2">
      <c r="A211" s="111">
        <f t="shared" si="3"/>
        <v>208</v>
      </c>
      <c r="B211" s="93" t="s">
        <v>119</v>
      </c>
      <c r="C211" s="512" t="s">
        <v>828</v>
      </c>
      <c r="D211" s="58"/>
      <c r="E211" s="4"/>
      <c r="F211" s="4"/>
      <c r="G211" s="4"/>
      <c r="H211" s="4"/>
      <c r="I211" s="4"/>
      <c r="J211" s="4"/>
      <c r="K211" s="4"/>
      <c r="L211" s="4"/>
      <c r="M211" s="4"/>
      <c r="N211" s="4"/>
      <c r="O211" s="4"/>
      <c r="P211" s="405"/>
      <c r="Q211" s="5"/>
      <c r="R211" s="5"/>
    </row>
    <row r="212" spans="1:18" x14ac:dyDescent="0.2">
      <c r="A212" s="111">
        <f t="shared" si="3"/>
        <v>209</v>
      </c>
      <c r="B212" s="93" t="s">
        <v>247</v>
      </c>
      <c r="C212" s="512" t="s">
        <v>829</v>
      </c>
      <c r="D212" s="58"/>
      <c r="E212" s="4"/>
      <c r="F212" s="4"/>
      <c r="G212" s="4"/>
      <c r="H212" s="4"/>
      <c r="I212" s="4"/>
      <c r="J212" s="4"/>
      <c r="K212" s="4"/>
      <c r="L212" s="4"/>
      <c r="M212" s="4"/>
      <c r="N212" s="4"/>
      <c r="O212" s="4"/>
      <c r="P212" s="405"/>
      <c r="Q212" s="5"/>
      <c r="R212" s="5"/>
    </row>
    <row r="213" spans="1:18" x14ac:dyDescent="0.2">
      <c r="A213" s="111">
        <f t="shared" si="3"/>
        <v>210</v>
      </c>
      <c r="B213" s="93" t="s">
        <v>248</v>
      </c>
      <c r="C213" s="512" t="s">
        <v>830</v>
      </c>
      <c r="D213" s="58"/>
      <c r="E213" s="4"/>
      <c r="F213" s="4"/>
      <c r="G213" s="4"/>
      <c r="H213" s="4"/>
      <c r="I213" s="4"/>
      <c r="J213" s="4"/>
      <c r="K213" s="4"/>
      <c r="L213" s="4"/>
      <c r="M213" s="4"/>
      <c r="N213" s="4"/>
      <c r="O213" s="4"/>
      <c r="P213" s="405"/>
      <c r="Q213" s="5"/>
      <c r="R213" s="5"/>
    </row>
    <row r="214" spans="1:18" x14ac:dyDescent="0.2">
      <c r="A214" s="111">
        <f t="shared" si="3"/>
        <v>211</v>
      </c>
      <c r="B214" s="93" t="s">
        <v>127</v>
      </c>
      <c r="C214" s="512" t="s">
        <v>831</v>
      </c>
      <c r="D214" s="58"/>
      <c r="E214" s="4"/>
      <c r="F214" s="4"/>
      <c r="G214" s="4"/>
      <c r="H214" s="4"/>
      <c r="I214" s="4"/>
      <c r="J214" s="4"/>
      <c r="K214" s="4"/>
      <c r="L214" s="4"/>
      <c r="M214" s="4"/>
      <c r="N214" s="4"/>
      <c r="O214" s="4"/>
      <c r="P214" s="405"/>
      <c r="Q214" s="5"/>
      <c r="R214" s="5"/>
    </row>
    <row r="215" spans="1:18" x14ac:dyDescent="0.2">
      <c r="A215" s="111">
        <f t="shared" si="3"/>
        <v>212</v>
      </c>
      <c r="B215" s="93" t="s">
        <v>444</v>
      </c>
      <c r="C215" s="512" t="s">
        <v>832</v>
      </c>
      <c r="D215" s="58"/>
      <c r="E215" s="4"/>
      <c r="F215" s="4"/>
      <c r="G215" s="4"/>
      <c r="H215" s="4"/>
      <c r="I215" s="4"/>
      <c r="J215" s="4"/>
      <c r="K215" s="4"/>
      <c r="L215" s="4"/>
      <c r="M215" s="4"/>
      <c r="N215" s="4"/>
      <c r="O215" s="4"/>
      <c r="P215" s="405"/>
      <c r="Q215" s="5"/>
      <c r="R215" s="5"/>
    </row>
    <row r="216" spans="1:18" x14ac:dyDescent="0.2">
      <c r="A216" s="111">
        <f t="shared" si="3"/>
        <v>213</v>
      </c>
      <c r="B216" s="93" t="s">
        <v>249</v>
      </c>
      <c r="C216" s="512" t="s">
        <v>833</v>
      </c>
      <c r="D216" s="58"/>
      <c r="E216" s="4"/>
      <c r="F216" s="4"/>
      <c r="G216" s="4"/>
      <c r="H216" s="4"/>
      <c r="I216" s="4"/>
      <c r="J216" s="4"/>
      <c r="K216" s="4"/>
      <c r="L216" s="4"/>
      <c r="M216" s="4"/>
      <c r="N216" s="4"/>
      <c r="O216" s="4"/>
      <c r="P216" s="405"/>
      <c r="Q216" s="5"/>
      <c r="R216" s="5"/>
    </row>
    <row r="217" spans="1:18" x14ac:dyDescent="0.2">
      <c r="A217" s="111">
        <f t="shared" si="3"/>
        <v>214</v>
      </c>
      <c r="B217" s="93" t="s">
        <v>250</v>
      </c>
      <c r="C217" s="512" t="s">
        <v>834</v>
      </c>
      <c r="D217" s="58"/>
      <c r="E217" s="4"/>
      <c r="F217" s="4"/>
      <c r="G217" s="4"/>
      <c r="H217" s="4"/>
      <c r="I217" s="4"/>
      <c r="J217" s="4"/>
      <c r="K217" s="4"/>
      <c r="L217" s="4"/>
      <c r="M217" s="4"/>
      <c r="N217" s="4"/>
      <c r="O217" s="4"/>
      <c r="P217" s="405"/>
      <c r="Q217" s="5"/>
      <c r="R217" s="5"/>
    </row>
    <row r="218" spans="1:18" x14ac:dyDescent="0.2">
      <c r="A218" s="111">
        <f t="shared" si="3"/>
        <v>215</v>
      </c>
      <c r="B218" s="93" t="s">
        <v>309</v>
      </c>
      <c r="C218" s="512" t="s">
        <v>835</v>
      </c>
      <c r="D218" s="58"/>
      <c r="E218" s="4"/>
      <c r="F218" s="4"/>
      <c r="G218" s="4"/>
      <c r="H218" s="4"/>
      <c r="I218" s="4"/>
      <c r="J218" s="4"/>
      <c r="K218" s="4"/>
      <c r="L218" s="4"/>
      <c r="M218" s="4"/>
      <c r="N218" s="4"/>
      <c r="O218" s="4"/>
      <c r="P218" s="405"/>
      <c r="Q218" s="5"/>
      <c r="R218" s="5"/>
    </row>
    <row r="219" spans="1:18" x14ac:dyDescent="0.2">
      <c r="A219" s="111">
        <f t="shared" si="3"/>
        <v>216</v>
      </c>
      <c r="B219" s="93" t="s">
        <v>252</v>
      </c>
      <c r="C219" s="512" t="s">
        <v>836</v>
      </c>
      <c r="D219" s="58"/>
      <c r="E219" s="4"/>
      <c r="F219" s="4"/>
      <c r="G219" s="4"/>
      <c r="H219" s="4"/>
      <c r="I219" s="4"/>
      <c r="J219" s="4"/>
      <c r="K219" s="4"/>
      <c r="L219" s="4"/>
      <c r="M219" s="4"/>
      <c r="N219" s="4"/>
      <c r="O219" s="4"/>
      <c r="P219" s="405"/>
      <c r="Q219" s="5"/>
      <c r="R219" s="5"/>
    </row>
    <row r="220" spans="1:18" x14ac:dyDescent="0.2">
      <c r="A220" s="111">
        <f t="shared" si="3"/>
        <v>217</v>
      </c>
      <c r="B220" s="93" t="s">
        <v>310</v>
      </c>
      <c r="C220" s="512" t="s">
        <v>837</v>
      </c>
      <c r="D220" s="58"/>
      <c r="E220" s="4"/>
      <c r="F220" s="4"/>
      <c r="G220" s="4"/>
      <c r="H220" s="4"/>
      <c r="I220" s="4"/>
      <c r="J220" s="4"/>
      <c r="K220" s="4"/>
      <c r="L220" s="4"/>
      <c r="M220" s="4"/>
      <c r="N220" s="4"/>
      <c r="O220" s="4"/>
      <c r="P220" s="405"/>
      <c r="Q220" s="5"/>
      <c r="R220" s="5"/>
    </row>
    <row r="221" spans="1:18" x14ac:dyDescent="0.2">
      <c r="A221" s="111">
        <f t="shared" si="3"/>
        <v>218</v>
      </c>
      <c r="B221" s="93" t="s">
        <v>254</v>
      </c>
      <c r="C221" s="512" t="s">
        <v>838</v>
      </c>
      <c r="D221" s="58"/>
      <c r="E221" s="4"/>
      <c r="F221" s="4"/>
      <c r="G221" s="4"/>
      <c r="H221" s="4"/>
      <c r="I221" s="4"/>
      <c r="J221" s="4"/>
      <c r="K221" s="4"/>
      <c r="L221" s="4"/>
      <c r="M221" s="4"/>
      <c r="N221" s="4"/>
      <c r="O221" s="4"/>
      <c r="P221" s="405"/>
      <c r="Q221" s="5"/>
      <c r="R221" s="5"/>
    </row>
    <row r="222" spans="1:18" x14ac:dyDescent="0.2">
      <c r="A222" s="111">
        <f t="shared" si="3"/>
        <v>219</v>
      </c>
      <c r="B222" s="93" t="s">
        <v>255</v>
      </c>
      <c r="C222" s="512" t="s">
        <v>839</v>
      </c>
      <c r="D222" s="58"/>
      <c r="E222" s="4"/>
      <c r="F222" s="4"/>
      <c r="G222" s="4"/>
      <c r="H222" s="4"/>
      <c r="I222" s="4"/>
      <c r="J222" s="4"/>
      <c r="K222" s="4"/>
      <c r="L222" s="4"/>
      <c r="M222" s="4"/>
      <c r="N222" s="4"/>
      <c r="O222" s="4"/>
      <c r="P222" s="405"/>
      <c r="Q222" s="5"/>
      <c r="R222" s="5"/>
    </row>
    <row r="223" spans="1:18" x14ac:dyDescent="0.2">
      <c r="A223" s="111">
        <f t="shared" si="3"/>
        <v>220</v>
      </c>
      <c r="B223" s="93" t="s">
        <v>256</v>
      </c>
      <c r="C223" s="512" t="s">
        <v>840</v>
      </c>
      <c r="D223" s="58"/>
      <c r="E223" s="4"/>
      <c r="F223" s="4"/>
      <c r="G223" s="4"/>
      <c r="H223" s="4"/>
      <c r="I223" s="4"/>
      <c r="J223" s="4"/>
      <c r="K223" s="4"/>
      <c r="L223" s="4"/>
      <c r="M223" s="4"/>
      <c r="N223" s="4"/>
      <c r="O223" s="4"/>
      <c r="P223" s="405"/>
      <c r="Q223" s="5"/>
      <c r="R223" s="5"/>
    </row>
    <row r="224" spans="1:18" x14ac:dyDescent="0.2">
      <c r="A224" s="111">
        <f t="shared" si="3"/>
        <v>221</v>
      </c>
      <c r="B224" s="93" t="s">
        <v>257</v>
      </c>
      <c r="C224" s="512" t="s">
        <v>841</v>
      </c>
      <c r="D224" s="58"/>
      <c r="E224" s="4"/>
      <c r="F224" s="4"/>
      <c r="G224" s="4"/>
      <c r="H224" s="4"/>
      <c r="I224" s="4"/>
      <c r="J224" s="4"/>
      <c r="K224" s="4"/>
      <c r="L224" s="4"/>
      <c r="M224" s="4"/>
      <c r="N224" s="4"/>
      <c r="O224" s="4"/>
      <c r="P224" s="405"/>
      <c r="Q224" s="5"/>
      <c r="R224" s="5"/>
    </row>
    <row r="225" spans="1:18" x14ac:dyDescent="0.2">
      <c r="A225" s="111">
        <f t="shared" si="3"/>
        <v>222</v>
      </c>
      <c r="B225" s="93" t="s">
        <v>258</v>
      </c>
      <c r="C225" s="512" t="s">
        <v>842</v>
      </c>
      <c r="D225" s="58"/>
      <c r="E225" s="4"/>
      <c r="F225" s="4"/>
      <c r="G225" s="4"/>
      <c r="H225" s="4"/>
      <c r="I225" s="4"/>
      <c r="J225" s="4"/>
      <c r="K225" s="4"/>
      <c r="L225" s="4"/>
      <c r="M225" s="4"/>
      <c r="N225" s="4"/>
      <c r="O225" s="4"/>
      <c r="P225" s="405"/>
      <c r="Q225" s="5"/>
      <c r="R225" s="5"/>
    </row>
    <row r="226" spans="1:18" x14ac:dyDescent="0.2">
      <c r="A226" s="111">
        <f t="shared" si="3"/>
        <v>223</v>
      </c>
      <c r="B226" s="93" t="s">
        <v>259</v>
      </c>
      <c r="C226" s="512" t="s">
        <v>843</v>
      </c>
      <c r="D226" s="58"/>
      <c r="E226" s="4"/>
      <c r="F226" s="4"/>
      <c r="G226" s="4"/>
      <c r="H226" s="4"/>
      <c r="I226" s="4"/>
      <c r="J226" s="4"/>
      <c r="K226" s="4"/>
      <c r="L226" s="4"/>
      <c r="M226" s="4"/>
      <c r="N226" s="4"/>
      <c r="O226" s="4"/>
      <c r="P226" s="405"/>
      <c r="Q226" s="5"/>
      <c r="R226" s="5"/>
    </row>
    <row r="227" spans="1:18" x14ac:dyDescent="0.2">
      <c r="A227" s="111">
        <f t="shared" si="3"/>
        <v>224</v>
      </c>
      <c r="B227" s="93" t="s">
        <v>260</v>
      </c>
      <c r="C227" s="512" t="s">
        <v>844</v>
      </c>
      <c r="D227" s="58"/>
      <c r="E227" s="4"/>
      <c r="F227" s="4"/>
      <c r="G227" s="4"/>
      <c r="H227" s="4"/>
      <c r="I227" s="4"/>
      <c r="J227" s="4"/>
      <c r="K227" s="4"/>
      <c r="L227" s="4"/>
      <c r="M227" s="4"/>
      <c r="N227" s="4"/>
      <c r="O227" s="4"/>
      <c r="P227" s="405"/>
      <c r="Q227" s="5"/>
      <c r="R227" s="5"/>
    </row>
    <row r="228" spans="1:18" x14ac:dyDescent="0.2">
      <c r="A228" s="111">
        <f t="shared" si="3"/>
        <v>225</v>
      </c>
      <c r="B228" s="93" t="s">
        <v>261</v>
      </c>
      <c r="C228" s="512" t="s">
        <v>845</v>
      </c>
      <c r="D228" s="58"/>
      <c r="E228" s="4"/>
      <c r="F228" s="4"/>
      <c r="G228" s="4"/>
      <c r="H228" s="4"/>
      <c r="I228" s="4"/>
      <c r="J228" s="4"/>
      <c r="K228" s="4"/>
      <c r="L228" s="4"/>
      <c r="M228" s="4"/>
      <c r="N228" s="4"/>
      <c r="O228" s="4"/>
      <c r="P228" s="405"/>
      <c r="Q228" s="5"/>
      <c r="R228" s="5"/>
    </row>
    <row r="229" spans="1:18" x14ac:dyDescent="0.2">
      <c r="A229" s="111">
        <f t="shared" si="3"/>
        <v>226</v>
      </c>
      <c r="B229" s="93" t="s">
        <v>262</v>
      </c>
      <c r="C229" s="512" t="s">
        <v>846</v>
      </c>
      <c r="D229" s="58"/>
      <c r="E229" s="4"/>
      <c r="F229" s="4"/>
      <c r="G229" s="4"/>
      <c r="H229" s="4"/>
      <c r="I229" s="4"/>
      <c r="J229" s="4"/>
      <c r="K229" s="4"/>
      <c r="L229" s="4"/>
      <c r="M229" s="4"/>
      <c r="N229" s="4"/>
      <c r="O229" s="4"/>
      <c r="P229" s="405"/>
      <c r="Q229" s="5"/>
      <c r="R229" s="5"/>
    </row>
    <row r="230" spans="1:18" x14ac:dyDescent="0.2">
      <c r="A230" s="111">
        <f t="shared" si="3"/>
        <v>227</v>
      </c>
      <c r="B230" s="93" t="s">
        <v>263</v>
      </c>
      <c r="C230" s="512" t="s">
        <v>847</v>
      </c>
      <c r="D230" s="58"/>
      <c r="E230" s="4"/>
      <c r="F230" s="4"/>
      <c r="G230" s="4"/>
      <c r="H230" s="4"/>
      <c r="I230" s="4"/>
      <c r="J230" s="4"/>
      <c r="K230" s="4"/>
      <c r="L230" s="4"/>
      <c r="M230" s="4"/>
      <c r="N230" s="4"/>
      <c r="O230" s="4"/>
      <c r="P230" s="405"/>
      <c r="Q230" s="5"/>
      <c r="R230" s="5"/>
    </row>
    <row r="231" spans="1:18" x14ac:dyDescent="0.2">
      <c r="A231" s="111">
        <f t="shared" si="3"/>
        <v>228</v>
      </c>
      <c r="B231" s="93" t="s">
        <v>264</v>
      </c>
      <c r="C231" s="512" t="s">
        <v>848</v>
      </c>
      <c r="D231" s="58"/>
      <c r="E231" s="4"/>
      <c r="F231" s="4"/>
      <c r="G231" s="4"/>
      <c r="H231" s="4"/>
      <c r="I231" s="4"/>
      <c r="J231" s="4"/>
      <c r="K231" s="4"/>
      <c r="L231" s="4"/>
      <c r="M231" s="4"/>
      <c r="N231" s="4"/>
      <c r="O231" s="4"/>
      <c r="P231" s="405"/>
      <c r="Q231" s="5"/>
      <c r="R231" s="5"/>
    </row>
    <row r="232" spans="1:18" x14ac:dyDescent="0.2">
      <c r="A232" s="111">
        <f t="shared" si="3"/>
        <v>229</v>
      </c>
      <c r="B232" s="93" t="s">
        <v>445</v>
      </c>
      <c r="C232" s="512" t="s">
        <v>849</v>
      </c>
      <c r="D232" s="58"/>
      <c r="E232" s="4"/>
      <c r="F232" s="4"/>
      <c r="G232" s="4"/>
      <c r="H232" s="4"/>
      <c r="I232" s="4"/>
      <c r="J232" s="4"/>
      <c r="K232" s="4"/>
      <c r="L232" s="4"/>
      <c r="M232" s="4"/>
      <c r="N232" s="4"/>
      <c r="O232" s="4"/>
      <c r="P232" s="405"/>
      <c r="Q232" s="5"/>
      <c r="R232" s="5"/>
    </row>
    <row r="233" spans="1:18" x14ac:dyDescent="0.2">
      <c r="A233" s="111">
        <f t="shared" si="3"/>
        <v>230</v>
      </c>
      <c r="B233" s="93" t="s">
        <v>311</v>
      </c>
      <c r="C233" s="512" t="s">
        <v>850</v>
      </c>
      <c r="D233" s="58"/>
      <c r="E233" s="4"/>
      <c r="F233" s="4"/>
      <c r="G233" s="4"/>
      <c r="H233" s="4"/>
      <c r="I233" s="4"/>
      <c r="J233" s="4"/>
      <c r="K233" s="4"/>
      <c r="L233" s="4"/>
      <c r="M233" s="4"/>
      <c r="N233" s="4"/>
      <c r="O233" s="4"/>
      <c r="P233" s="405"/>
      <c r="Q233" s="5"/>
      <c r="R233" s="5"/>
    </row>
    <row r="234" spans="1:18" x14ac:dyDescent="0.2">
      <c r="A234" s="111">
        <f t="shared" si="3"/>
        <v>231</v>
      </c>
      <c r="B234" s="93" t="s">
        <v>312</v>
      </c>
      <c r="C234" s="512" t="s">
        <v>851</v>
      </c>
      <c r="D234" s="58"/>
      <c r="E234" s="4"/>
      <c r="F234" s="4"/>
      <c r="G234" s="4"/>
      <c r="H234" s="4"/>
      <c r="I234" s="4"/>
      <c r="J234" s="4"/>
      <c r="K234" s="4"/>
      <c r="L234" s="4"/>
      <c r="M234" s="4"/>
      <c r="N234" s="4"/>
      <c r="O234" s="4"/>
      <c r="P234" s="405"/>
      <c r="Q234" s="5"/>
      <c r="R234" s="5"/>
    </row>
    <row r="235" spans="1:18" x14ac:dyDescent="0.2">
      <c r="A235" s="111">
        <f t="shared" si="3"/>
        <v>232</v>
      </c>
      <c r="B235" s="93" t="s">
        <v>313</v>
      </c>
      <c r="C235" s="513" t="s">
        <v>852</v>
      </c>
      <c r="D235" s="58"/>
      <c r="E235" s="4"/>
      <c r="F235" s="4"/>
      <c r="G235" s="4"/>
      <c r="H235" s="4"/>
      <c r="I235" s="4"/>
      <c r="J235" s="4"/>
      <c r="K235" s="4"/>
      <c r="L235" s="4"/>
      <c r="M235" s="4"/>
      <c r="N235" s="4"/>
      <c r="O235" s="4"/>
      <c r="P235" s="405"/>
      <c r="Q235" s="5"/>
      <c r="R235" s="5"/>
    </row>
    <row r="236" spans="1:18" x14ac:dyDescent="0.2">
      <c r="A236" s="110">
        <f t="shared" si="3"/>
        <v>233</v>
      </c>
      <c r="B236" s="510" t="s">
        <v>1243</v>
      </c>
      <c r="C236" s="514" t="s">
        <v>1844</v>
      </c>
      <c r="D236" s="524"/>
      <c r="E236" s="525"/>
      <c r="F236" s="525"/>
      <c r="G236" s="525"/>
      <c r="H236" s="525"/>
      <c r="I236" s="525"/>
      <c r="J236" s="525"/>
      <c r="K236" s="525"/>
      <c r="L236" s="525"/>
      <c r="M236" s="525"/>
      <c r="N236" s="525"/>
      <c r="O236" s="82"/>
      <c r="P236" s="526"/>
      <c r="Q236" s="82"/>
      <c r="R236" s="82"/>
    </row>
    <row r="237" spans="1:18" x14ac:dyDescent="0.2">
      <c r="A237" s="111">
        <f t="shared" si="3"/>
        <v>234</v>
      </c>
      <c r="B237" s="93" t="s">
        <v>39</v>
      </c>
      <c r="C237" s="515" t="s">
        <v>853</v>
      </c>
      <c r="D237" s="58"/>
      <c r="E237" s="4"/>
      <c r="F237" s="4"/>
      <c r="G237" s="4"/>
      <c r="H237" s="4"/>
      <c r="I237" s="4"/>
      <c r="J237" s="4"/>
      <c r="K237" s="4"/>
      <c r="L237" s="4"/>
      <c r="M237" s="4"/>
      <c r="N237" s="4"/>
      <c r="O237" s="4"/>
      <c r="P237" s="405"/>
      <c r="Q237" s="5"/>
      <c r="R237" s="5"/>
    </row>
    <row r="238" spans="1:18" x14ac:dyDescent="0.2">
      <c r="A238" s="111">
        <f t="shared" si="3"/>
        <v>235</v>
      </c>
      <c r="B238" s="93" t="s">
        <v>266</v>
      </c>
      <c r="C238" s="512" t="s">
        <v>854</v>
      </c>
      <c r="D238" s="58"/>
      <c r="E238" s="4"/>
      <c r="F238" s="4"/>
      <c r="G238" s="4"/>
      <c r="H238" s="4"/>
      <c r="I238" s="4"/>
      <c r="J238" s="4"/>
      <c r="K238" s="4"/>
      <c r="L238" s="4"/>
      <c r="M238" s="4"/>
      <c r="N238" s="4"/>
      <c r="O238" s="4"/>
      <c r="P238" s="405"/>
      <c r="Q238" s="5"/>
      <c r="R238" s="5"/>
    </row>
    <row r="239" spans="1:18" x14ac:dyDescent="0.2">
      <c r="A239" s="111">
        <f t="shared" si="3"/>
        <v>236</v>
      </c>
      <c r="B239" s="93" t="s">
        <v>267</v>
      </c>
      <c r="C239" s="512" t="s">
        <v>855</v>
      </c>
      <c r="D239" s="58"/>
      <c r="E239" s="4"/>
      <c r="F239" s="4"/>
      <c r="G239" s="4"/>
      <c r="H239" s="4"/>
      <c r="I239" s="4"/>
      <c r="J239" s="4"/>
      <c r="K239" s="4"/>
      <c r="L239" s="4"/>
      <c r="M239" s="4"/>
      <c r="N239" s="4"/>
      <c r="O239" s="4"/>
      <c r="P239" s="405"/>
      <c r="Q239" s="5"/>
      <c r="R239" s="5"/>
    </row>
    <row r="240" spans="1:18" x14ac:dyDescent="0.2">
      <c r="A240" s="111">
        <f t="shared" si="3"/>
        <v>237</v>
      </c>
      <c r="B240" s="93" t="s">
        <v>314</v>
      </c>
      <c r="C240" s="512" t="s">
        <v>856</v>
      </c>
      <c r="D240" s="58"/>
      <c r="E240" s="4"/>
      <c r="F240" s="4"/>
      <c r="G240" s="4"/>
      <c r="H240" s="4"/>
      <c r="I240" s="4"/>
      <c r="J240" s="4"/>
      <c r="K240" s="4"/>
      <c r="L240" s="4"/>
      <c r="M240" s="4"/>
      <c r="N240" s="4"/>
      <c r="O240" s="4"/>
      <c r="P240" s="405"/>
      <c r="Q240" s="5"/>
      <c r="R240" s="5"/>
    </row>
    <row r="241" spans="1:18" x14ac:dyDescent="0.2">
      <c r="A241" s="111">
        <f t="shared" si="3"/>
        <v>238</v>
      </c>
      <c r="B241" s="93" t="s">
        <v>269</v>
      </c>
      <c r="C241" s="512" t="s">
        <v>857</v>
      </c>
      <c r="D241" s="58"/>
      <c r="E241" s="4"/>
      <c r="F241" s="4"/>
      <c r="G241" s="4"/>
      <c r="H241" s="4"/>
      <c r="I241" s="4"/>
      <c r="J241" s="4"/>
      <c r="K241" s="4"/>
      <c r="L241" s="4"/>
      <c r="M241" s="4"/>
      <c r="N241" s="4"/>
      <c r="O241" s="4"/>
      <c r="P241" s="405"/>
      <c r="Q241" s="5"/>
      <c r="R241" s="5"/>
    </row>
    <row r="242" spans="1:18" x14ac:dyDescent="0.2">
      <c r="A242" s="111">
        <f t="shared" si="3"/>
        <v>239</v>
      </c>
      <c r="B242" s="93" t="s">
        <v>270</v>
      </c>
      <c r="C242" s="513" t="s">
        <v>858</v>
      </c>
      <c r="D242" s="58"/>
      <c r="E242" s="4"/>
      <c r="F242" s="4"/>
      <c r="G242" s="4"/>
      <c r="H242" s="4"/>
      <c r="I242" s="4"/>
      <c r="J242" s="4"/>
      <c r="K242" s="4"/>
      <c r="L242" s="4"/>
      <c r="M242" s="4"/>
      <c r="N242" s="4"/>
      <c r="O242" s="4"/>
      <c r="P242" s="405"/>
      <c r="Q242" s="5"/>
      <c r="R242" s="5"/>
    </row>
    <row r="243" spans="1:18" x14ac:dyDescent="0.2">
      <c r="A243" s="110">
        <f t="shared" si="3"/>
        <v>240</v>
      </c>
      <c r="B243" s="510" t="s">
        <v>1333</v>
      </c>
      <c r="C243" s="514" t="s">
        <v>1845</v>
      </c>
      <c r="D243" s="524"/>
      <c r="E243" s="525"/>
      <c r="F243" s="525"/>
      <c r="G243" s="525"/>
      <c r="H243" s="525"/>
      <c r="I243" s="525"/>
      <c r="J243" s="525"/>
      <c r="K243" s="525"/>
      <c r="L243" s="525"/>
      <c r="M243" s="525"/>
      <c r="N243" s="525"/>
      <c r="O243" s="525"/>
      <c r="P243" s="526"/>
      <c r="Q243" s="82"/>
      <c r="R243" s="82"/>
    </row>
    <row r="244" spans="1:18" x14ac:dyDescent="0.2">
      <c r="A244" s="111">
        <f t="shared" si="3"/>
        <v>241</v>
      </c>
      <c r="B244" s="93" t="s">
        <v>37</v>
      </c>
      <c r="C244" s="515" t="s">
        <v>859</v>
      </c>
      <c r="D244" s="58"/>
      <c r="E244" s="4"/>
      <c r="F244" s="4"/>
      <c r="G244" s="4"/>
      <c r="H244" s="4"/>
      <c r="I244" s="4"/>
      <c r="J244" s="4"/>
      <c r="K244" s="4"/>
      <c r="L244" s="4"/>
      <c r="M244" s="4"/>
      <c r="N244" s="4"/>
      <c r="O244" s="4"/>
      <c r="P244" s="405"/>
      <c r="Q244" s="5"/>
      <c r="R244" s="5"/>
    </row>
    <row r="245" spans="1:18" x14ac:dyDescent="0.2">
      <c r="A245" s="111">
        <f t="shared" si="3"/>
        <v>242</v>
      </c>
      <c r="B245" s="93" t="s">
        <v>307</v>
      </c>
      <c r="C245" s="513" t="s">
        <v>860</v>
      </c>
      <c r="D245" s="58"/>
      <c r="E245" s="4"/>
      <c r="F245" s="4"/>
      <c r="G245" s="4"/>
      <c r="H245" s="4"/>
      <c r="I245" s="4"/>
      <c r="J245" s="4"/>
      <c r="K245" s="4"/>
      <c r="L245" s="4"/>
      <c r="M245" s="4"/>
      <c r="N245" s="4"/>
      <c r="O245" s="4"/>
      <c r="P245" s="405"/>
      <c r="Q245" s="5"/>
      <c r="R245" s="5"/>
    </row>
    <row r="246" spans="1:18" x14ac:dyDescent="0.2">
      <c r="A246" s="110">
        <f t="shared" si="3"/>
        <v>243</v>
      </c>
      <c r="B246" s="510" t="s">
        <v>1334</v>
      </c>
      <c r="C246" s="514" t="s">
        <v>1846</v>
      </c>
      <c r="D246" s="524"/>
      <c r="E246" s="525"/>
      <c r="F246" s="525"/>
      <c r="G246" s="525"/>
      <c r="H246" s="525"/>
      <c r="I246" s="525"/>
      <c r="J246" s="525"/>
      <c r="K246" s="525"/>
      <c r="L246" s="525"/>
      <c r="M246" s="525"/>
      <c r="N246" s="525"/>
      <c r="O246" s="525"/>
      <c r="P246" s="526"/>
      <c r="Q246" s="82"/>
      <c r="R246" s="82"/>
    </row>
    <row r="247" spans="1:18" x14ac:dyDescent="0.2">
      <c r="A247" s="111">
        <f t="shared" si="3"/>
        <v>244</v>
      </c>
      <c r="B247" s="93" t="s">
        <v>315</v>
      </c>
      <c r="C247" s="515" t="s">
        <v>861</v>
      </c>
      <c r="D247" s="58"/>
      <c r="E247" s="4"/>
      <c r="F247" s="4"/>
      <c r="G247" s="4"/>
      <c r="H247" s="4"/>
      <c r="I247" s="4"/>
      <c r="J247" s="4"/>
      <c r="K247" s="4"/>
      <c r="L247" s="4"/>
      <c r="M247" s="4"/>
      <c r="N247" s="4"/>
      <c r="O247" s="4"/>
      <c r="P247" s="405"/>
      <c r="Q247" s="5"/>
      <c r="R247" s="5"/>
    </row>
    <row r="248" spans="1:18" x14ac:dyDescent="0.2">
      <c r="A248" s="111">
        <f t="shared" si="3"/>
        <v>245</v>
      </c>
      <c r="B248" s="93" t="s">
        <v>316</v>
      </c>
      <c r="C248" s="512" t="s">
        <v>862</v>
      </c>
      <c r="D248" s="58"/>
      <c r="E248" s="4"/>
      <c r="F248" s="4"/>
      <c r="G248" s="4"/>
      <c r="H248" s="4"/>
      <c r="I248" s="4"/>
      <c r="J248" s="4"/>
      <c r="K248" s="4"/>
      <c r="L248" s="4"/>
      <c r="M248" s="4"/>
      <c r="N248" s="4"/>
      <c r="O248" s="4"/>
      <c r="P248" s="405"/>
      <c r="Q248" s="5"/>
      <c r="R248" s="5"/>
    </row>
    <row r="249" spans="1:18" x14ac:dyDescent="0.2">
      <c r="A249" s="111">
        <f t="shared" si="3"/>
        <v>246</v>
      </c>
      <c r="B249" s="93" t="s">
        <v>317</v>
      </c>
      <c r="C249" s="512" t="s">
        <v>863</v>
      </c>
      <c r="D249" s="58"/>
      <c r="E249" s="4"/>
      <c r="F249" s="4"/>
      <c r="G249" s="4"/>
      <c r="H249" s="4"/>
      <c r="I249" s="4"/>
      <c r="J249" s="4"/>
      <c r="K249" s="4"/>
      <c r="L249" s="4"/>
      <c r="M249" s="4"/>
      <c r="N249" s="4"/>
      <c r="O249" s="4"/>
      <c r="P249" s="405"/>
      <c r="Q249" s="5"/>
      <c r="R249" s="5"/>
    </row>
    <row r="250" spans="1:18" x14ac:dyDescent="0.2">
      <c r="A250" s="111">
        <f t="shared" si="3"/>
        <v>247</v>
      </c>
      <c r="B250" s="93" t="s">
        <v>278</v>
      </c>
      <c r="C250" s="512" t="s">
        <v>864</v>
      </c>
      <c r="D250" s="58"/>
      <c r="E250" s="4"/>
      <c r="F250" s="4"/>
      <c r="G250" s="4"/>
      <c r="H250" s="4"/>
      <c r="I250" s="4"/>
      <c r="J250" s="4"/>
      <c r="K250" s="4"/>
      <c r="L250" s="4"/>
      <c r="M250" s="4"/>
      <c r="N250" s="4"/>
      <c r="O250" s="4"/>
      <c r="P250" s="405"/>
      <c r="Q250" s="5"/>
      <c r="R250" s="5"/>
    </row>
    <row r="251" spans="1:18" x14ac:dyDescent="0.2">
      <c r="A251" s="111">
        <f t="shared" si="3"/>
        <v>248</v>
      </c>
      <c r="B251" s="93" t="s">
        <v>277</v>
      </c>
      <c r="C251" s="512" t="s">
        <v>865</v>
      </c>
      <c r="D251" s="58"/>
      <c r="E251" s="4"/>
      <c r="F251" s="4"/>
      <c r="G251" s="4"/>
      <c r="H251" s="4"/>
      <c r="I251" s="4"/>
      <c r="J251" s="4"/>
      <c r="K251" s="4"/>
      <c r="L251" s="4"/>
      <c r="M251" s="4"/>
      <c r="N251" s="4"/>
      <c r="O251" s="4"/>
      <c r="P251" s="405"/>
      <c r="Q251" s="5"/>
      <c r="R251" s="5"/>
    </row>
    <row r="252" spans="1:18" x14ac:dyDescent="0.2">
      <c r="A252" s="111">
        <f t="shared" si="3"/>
        <v>249</v>
      </c>
      <c r="B252" s="93" t="s">
        <v>279</v>
      </c>
      <c r="C252" s="512" t="s">
        <v>866</v>
      </c>
      <c r="D252" s="58"/>
      <c r="E252" s="4"/>
      <c r="F252" s="4"/>
      <c r="G252" s="4"/>
      <c r="H252" s="4"/>
      <c r="I252" s="4"/>
      <c r="J252" s="4"/>
      <c r="K252" s="4"/>
      <c r="L252" s="4"/>
      <c r="M252" s="4"/>
      <c r="N252" s="4"/>
      <c r="O252" s="4"/>
      <c r="P252" s="405"/>
      <c r="Q252" s="5"/>
      <c r="R252" s="5"/>
    </row>
    <row r="253" spans="1:18" x14ac:dyDescent="0.2">
      <c r="A253" s="111">
        <f t="shared" si="3"/>
        <v>250</v>
      </c>
      <c r="B253" s="93" t="s">
        <v>280</v>
      </c>
      <c r="C253" s="513" t="s">
        <v>867</v>
      </c>
      <c r="D253" s="58"/>
      <c r="E253" s="4"/>
      <c r="F253" s="4"/>
      <c r="G253" s="4"/>
      <c r="H253" s="4"/>
      <c r="I253" s="4"/>
      <c r="J253" s="4"/>
      <c r="K253" s="4"/>
      <c r="L253" s="4"/>
      <c r="M253" s="4"/>
      <c r="N253" s="4"/>
      <c r="O253" s="4"/>
      <c r="P253" s="405"/>
      <c r="Q253" s="5"/>
      <c r="R253" s="5"/>
    </row>
    <row r="254" spans="1:18" x14ac:dyDescent="0.2">
      <c r="A254" s="111">
        <f t="shared" si="3"/>
        <v>251</v>
      </c>
      <c r="B254" s="93" t="s">
        <v>1329</v>
      </c>
      <c r="C254" s="795">
        <v>8208</v>
      </c>
      <c r="D254" s="58"/>
      <c r="E254" s="4"/>
      <c r="F254" s="4"/>
      <c r="G254" s="4"/>
      <c r="H254" s="4"/>
      <c r="I254" s="4"/>
      <c r="J254" s="4"/>
      <c r="K254" s="4"/>
      <c r="L254" s="4"/>
      <c r="M254" s="4"/>
      <c r="N254" s="4"/>
      <c r="O254" s="4"/>
      <c r="P254" s="405"/>
      <c r="Q254" s="5"/>
      <c r="R254" s="5"/>
    </row>
    <row r="255" spans="1:18" x14ac:dyDescent="0.2">
      <c r="A255" s="111">
        <f t="shared" si="3"/>
        <v>252</v>
      </c>
      <c r="B255" s="93" t="s">
        <v>1331</v>
      </c>
      <c r="C255" s="795">
        <v>8209</v>
      </c>
      <c r="D255" s="58"/>
      <c r="E255" s="4"/>
      <c r="F255" s="4"/>
      <c r="G255" s="4"/>
      <c r="H255" s="4"/>
      <c r="I255" s="4"/>
      <c r="J255" s="4"/>
      <c r="K255" s="4"/>
      <c r="L255" s="4"/>
      <c r="M255" s="4"/>
      <c r="N255" s="4"/>
      <c r="O255" s="4"/>
      <c r="P255" s="405"/>
      <c r="Q255" s="5"/>
      <c r="R255" s="5"/>
    </row>
    <row r="256" spans="1:18" x14ac:dyDescent="0.2">
      <c r="A256" s="110">
        <f t="shared" si="3"/>
        <v>253</v>
      </c>
      <c r="B256" s="510" t="s">
        <v>1244</v>
      </c>
      <c r="C256" s="514" t="s">
        <v>1847</v>
      </c>
      <c r="D256" s="524"/>
      <c r="E256" s="525"/>
      <c r="F256" s="525"/>
      <c r="G256" s="525"/>
      <c r="H256" s="525"/>
      <c r="I256" s="525"/>
      <c r="J256" s="525"/>
      <c r="K256" s="525"/>
      <c r="L256" s="525"/>
      <c r="M256" s="525"/>
      <c r="N256" s="525"/>
      <c r="O256" s="525"/>
      <c r="P256" s="526"/>
      <c r="Q256" s="82"/>
      <c r="R256" s="82"/>
    </row>
    <row r="257" spans="1:18" x14ac:dyDescent="0.2">
      <c r="A257" s="111">
        <f t="shared" si="3"/>
        <v>254</v>
      </c>
      <c r="B257" s="93" t="s">
        <v>318</v>
      </c>
      <c r="C257" s="515" t="s">
        <v>1682</v>
      </c>
      <c r="D257" s="58"/>
      <c r="E257" s="4"/>
      <c r="F257" s="4"/>
      <c r="G257" s="4"/>
      <c r="H257" s="4"/>
      <c r="I257" s="4"/>
      <c r="J257" s="4"/>
      <c r="K257" s="4"/>
      <c r="L257" s="4"/>
      <c r="M257" s="4"/>
      <c r="N257" s="4"/>
      <c r="O257" s="4"/>
      <c r="P257" s="405"/>
      <c r="Q257" s="5"/>
      <c r="R257" s="5"/>
    </row>
    <row r="258" spans="1:18" x14ac:dyDescent="0.2">
      <c r="A258" s="111">
        <f t="shared" si="3"/>
        <v>255</v>
      </c>
      <c r="B258" s="93" t="s">
        <v>284</v>
      </c>
      <c r="C258" s="512" t="s">
        <v>1683</v>
      </c>
      <c r="D258" s="58"/>
      <c r="E258" s="4"/>
      <c r="F258" s="4"/>
      <c r="G258" s="4"/>
      <c r="H258" s="4"/>
      <c r="I258" s="4"/>
      <c r="J258" s="4"/>
      <c r="K258" s="4"/>
      <c r="L258" s="4"/>
      <c r="M258" s="4"/>
      <c r="N258" s="4"/>
      <c r="O258" s="4"/>
      <c r="P258" s="405"/>
      <c r="Q258" s="5"/>
      <c r="R258" s="5"/>
    </row>
    <row r="259" spans="1:18" x14ac:dyDescent="0.2">
      <c r="A259" s="111">
        <f t="shared" si="3"/>
        <v>256</v>
      </c>
      <c r="B259" s="93" t="s">
        <v>285</v>
      </c>
      <c r="C259" s="512" t="s">
        <v>868</v>
      </c>
      <c r="D259" s="58"/>
      <c r="E259" s="4"/>
      <c r="F259" s="4"/>
      <c r="G259" s="4"/>
      <c r="H259" s="4"/>
      <c r="I259" s="4"/>
      <c r="J259" s="4"/>
      <c r="K259" s="4"/>
      <c r="L259" s="4"/>
      <c r="M259" s="4"/>
      <c r="N259" s="4"/>
      <c r="O259" s="4"/>
      <c r="P259" s="405"/>
      <c r="Q259" s="5"/>
      <c r="R259" s="5"/>
    </row>
    <row r="260" spans="1:18" x14ac:dyDescent="0.2">
      <c r="A260" s="111">
        <f t="shared" si="3"/>
        <v>257</v>
      </c>
      <c r="B260" s="93" t="s">
        <v>287</v>
      </c>
      <c r="C260" s="512" t="s">
        <v>869</v>
      </c>
      <c r="D260" s="58"/>
      <c r="E260" s="4"/>
      <c r="F260" s="4"/>
      <c r="G260" s="4"/>
      <c r="H260" s="4"/>
      <c r="I260" s="4"/>
      <c r="J260" s="4"/>
      <c r="K260" s="4"/>
      <c r="L260" s="4"/>
      <c r="M260" s="4"/>
      <c r="N260" s="4"/>
      <c r="O260" s="4"/>
      <c r="P260" s="405"/>
      <c r="Q260" s="5"/>
      <c r="R260" s="5"/>
    </row>
    <row r="261" spans="1:18" x14ac:dyDescent="0.2">
      <c r="A261" s="111">
        <f t="shared" si="3"/>
        <v>258</v>
      </c>
      <c r="B261" s="93" t="s">
        <v>286</v>
      </c>
      <c r="C261" s="512" t="s">
        <v>870</v>
      </c>
      <c r="D261" s="58"/>
      <c r="E261" s="4"/>
      <c r="F261" s="4"/>
      <c r="G261" s="4"/>
      <c r="H261" s="4"/>
      <c r="I261" s="4"/>
      <c r="J261" s="4"/>
      <c r="K261" s="4"/>
      <c r="L261" s="4"/>
      <c r="M261" s="4"/>
      <c r="N261" s="4"/>
      <c r="O261" s="4"/>
      <c r="P261" s="405"/>
      <c r="Q261" s="5"/>
      <c r="R261" s="5"/>
    </row>
    <row r="262" spans="1:18" x14ac:dyDescent="0.2">
      <c r="A262" s="111">
        <f t="shared" ref="A262:A325" si="4">A261+1</f>
        <v>259</v>
      </c>
      <c r="B262" s="93" t="s">
        <v>288</v>
      </c>
      <c r="C262" s="512" t="s">
        <v>871</v>
      </c>
      <c r="D262" s="58"/>
      <c r="E262" s="4"/>
      <c r="F262" s="4"/>
      <c r="G262" s="4"/>
      <c r="H262" s="4"/>
      <c r="I262" s="4"/>
      <c r="J262" s="4"/>
      <c r="K262" s="4"/>
      <c r="L262" s="4"/>
      <c r="M262" s="4"/>
      <c r="N262" s="4"/>
      <c r="O262" s="4"/>
      <c r="P262" s="405"/>
      <c r="Q262" s="5"/>
      <c r="R262" s="5"/>
    </row>
    <row r="263" spans="1:18" x14ac:dyDescent="0.2">
      <c r="A263" s="111">
        <f t="shared" si="4"/>
        <v>260</v>
      </c>
      <c r="B263" s="93" t="s">
        <v>319</v>
      </c>
      <c r="C263" s="512" t="s">
        <v>872</v>
      </c>
      <c r="D263" s="58"/>
      <c r="E263" s="4"/>
      <c r="F263" s="4"/>
      <c r="G263" s="4"/>
      <c r="H263" s="4"/>
      <c r="I263" s="4"/>
      <c r="J263" s="4"/>
      <c r="K263" s="4"/>
      <c r="L263" s="4"/>
      <c r="M263" s="4"/>
      <c r="N263" s="4"/>
      <c r="O263" s="4"/>
      <c r="P263" s="405"/>
      <c r="Q263" s="5"/>
      <c r="R263" s="5"/>
    </row>
    <row r="264" spans="1:18" x14ac:dyDescent="0.2">
      <c r="A264" s="111">
        <f t="shared" si="4"/>
        <v>261</v>
      </c>
      <c r="B264" s="93" t="s">
        <v>320</v>
      </c>
      <c r="C264" s="512" t="s">
        <v>873</v>
      </c>
      <c r="D264" s="58"/>
      <c r="E264" s="4"/>
      <c r="F264" s="4"/>
      <c r="G264" s="4"/>
      <c r="H264" s="4"/>
      <c r="I264" s="4"/>
      <c r="J264" s="4"/>
      <c r="K264" s="4"/>
      <c r="L264" s="4"/>
      <c r="M264" s="4"/>
      <c r="N264" s="4"/>
      <c r="O264" s="4"/>
      <c r="P264" s="405"/>
      <c r="Q264" s="5"/>
      <c r="R264" s="5"/>
    </row>
    <row r="265" spans="1:18" x14ac:dyDescent="0.2">
      <c r="A265" s="111">
        <f t="shared" si="4"/>
        <v>262</v>
      </c>
      <c r="B265" s="93" t="s">
        <v>321</v>
      </c>
      <c r="C265" s="512" t="s">
        <v>874</v>
      </c>
      <c r="D265" s="58"/>
      <c r="E265" s="4"/>
      <c r="F265" s="4"/>
      <c r="G265" s="4"/>
      <c r="H265" s="4"/>
      <c r="I265" s="4"/>
      <c r="J265" s="4"/>
      <c r="K265" s="4"/>
      <c r="L265" s="4"/>
      <c r="M265" s="4"/>
      <c r="N265" s="4"/>
      <c r="O265" s="4"/>
      <c r="P265" s="405"/>
      <c r="Q265" s="5"/>
      <c r="R265" s="5"/>
    </row>
    <row r="266" spans="1:18" x14ac:dyDescent="0.2">
      <c r="A266" s="111">
        <f t="shared" si="4"/>
        <v>263</v>
      </c>
      <c r="B266" s="93" t="s">
        <v>290</v>
      </c>
      <c r="C266" s="513" t="s">
        <v>875</v>
      </c>
      <c r="D266" s="58"/>
      <c r="E266" s="4"/>
      <c r="F266" s="4"/>
      <c r="G266" s="4"/>
      <c r="H266" s="4"/>
      <c r="I266" s="4"/>
      <c r="J266" s="4"/>
      <c r="K266" s="4"/>
      <c r="L266" s="4"/>
      <c r="M266" s="4"/>
      <c r="N266" s="4"/>
      <c r="O266" s="4"/>
      <c r="P266" s="405"/>
      <c r="Q266" s="5"/>
      <c r="R266" s="5"/>
    </row>
    <row r="267" spans="1:18" x14ac:dyDescent="0.2">
      <c r="A267" s="110">
        <f t="shared" si="4"/>
        <v>264</v>
      </c>
      <c r="B267" s="510" t="s">
        <v>1245</v>
      </c>
      <c r="C267" s="514" t="s">
        <v>1848</v>
      </c>
      <c r="D267" s="524"/>
      <c r="E267" s="525"/>
      <c r="F267" s="525"/>
      <c r="G267" s="525"/>
      <c r="H267" s="525"/>
      <c r="I267" s="525"/>
      <c r="J267" s="525"/>
      <c r="K267" s="525"/>
      <c r="L267" s="525"/>
      <c r="M267" s="525"/>
      <c r="N267" s="525"/>
      <c r="O267" s="525"/>
      <c r="P267" s="526"/>
      <c r="Q267" s="82"/>
      <c r="R267" s="82"/>
    </row>
    <row r="268" spans="1:18" x14ac:dyDescent="0.2">
      <c r="A268" s="111">
        <f t="shared" si="4"/>
        <v>265</v>
      </c>
      <c r="B268" s="93" t="s">
        <v>322</v>
      </c>
      <c r="C268" s="515" t="s">
        <v>876</v>
      </c>
      <c r="D268" s="58"/>
      <c r="E268" s="4"/>
      <c r="F268" s="4"/>
      <c r="G268" s="4"/>
      <c r="H268" s="4"/>
      <c r="I268" s="4"/>
      <c r="J268" s="4"/>
      <c r="K268" s="4"/>
      <c r="L268" s="4"/>
      <c r="M268" s="4"/>
      <c r="N268" s="4"/>
      <c r="O268" s="4"/>
      <c r="P268" s="405"/>
      <c r="Q268" s="5"/>
      <c r="R268" s="5"/>
    </row>
    <row r="269" spans="1:18" x14ac:dyDescent="0.2">
      <c r="A269" s="111">
        <f t="shared" si="4"/>
        <v>266</v>
      </c>
      <c r="B269" s="93" t="s">
        <v>292</v>
      </c>
      <c r="C269" s="512" t="s">
        <v>877</v>
      </c>
      <c r="D269" s="58"/>
      <c r="E269" s="4"/>
      <c r="F269" s="4"/>
      <c r="G269" s="4"/>
      <c r="H269" s="4"/>
      <c r="I269" s="4"/>
      <c r="J269" s="4"/>
      <c r="K269" s="4"/>
      <c r="L269" s="4"/>
      <c r="M269" s="4"/>
      <c r="N269" s="4"/>
      <c r="O269" s="4"/>
      <c r="P269" s="405"/>
      <c r="Q269" s="5"/>
      <c r="R269" s="5"/>
    </row>
    <row r="270" spans="1:18" x14ac:dyDescent="0.2">
      <c r="A270" s="111">
        <f t="shared" si="4"/>
        <v>267</v>
      </c>
      <c r="B270" s="93" t="s">
        <v>293</v>
      </c>
      <c r="C270" s="512" t="s">
        <v>878</v>
      </c>
      <c r="D270" s="58"/>
      <c r="E270" s="4"/>
      <c r="F270" s="4"/>
      <c r="G270" s="4"/>
      <c r="H270" s="4"/>
      <c r="I270" s="4"/>
      <c r="J270" s="4"/>
      <c r="K270" s="4"/>
      <c r="L270" s="4"/>
      <c r="M270" s="4"/>
      <c r="N270" s="4"/>
      <c r="O270" s="4"/>
      <c r="P270" s="405"/>
      <c r="Q270" s="5"/>
      <c r="R270" s="5"/>
    </row>
    <row r="271" spans="1:18" x14ac:dyDescent="0.2">
      <c r="A271" s="111">
        <f t="shared" si="4"/>
        <v>268</v>
      </c>
      <c r="B271" s="93" t="s">
        <v>294</v>
      </c>
      <c r="C271" s="512" t="s">
        <v>879</v>
      </c>
      <c r="D271" s="58"/>
      <c r="E271" s="4"/>
      <c r="F271" s="4"/>
      <c r="G271" s="4"/>
      <c r="H271" s="4"/>
      <c r="I271" s="4"/>
      <c r="J271" s="4"/>
      <c r="K271" s="4"/>
      <c r="L271" s="4"/>
      <c r="M271" s="4"/>
      <c r="N271" s="4"/>
      <c r="O271" s="4"/>
      <c r="P271" s="405"/>
      <c r="Q271" s="5"/>
      <c r="R271" s="5"/>
    </row>
    <row r="272" spans="1:18" x14ac:dyDescent="0.2">
      <c r="A272" s="111">
        <f t="shared" si="4"/>
        <v>269</v>
      </c>
      <c r="B272" s="93" t="s">
        <v>454</v>
      </c>
      <c r="C272" s="512" t="s">
        <v>880</v>
      </c>
      <c r="D272" s="58"/>
      <c r="E272" s="4"/>
      <c r="F272" s="4"/>
      <c r="G272" s="4"/>
      <c r="H272" s="4"/>
      <c r="I272" s="4"/>
      <c r="J272" s="4"/>
      <c r="K272" s="4"/>
      <c r="L272" s="4"/>
      <c r="M272" s="4"/>
      <c r="N272" s="4"/>
      <c r="O272" s="4"/>
      <c r="P272" s="405"/>
      <c r="Q272" s="5"/>
      <c r="R272" s="5"/>
    </row>
    <row r="273" spans="1:18" x14ac:dyDescent="0.2">
      <c r="A273" s="111">
        <f t="shared" si="4"/>
        <v>270</v>
      </c>
      <c r="B273" s="93" t="s">
        <v>298</v>
      </c>
      <c r="C273" s="512" t="s">
        <v>881</v>
      </c>
      <c r="D273" s="58"/>
      <c r="E273" s="4"/>
      <c r="F273" s="4"/>
      <c r="G273" s="4"/>
      <c r="H273" s="4"/>
      <c r="I273" s="4"/>
      <c r="J273" s="4"/>
      <c r="K273" s="4"/>
      <c r="L273" s="4"/>
      <c r="M273" s="4"/>
      <c r="N273" s="4"/>
      <c r="O273" s="4"/>
      <c r="P273" s="405"/>
      <c r="Q273" s="5"/>
      <c r="R273" s="5"/>
    </row>
    <row r="274" spans="1:18" x14ac:dyDescent="0.2">
      <c r="A274" s="111">
        <f t="shared" si="4"/>
        <v>271</v>
      </c>
      <c r="B274" s="93" t="s">
        <v>299</v>
      </c>
      <c r="C274" s="512" t="s">
        <v>882</v>
      </c>
      <c r="D274" s="58"/>
      <c r="E274" s="4"/>
      <c r="F274" s="4"/>
      <c r="G274" s="4"/>
      <c r="H274" s="4"/>
      <c r="I274" s="4"/>
      <c r="J274" s="4"/>
      <c r="K274" s="4"/>
      <c r="L274" s="4"/>
      <c r="M274" s="4"/>
      <c r="N274" s="4"/>
      <c r="O274" s="4"/>
      <c r="P274" s="405"/>
      <c r="Q274" s="5"/>
      <c r="R274" s="5"/>
    </row>
    <row r="275" spans="1:18" x14ac:dyDescent="0.2">
      <c r="A275" s="111">
        <f t="shared" si="4"/>
        <v>272</v>
      </c>
      <c r="B275" s="93" t="s">
        <v>300</v>
      </c>
      <c r="C275" s="512" t="s">
        <v>883</v>
      </c>
      <c r="D275" s="58"/>
      <c r="E275" s="4"/>
      <c r="F275" s="4"/>
      <c r="G275" s="4"/>
      <c r="H275" s="4"/>
      <c r="I275" s="4"/>
      <c r="J275" s="4"/>
      <c r="K275" s="4"/>
      <c r="L275" s="4"/>
      <c r="M275" s="4"/>
      <c r="N275" s="4"/>
      <c r="O275" s="4"/>
      <c r="P275" s="405"/>
      <c r="Q275" s="5"/>
      <c r="R275" s="5"/>
    </row>
    <row r="276" spans="1:18" x14ac:dyDescent="0.2">
      <c r="A276" s="111">
        <f t="shared" si="4"/>
        <v>273</v>
      </c>
      <c r="B276" s="93" t="s">
        <v>323</v>
      </c>
      <c r="C276" s="513" t="s">
        <v>884</v>
      </c>
      <c r="D276" s="58"/>
      <c r="E276" s="4"/>
      <c r="F276" s="4"/>
      <c r="G276" s="4"/>
      <c r="H276" s="4"/>
      <c r="I276" s="4"/>
      <c r="J276" s="4"/>
      <c r="K276" s="4"/>
      <c r="L276" s="4"/>
      <c r="M276" s="4"/>
      <c r="N276" s="4"/>
      <c r="O276" s="4"/>
      <c r="P276" s="405"/>
      <c r="Q276" s="5"/>
      <c r="R276" s="5"/>
    </row>
    <row r="277" spans="1:18" x14ac:dyDescent="0.2">
      <c r="A277" s="110">
        <f t="shared" si="4"/>
        <v>274</v>
      </c>
      <c r="B277" s="510" t="s">
        <v>1246</v>
      </c>
      <c r="C277" s="514" t="s">
        <v>1849</v>
      </c>
      <c r="D277" s="524"/>
      <c r="E277" s="525"/>
      <c r="F277" s="525"/>
      <c r="G277" s="525"/>
      <c r="H277" s="525"/>
      <c r="I277" s="525"/>
      <c r="J277" s="525"/>
      <c r="K277" s="525"/>
      <c r="L277" s="525"/>
      <c r="M277" s="525"/>
      <c r="N277" s="525"/>
      <c r="O277" s="525"/>
      <c r="P277" s="526"/>
      <c r="Q277" s="82"/>
      <c r="R277" s="82"/>
    </row>
    <row r="278" spans="1:18" x14ac:dyDescent="0.2">
      <c r="A278" s="111">
        <f t="shared" si="4"/>
        <v>275</v>
      </c>
      <c r="B278" s="93" t="s">
        <v>301</v>
      </c>
      <c r="C278" s="515" t="s">
        <v>885</v>
      </c>
      <c r="D278" s="58"/>
      <c r="E278" s="4"/>
      <c r="F278" s="4"/>
      <c r="G278" s="4"/>
      <c r="H278" s="4"/>
      <c r="I278" s="4"/>
      <c r="J278" s="4"/>
      <c r="K278" s="4"/>
      <c r="L278" s="4"/>
      <c r="M278" s="4"/>
      <c r="N278" s="4"/>
      <c r="O278" s="4"/>
      <c r="P278" s="405"/>
      <c r="Q278" s="5"/>
      <c r="R278" s="5"/>
    </row>
    <row r="279" spans="1:18" x14ac:dyDescent="0.2">
      <c r="A279" s="111">
        <f t="shared" si="4"/>
        <v>276</v>
      </c>
      <c r="B279" s="93" t="s">
        <v>302</v>
      </c>
      <c r="C279" s="512" t="s">
        <v>886</v>
      </c>
      <c r="D279" s="58"/>
      <c r="E279" s="4"/>
      <c r="F279" s="4"/>
      <c r="G279" s="4"/>
      <c r="H279" s="4"/>
      <c r="I279" s="4"/>
      <c r="J279" s="4"/>
      <c r="K279" s="4"/>
      <c r="L279" s="4"/>
      <c r="M279" s="4"/>
      <c r="N279" s="4"/>
      <c r="O279" s="4"/>
      <c r="P279" s="405"/>
      <c r="Q279" s="5"/>
      <c r="R279" s="5"/>
    </row>
    <row r="280" spans="1:18" x14ac:dyDescent="0.2">
      <c r="A280" s="111">
        <f t="shared" si="4"/>
        <v>277</v>
      </c>
      <c r="B280" s="93" t="s">
        <v>303</v>
      </c>
      <c r="C280" s="512" t="s">
        <v>887</v>
      </c>
      <c r="D280" s="58"/>
      <c r="E280" s="4"/>
      <c r="F280" s="4"/>
      <c r="G280" s="4"/>
      <c r="H280" s="4"/>
      <c r="I280" s="4"/>
      <c r="J280" s="4"/>
      <c r="K280" s="4"/>
      <c r="L280" s="4"/>
      <c r="M280" s="4"/>
      <c r="N280" s="4"/>
      <c r="O280" s="4"/>
      <c r="P280" s="405"/>
      <c r="Q280" s="5"/>
      <c r="R280" s="5"/>
    </row>
    <row r="281" spans="1:18" x14ac:dyDescent="0.2">
      <c r="A281" s="111">
        <f t="shared" si="4"/>
        <v>278</v>
      </c>
      <c r="B281" s="93" t="s">
        <v>304</v>
      </c>
      <c r="C281" s="512" t="s">
        <v>888</v>
      </c>
      <c r="D281" s="58"/>
      <c r="E281" s="4"/>
      <c r="F281" s="4"/>
      <c r="G281" s="4"/>
      <c r="H281" s="4"/>
      <c r="I281" s="4"/>
      <c r="J281" s="4"/>
      <c r="K281" s="4"/>
      <c r="L281" s="4"/>
      <c r="M281" s="4"/>
      <c r="N281" s="4"/>
      <c r="O281" s="4"/>
      <c r="P281" s="405"/>
      <c r="Q281" s="5"/>
      <c r="R281" s="5"/>
    </row>
    <row r="282" spans="1:18" x14ac:dyDescent="0.2">
      <c r="A282" s="111">
        <f t="shared" si="4"/>
        <v>279</v>
      </c>
      <c r="B282" s="93" t="s">
        <v>324</v>
      </c>
      <c r="C282" s="513" t="s">
        <v>889</v>
      </c>
      <c r="D282" s="58"/>
      <c r="E282" s="4"/>
      <c r="F282" s="4"/>
      <c r="G282" s="4"/>
      <c r="H282" s="4"/>
      <c r="I282" s="4"/>
      <c r="J282" s="4"/>
      <c r="K282" s="4"/>
      <c r="L282" s="4"/>
      <c r="M282" s="4"/>
      <c r="N282" s="4"/>
      <c r="O282" s="4"/>
      <c r="P282" s="405"/>
      <c r="Q282" s="5"/>
      <c r="R282" s="5"/>
    </row>
    <row r="283" spans="1:18" x14ac:dyDescent="0.2">
      <c r="A283" s="110">
        <f t="shared" si="4"/>
        <v>280</v>
      </c>
      <c r="B283" s="510" t="s">
        <v>1248</v>
      </c>
      <c r="C283" s="514" t="s">
        <v>1850</v>
      </c>
      <c r="D283" s="524"/>
      <c r="E283" s="525"/>
      <c r="F283" s="525"/>
      <c r="G283" s="525"/>
      <c r="H283" s="525"/>
      <c r="I283" s="525"/>
      <c r="J283" s="525"/>
      <c r="K283" s="525"/>
      <c r="L283" s="525"/>
      <c r="M283" s="525"/>
      <c r="N283" s="525"/>
      <c r="O283" s="525"/>
      <c r="P283" s="526"/>
      <c r="Q283" s="82"/>
      <c r="R283" s="82"/>
    </row>
    <row r="284" spans="1:18" x14ac:dyDescent="0.2">
      <c r="A284" s="111">
        <f t="shared" si="4"/>
        <v>281</v>
      </c>
      <c r="B284" s="93" t="s">
        <v>325</v>
      </c>
      <c r="C284" s="515" t="s">
        <v>890</v>
      </c>
      <c r="D284" s="58"/>
      <c r="E284" s="4"/>
      <c r="F284" s="4"/>
      <c r="G284" s="4"/>
      <c r="H284" s="4"/>
      <c r="I284" s="4"/>
      <c r="J284" s="4"/>
      <c r="K284" s="4"/>
      <c r="L284" s="4"/>
      <c r="M284" s="4"/>
      <c r="N284" s="4"/>
      <c r="O284" s="4"/>
      <c r="P284" s="405"/>
      <c r="Q284" s="5"/>
      <c r="R284" s="5"/>
    </row>
    <row r="285" spans="1:18" x14ac:dyDescent="0.2">
      <c r="A285" s="111">
        <f t="shared" si="4"/>
        <v>282</v>
      </c>
      <c r="B285" s="93" t="s">
        <v>326</v>
      </c>
      <c r="C285" s="512" t="s">
        <v>891</v>
      </c>
      <c r="D285" s="58"/>
      <c r="E285" s="4"/>
      <c r="F285" s="4"/>
      <c r="G285" s="4"/>
      <c r="H285" s="4"/>
      <c r="I285" s="4"/>
      <c r="J285" s="4"/>
      <c r="K285" s="4"/>
      <c r="L285" s="4"/>
      <c r="M285" s="4"/>
      <c r="N285" s="4"/>
      <c r="O285" s="4"/>
      <c r="P285" s="405"/>
      <c r="Q285" s="5"/>
      <c r="R285" s="5"/>
    </row>
    <row r="286" spans="1:18" x14ac:dyDescent="0.2">
      <c r="A286" s="111">
        <f t="shared" si="4"/>
        <v>283</v>
      </c>
      <c r="B286" s="93" t="s">
        <v>327</v>
      </c>
      <c r="C286" s="512" t="s">
        <v>892</v>
      </c>
      <c r="D286" s="58"/>
      <c r="E286" s="4"/>
      <c r="F286" s="4"/>
      <c r="G286" s="4"/>
      <c r="H286" s="4"/>
      <c r="I286" s="4"/>
      <c r="J286" s="4"/>
      <c r="K286" s="4"/>
      <c r="L286" s="4"/>
      <c r="M286" s="4"/>
      <c r="N286" s="4"/>
      <c r="O286" s="4"/>
      <c r="P286" s="405"/>
      <c r="Q286" s="5"/>
      <c r="R286" s="5"/>
    </row>
    <row r="287" spans="1:18" x14ac:dyDescent="0.2">
      <c r="A287" s="111">
        <f t="shared" si="4"/>
        <v>284</v>
      </c>
      <c r="B287" s="93" t="s">
        <v>328</v>
      </c>
      <c r="C287" s="512" t="s">
        <v>893</v>
      </c>
      <c r="D287" s="58"/>
      <c r="E287" s="4"/>
      <c r="F287" s="4"/>
      <c r="G287" s="4"/>
      <c r="H287" s="4"/>
      <c r="I287" s="4"/>
      <c r="J287" s="4"/>
      <c r="K287" s="4"/>
      <c r="L287" s="4"/>
      <c r="M287" s="4"/>
      <c r="N287" s="4"/>
      <c r="O287" s="4"/>
      <c r="P287" s="405"/>
      <c r="Q287" s="5"/>
      <c r="R287" s="5"/>
    </row>
    <row r="288" spans="1:18" x14ac:dyDescent="0.2">
      <c r="A288" s="111">
        <f t="shared" si="4"/>
        <v>285</v>
      </c>
      <c r="B288" s="93" t="s">
        <v>329</v>
      </c>
      <c r="C288" s="512" t="s">
        <v>894</v>
      </c>
      <c r="D288" s="58"/>
      <c r="E288" s="4"/>
      <c r="F288" s="4"/>
      <c r="G288" s="4"/>
      <c r="H288" s="4"/>
      <c r="I288" s="4"/>
      <c r="J288" s="4"/>
      <c r="K288" s="4"/>
      <c r="L288" s="4"/>
      <c r="M288" s="4"/>
      <c r="N288" s="4"/>
      <c r="O288" s="4"/>
      <c r="P288" s="405"/>
      <c r="Q288" s="5"/>
      <c r="R288" s="5"/>
    </row>
    <row r="289" spans="1:18" x14ac:dyDescent="0.2">
      <c r="A289" s="111">
        <f t="shared" si="4"/>
        <v>286</v>
      </c>
      <c r="B289" s="93" t="s">
        <v>330</v>
      </c>
      <c r="C289" s="512" t="s">
        <v>895</v>
      </c>
      <c r="D289" s="58"/>
      <c r="E289" s="4"/>
      <c r="F289" s="4"/>
      <c r="G289" s="4"/>
      <c r="H289" s="4"/>
      <c r="I289" s="4"/>
      <c r="J289" s="4"/>
      <c r="K289" s="4"/>
      <c r="L289" s="4"/>
      <c r="M289" s="4"/>
      <c r="N289" s="4"/>
      <c r="O289" s="4"/>
      <c r="P289" s="405"/>
      <c r="Q289" s="5"/>
      <c r="R289" s="5"/>
    </row>
    <row r="290" spans="1:18" x14ac:dyDescent="0.2">
      <c r="A290" s="111">
        <f t="shared" si="4"/>
        <v>287</v>
      </c>
      <c r="B290" s="93" t="s">
        <v>331</v>
      </c>
      <c r="C290" s="512" t="s">
        <v>896</v>
      </c>
      <c r="D290" s="58"/>
      <c r="E290" s="4"/>
      <c r="F290" s="4"/>
      <c r="G290" s="4"/>
      <c r="H290" s="4"/>
      <c r="I290" s="4"/>
      <c r="J290" s="4"/>
      <c r="K290" s="4"/>
      <c r="L290" s="4"/>
      <c r="M290" s="4"/>
      <c r="N290" s="4"/>
      <c r="O290" s="4"/>
      <c r="P290" s="405"/>
      <c r="Q290" s="5"/>
      <c r="R290" s="5"/>
    </row>
    <row r="291" spans="1:18" x14ac:dyDescent="0.2">
      <c r="A291" s="111">
        <f t="shared" si="4"/>
        <v>288</v>
      </c>
      <c r="B291" s="93" t="s">
        <v>332</v>
      </c>
      <c r="C291" s="512" t="s">
        <v>897</v>
      </c>
      <c r="D291" s="58"/>
      <c r="E291" s="4"/>
      <c r="F291" s="4"/>
      <c r="G291" s="4"/>
      <c r="H291" s="4"/>
      <c r="I291" s="4"/>
      <c r="J291" s="4"/>
      <c r="K291" s="4"/>
      <c r="L291" s="4"/>
      <c r="M291" s="4"/>
      <c r="N291" s="4"/>
      <c r="O291" s="4"/>
      <c r="P291" s="405"/>
      <c r="Q291" s="5"/>
      <c r="R291" s="5"/>
    </row>
    <row r="292" spans="1:18" x14ac:dyDescent="0.2">
      <c r="A292" s="111">
        <f t="shared" si="4"/>
        <v>289</v>
      </c>
      <c r="B292" s="93" t="s">
        <v>1274</v>
      </c>
      <c r="C292" s="512" t="s">
        <v>1684</v>
      </c>
      <c r="D292" s="58"/>
      <c r="E292" s="4"/>
      <c r="F292" s="4"/>
      <c r="G292" s="4"/>
      <c r="H292" s="4"/>
      <c r="I292" s="4"/>
      <c r="J292" s="4"/>
      <c r="K292" s="4"/>
      <c r="L292" s="4"/>
      <c r="M292" s="4"/>
      <c r="N292" s="4"/>
      <c r="O292" s="4"/>
      <c r="P292" s="405"/>
      <c r="Q292" s="5"/>
      <c r="R292" s="5"/>
    </row>
    <row r="293" spans="1:18" x14ac:dyDescent="0.2">
      <c r="A293" s="111">
        <f t="shared" si="4"/>
        <v>290</v>
      </c>
      <c r="B293" s="93" t="s">
        <v>333</v>
      </c>
      <c r="C293" s="512" t="s">
        <v>898</v>
      </c>
      <c r="D293" s="58"/>
      <c r="E293" s="4"/>
      <c r="F293" s="4"/>
      <c r="G293" s="4"/>
      <c r="H293" s="4"/>
      <c r="I293" s="4"/>
      <c r="J293" s="4"/>
      <c r="K293" s="4"/>
      <c r="L293" s="4"/>
      <c r="M293" s="4"/>
      <c r="N293" s="4"/>
      <c r="O293" s="4"/>
      <c r="P293" s="405"/>
      <c r="Q293" s="5"/>
      <c r="R293" s="5"/>
    </row>
    <row r="294" spans="1:18" x14ac:dyDescent="0.2">
      <c r="A294" s="111">
        <f t="shared" si="4"/>
        <v>291</v>
      </c>
      <c r="B294" s="93" t="s">
        <v>334</v>
      </c>
      <c r="C294" s="512" t="s">
        <v>899</v>
      </c>
      <c r="D294" s="58"/>
      <c r="E294" s="4"/>
      <c r="F294" s="4"/>
      <c r="G294" s="4"/>
      <c r="H294" s="4"/>
      <c r="I294" s="4"/>
      <c r="J294" s="4"/>
      <c r="K294" s="4"/>
      <c r="L294" s="4"/>
      <c r="M294" s="4"/>
      <c r="N294" s="4"/>
      <c r="O294" s="4"/>
      <c r="P294" s="405"/>
      <c r="Q294" s="5"/>
      <c r="R294" s="5"/>
    </row>
    <row r="295" spans="1:18" x14ac:dyDescent="0.2">
      <c r="A295" s="111">
        <f t="shared" si="4"/>
        <v>292</v>
      </c>
      <c r="B295" s="93" t="s">
        <v>335</v>
      </c>
      <c r="C295" s="512" t="s">
        <v>900</v>
      </c>
      <c r="D295" s="58"/>
      <c r="E295" s="4"/>
      <c r="F295" s="4"/>
      <c r="G295" s="4"/>
      <c r="H295" s="4"/>
      <c r="I295" s="4"/>
      <c r="J295" s="4"/>
      <c r="K295" s="4"/>
      <c r="L295" s="4"/>
      <c r="M295" s="4"/>
      <c r="N295" s="4"/>
      <c r="O295" s="4"/>
      <c r="P295" s="405"/>
      <c r="Q295" s="5"/>
      <c r="R295" s="5"/>
    </row>
    <row r="296" spans="1:18" x14ac:dyDescent="0.2">
      <c r="A296" s="111">
        <f t="shared" si="4"/>
        <v>293</v>
      </c>
      <c r="B296" s="93" t="s">
        <v>340</v>
      </c>
      <c r="C296" s="513" t="s">
        <v>901</v>
      </c>
      <c r="D296" s="58"/>
      <c r="E296" s="4"/>
      <c r="F296" s="4"/>
      <c r="G296" s="4"/>
      <c r="H296" s="4"/>
      <c r="I296" s="4"/>
      <c r="J296" s="4"/>
      <c r="K296" s="4"/>
      <c r="L296" s="4"/>
      <c r="M296" s="4"/>
      <c r="N296" s="4"/>
      <c r="O296" s="4"/>
      <c r="P296" s="405"/>
      <c r="Q296" s="5"/>
      <c r="R296" s="5"/>
    </row>
    <row r="297" spans="1:18" x14ac:dyDescent="0.2">
      <c r="A297" s="110">
        <f t="shared" si="4"/>
        <v>294</v>
      </c>
      <c r="B297" s="510" t="s">
        <v>1247</v>
      </c>
      <c r="C297" s="514" t="s">
        <v>1851</v>
      </c>
      <c r="D297" s="524"/>
      <c r="E297" s="525"/>
      <c r="F297" s="525"/>
      <c r="G297" s="525"/>
      <c r="H297" s="525"/>
      <c r="I297" s="525"/>
      <c r="J297" s="525"/>
      <c r="K297" s="525"/>
      <c r="L297" s="525"/>
      <c r="M297" s="525"/>
      <c r="N297" s="525"/>
      <c r="O297" s="525"/>
      <c r="P297" s="526"/>
      <c r="Q297" s="82"/>
      <c r="R297" s="82"/>
    </row>
    <row r="298" spans="1:18" x14ac:dyDescent="0.2">
      <c r="A298" s="110">
        <f t="shared" si="4"/>
        <v>295</v>
      </c>
      <c r="B298" s="527" t="s">
        <v>1260</v>
      </c>
      <c r="C298" s="514" t="s">
        <v>1531</v>
      </c>
      <c r="D298" s="528"/>
      <c r="E298" s="527"/>
      <c r="F298" s="527"/>
      <c r="G298" s="527"/>
      <c r="H298" s="527"/>
      <c r="I298" s="527"/>
      <c r="J298" s="527"/>
      <c r="K298" s="527"/>
      <c r="L298" s="527"/>
      <c r="M298" s="527"/>
      <c r="N298" s="527"/>
      <c r="O298" s="527"/>
      <c r="P298" s="529"/>
      <c r="Q298" s="52"/>
      <c r="R298" s="52"/>
    </row>
    <row r="299" spans="1:18" x14ac:dyDescent="0.2">
      <c r="A299" s="110">
        <f t="shared" si="4"/>
        <v>296</v>
      </c>
      <c r="B299" s="530" t="s">
        <v>1261</v>
      </c>
      <c r="C299" s="531" t="s">
        <v>1532</v>
      </c>
      <c r="D299" s="532"/>
      <c r="E299" s="530"/>
      <c r="F299" s="530"/>
      <c r="G299" s="530"/>
      <c r="H299" s="530"/>
      <c r="I299" s="530"/>
      <c r="J299" s="530"/>
      <c r="K299" s="530"/>
      <c r="L299" s="530"/>
      <c r="M299" s="530"/>
      <c r="N299" s="530"/>
      <c r="O299" s="530"/>
      <c r="P299" s="533"/>
      <c r="Q299" s="442"/>
      <c r="R299" s="442"/>
    </row>
    <row r="300" spans="1:18" x14ac:dyDescent="0.2">
      <c r="A300" s="111">
        <f t="shared" si="4"/>
        <v>297</v>
      </c>
      <c r="B300" s="93" t="s">
        <v>336</v>
      </c>
      <c r="C300" s="515" t="s">
        <v>902</v>
      </c>
      <c r="D300" s="58"/>
      <c r="E300" s="4"/>
      <c r="F300" s="4"/>
      <c r="G300" s="4"/>
      <c r="H300" s="4"/>
      <c r="I300" s="4"/>
      <c r="J300" s="4"/>
      <c r="K300" s="4"/>
      <c r="L300" s="4"/>
      <c r="M300" s="4"/>
      <c r="N300" s="4"/>
      <c r="O300" s="4"/>
      <c r="P300" s="405"/>
      <c r="Q300" s="5"/>
      <c r="R300" s="5"/>
    </row>
    <row r="301" spans="1:18" x14ac:dyDescent="0.2">
      <c r="A301" s="111">
        <f t="shared" si="4"/>
        <v>298</v>
      </c>
      <c r="B301" s="4" t="s">
        <v>337</v>
      </c>
      <c r="C301" s="512" t="s">
        <v>903</v>
      </c>
      <c r="D301" s="58"/>
      <c r="E301" s="4"/>
      <c r="F301" s="4"/>
      <c r="G301" s="4"/>
      <c r="H301" s="4"/>
      <c r="I301" s="4"/>
      <c r="J301" s="4"/>
      <c r="K301" s="4"/>
      <c r="L301" s="4"/>
      <c r="M301" s="4"/>
      <c r="N301" s="4"/>
      <c r="O301" s="4"/>
      <c r="P301" s="405"/>
      <c r="Q301" s="5"/>
      <c r="R301" s="5"/>
    </row>
    <row r="302" spans="1:18" x14ac:dyDescent="0.2">
      <c r="A302" s="111">
        <f t="shared" si="4"/>
        <v>299</v>
      </c>
      <c r="B302" s="4" t="s">
        <v>338</v>
      </c>
      <c r="C302" s="512" t="s">
        <v>904</v>
      </c>
      <c r="D302" s="58"/>
      <c r="E302" s="4"/>
      <c r="F302" s="4"/>
      <c r="G302" s="4"/>
      <c r="H302" s="4"/>
      <c r="I302" s="4"/>
      <c r="J302" s="4"/>
      <c r="K302" s="4"/>
      <c r="L302" s="4"/>
      <c r="M302" s="4"/>
      <c r="N302" s="4"/>
      <c r="O302" s="4"/>
      <c r="P302" s="405"/>
      <c r="Q302" s="5"/>
      <c r="R302" s="5"/>
    </row>
    <row r="303" spans="1:18" x14ac:dyDescent="0.2">
      <c r="A303" s="111">
        <f t="shared" si="4"/>
        <v>300</v>
      </c>
      <c r="B303" s="4" t="s">
        <v>339</v>
      </c>
      <c r="C303" s="512" t="s">
        <v>905</v>
      </c>
      <c r="D303" s="58"/>
      <c r="E303" s="4"/>
      <c r="F303" s="4"/>
      <c r="G303" s="4"/>
      <c r="H303" s="4"/>
      <c r="I303" s="4"/>
      <c r="J303" s="4"/>
      <c r="K303" s="4"/>
      <c r="L303" s="4"/>
      <c r="M303" s="4"/>
      <c r="N303" s="4"/>
      <c r="O303" s="4"/>
      <c r="P303" s="405"/>
      <c r="Q303" s="5"/>
      <c r="R303" s="5"/>
    </row>
    <row r="304" spans="1:18" x14ac:dyDescent="0.2">
      <c r="A304" s="111">
        <f t="shared" si="4"/>
        <v>301</v>
      </c>
      <c r="B304" s="4" t="s">
        <v>1295</v>
      </c>
      <c r="C304" s="512" t="s">
        <v>1297</v>
      </c>
      <c r="D304" s="58"/>
      <c r="E304" s="4"/>
      <c r="F304" s="4"/>
      <c r="G304" s="4"/>
      <c r="H304" s="4"/>
      <c r="I304" s="4"/>
      <c r="J304" s="4"/>
      <c r="K304" s="4"/>
      <c r="L304" s="4"/>
      <c r="M304" s="4"/>
      <c r="N304" s="4"/>
      <c r="O304" s="4"/>
      <c r="P304" s="405"/>
      <c r="Q304" s="5"/>
      <c r="R304" s="5"/>
    </row>
    <row r="305" spans="1:18" x14ac:dyDescent="0.2">
      <c r="A305" s="111">
        <f t="shared" si="4"/>
        <v>302</v>
      </c>
      <c r="B305" s="4" t="s">
        <v>363</v>
      </c>
      <c r="C305" s="512" t="s">
        <v>906</v>
      </c>
      <c r="D305" s="58"/>
      <c r="E305" s="4"/>
      <c r="F305" s="4"/>
      <c r="G305" s="4"/>
      <c r="H305" s="4"/>
      <c r="I305" s="4"/>
      <c r="J305" s="4"/>
      <c r="K305" s="4"/>
      <c r="L305" s="4"/>
      <c r="M305" s="4"/>
      <c r="N305" s="4"/>
      <c r="O305" s="4"/>
      <c r="P305" s="405"/>
      <c r="Q305" s="5"/>
      <c r="R305" s="5"/>
    </row>
    <row r="306" spans="1:18" x14ac:dyDescent="0.2">
      <c r="A306" s="111">
        <f t="shared" si="4"/>
        <v>303</v>
      </c>
      <c r="B306" s="4" t="s">
        <v>1310</v>
      </c>
      <c r="C306" s="512" t="s">
        <v>1335</v>
      </c>
      <c r="D306" s="58"/>
      <c r="E306" s="4"/>
      <c r="F306" s="4"/>
      <c r="G306" s="4"/>
      <c r="H306" s="4"/>
      <c r="I306" s="4"/>
      <c r="J306" s="4"/>
      <c r="K306" s="4"/>
      <c r="L306" s="4"/>
      <c r="M306" s="4"/>
      <c r="N306" s="4"/>
      <c r="O306" s="4"/>
      <c r="P306" s="405"/>
      <c r="Q306" s="5"/>
      <c r="R306" s="5"/>
    </row>
    <row r="307" spans="1:18" x14ac:dyDescent="0.2">
      <c r="A307" s="111">
        <f t="shared" si="4"/>
        <v>304</v>
      </c>
      <c r="B307" s="4" t="s">
        <v>455</v>
      </c>
      <c r="C307" s="512" t="s">
        <v>1685</v>
      </c>
      <c r="D307" s="58"/>
      <c r="E307" s="4"/>
      <c r="F307" s="4"/>
      <c r="G307" s="4"/>
      <c r="H307" s="4"/>
      <c r="I307" s="4"/>
      <c r="J307" s="4"/>
      <c r="K307" s="4"/>
      <c r="L307" s="4"/>
      <c r="M307" s="4"/>
      <c r="N307" s="4"/>
      <c r="O307" s="4"/>
      <c r="P307" s="405"/>
      <c r="Q307" s="5"/>
      <c r="R307" s="5"/>
    </row>
    <row r="308" spans="1:18" x14ac:dyDescent="0.2">
      <c r="A308" s="111">
        <f t="shared" si="4"/>
        <v>305</v>
      </c>
      <c r="B308" s="4" t="s">
        <v>453</v>
      </c>
      <c r="C308" s="513" t="s">
        <v>1686</v>
      </c>
      <c r="D308" s="58"/>
      <c r="E308" s="4"/>
      <c r="F308" s="4"/>
      <c r="G308" s="4"/>
      <c r="H308" s="4"/>
      <c r="I308" s="4"/>
      <c r="J308" s="4"/>
      <c r="K308" s="4"/>
      <c r="L308" s="4"/>
      <c r="M308" s="4"/>
      <c r="N308" s="4"/>
      <c r="O308" s="4"/>
      <c r="P308" s="405"/>
      <c r="Q308" s="5"/>
      <c r="R308" s="5"/>
    </row>
    <row r="309" spans="1:18" x14ac:dyDescent="0.2">
      <c r="A309" s="110">
        <f t="shared" si="4"/>
        <v>306</v>
      </c>
      <c r="B309" s="527" t="s">
        <v>698</v>
      </c>
      <c r="C309" s="514" t="s">
        <v>1852</v>
      </c>
      <c r="D309" s="524"/>
      <c r="E309" s="525"/>
      <c r="F309" s="525"/>
      <c r="G309" s="525"/>
      <c r="H309" s="525"/>
      <c r="I309" s="525"/>
      <c r="J309" s="525"/>
      <c r="K309" s="525"/>
      <c r="L309" s="525"/>
      <c r="M309" s="525"/>
      <c r="N309" s="525"/>
      <c r="O309" s="525"/>
      <c r="P309" s="526"/>
      <c r="Q309" s="82"/>
      <c r="R309" s="82"/>
    </row>
    <row r="310" spans="1:18" x14ac:dyDescent="0.2">
      <c r="A310" s="110">
        <f t="shared" si="4"/>
        <v>307</v>
      </c>
      <c r="B310" s="527" t="s">
        <v>28</v>
      </c>
      <c r="C310" s="514" t="s">
        <v>1853</v>
      </c>
      <c r="D310" s="524"/>
      <c r="E310" s="525"/>
      <c r="F310" s="525"/>
      <c r="G310" s="525"/>
      <c r="H310" s="525"/>
      <c r="I310" s="525"/>
      <c r="J310" s="525"/>
      <c r="K310" s="525"/>
      <c r="L310" s="525"/>
      <c r="M310" s="525"/>
      <c r="N310" s="525"/>
      <c r="O310" s="525"/>
      <c r="P310" s="526"/>
      <c r="Q310" s="82"/>
      <c r="R310" s="82"/>
    </row>
    <row r="311" spans="1:18" ht="12" thickBot="1" x14ac:dyDescent="0.25">
      <c r="A311" s="393">
        <f t="shared" si="4"/>
        <v>308</v>
      </c>
      <c r="B311" s="534" t="s">
        <v>27</v>
      </c>
      <c r="C311" s="557" t="s">
        <v>1854</v>
      </c>
      <c r="D311" s="535"/>
      <c r="E311" s="127"/>
      <c r="F311" s="127"/>
      <c r="G311" s="127"/>
      <c r="H311" s="127"/>
      <c r="I311" s="127"/>
      <c r="J311" s="127"/>
      <c r="K311" s="127"/>
      <c r="L311" s="127"/>
      <c r="M311" s="127"/>
      <c r="N311" s="127"/>
      <c r="O311" s="127"/>
      <c r="P311" s="536"/>
      <c r="Q311" s="537"/>
      <c r="R311" s="537"/>
    </row>
    <row r="312" spans="1:18" ht="12" thickTop="1" x14ac:dyDescent="0.2">
      <c r="A312" s="111">
        <f t="shared" si="4"/>
        <v>309</v>
      </c>
      <c r="B312" s="93" t="s">
        <v>341</v>
      </c>
      <c r="C312" s="512" t="s">
        <v>907</v>
      </c>
      <c r="D312" s="58"/>
      <c r="E312" s="4"/>
      <c r="F312" s="4"/>
      <c r="G312" s="4"/>
      <c r="H312" s="4"/>
      <c r="I312" s="4"/>
      <c r="J312" s="4"/>
      <c r="K312" s="4"/>
      <c r="L312" s="4"/>
      <c r="M312" s="4"/>
      <c r="N312" s="4"/>
      <c r="O312" s="4"/>
      <c r="P312" s="405"/>
      <c r="Q312" s="5"/>
      <c r="R312" s="5"/>
    </row>
    <row r="313" spans="1:18" x14ac:dyDescent="0.2">
      <c r="A313" s="111">
        <f t="shared" si="4"/>
        <v>310</v>
      </c>
      <c r="B313" s="93" t="s">
        <v>342</v>
      </c>
      <c r="C313" s="512" t="s">
        <v>908</v>
      </c>
      <c r="D313" s="58"/>
      <c r="E313" s="4"/>
      <c r="F313" s="4"/>
      <c r="G313" s="4"/>
      <c r="H313" s="4"/>
      <c r="I313" s="4"/>
      <c r="J313" s="4"/>
      <c r="K313" s="4"/>
      <c r="L313" s="4"/>
      <c r="M313" s="4"/>
      <c r="N313" s="4"/>
      <c r="O313" s="4"/>
      <c r="P313" s="405"/>
      <c r="Q313" s="5"/>
      <c r="R313" s="5"/>
    </row>
    <row r="314" spans="1:18" x14ac:dyDescent="0.2">
      <c r="A314" s="111">
        <f t="shared" si="4"/>
        <v>311</v>
      </c>
      <c r="B314" s="93" t="s">
        <v>343</v>
      </c>
      <c r="C314" s="512" t="s">
        <v>909</v>
      </c>
      <c r="D314" s="58"/>
      <c r="E314" s="4"/>
      <c r="F314" s="4"/>
      <c r="G314" s="4"/>
      <c r="H314" s="4"/>
      <c r="I314" s="4"/>
      <c r="J314" s="4"/>
      <c r="K314" s="4"/>
      <c r="L314" s="4"/>
      <c r="M314" s="4"/>
      <c r="N314" s="4"/>
      <c r="O314" s="4"/>
      <c r="P314" s="405"/>
      <c r="Q314" s="5"/>
      <c r="R314" s="5"/>
    </row>
    <row r="315" spans="1:18" x14ac:dyDescent="0.2">
      <c r="A315" s="111">
        <f t="shared" si="4"/>
        <v>312</v>
      </c>
      <c r="B315" s="93" t="s">
        <v>344</v>
      </c>
      <c r="C315" s="512" t="s">
        <v>910</v>
      </c>
      <c r="D315" s="58"/>
      <c r="E315" s="4"/>
      <c r="F315" s="4"/>
      <c r="G315" s="4"/>
      <c r="H315" s="4"/>
      <c r="I315" s="4"/>
      <c r="J315" s="4"/>
      <c r="K315" s="4"/>
      <c r="L315" s="4"/>
      <c r="M315" s="4"/>
      <c r="N315" s="4"/>
      <c r="O315" s="4"/>
      <c r="P315" s="405"/>
      <c r="Q315" s="5"/>
      <c r="R315" s="5"/>
    </row>
    <row r="316" spans="1:18" x14ac:dyDescent="0.2">
      <c r="A316" s="111">
        <f t="shared" si="4"/>
        <v>313</v>
      </c>
      <c r="B316" s="93" t="s">
        <v>345</v>
      </c>
      <c r="C316" s="512" t="s">
        <v>911</v>
      </c>
      <c r="D316" s="58"/>
      <c r="E316" s="4"/>
      <c r="F316" s="4"/>
      <c r="G316" s="4"/>
      <c r="H316" s="4"/>
      <c r="I316" s="4"/>
      <c r="J316" s="4"/>
      <c r="K316" s="4"/>
      <c r="L316" s="4"/>
      <c r="M316" s="4"/>
      <c r="N316" s="4"/>
      <c r="O316" s="4"/>
      <c r="P316" s="405"/>
      <c r="Q316" s="5"/>
      <c r="R316" s="5"/>
    </row>
    <row r="317" spans="1:18" x14ac:dyDescent="0.2">
      <c r="A317" s="111">
        <f t="shared" si="4"/>
        <v>314</v>
      </c>
      <c r="B317" s="93" t="s">
        <v>346</v>
      </c>
      <c r="C317" s="512" t="s">
        <v>1687</v>
      </c>
      <c r="D317" s="58"/>
      <c r="E317" s="4"/>
      <c r="F317" s="4"/>
      <c r="G317" s="4"/>
      <c r="H317" s="4"/>
      <c r="I317" s="4"/>
      <c r="J317" s="4"/>
      <c r="K317" s="4"/>
      <c r="L317" s="4"/>
      <c r="M317" s="4"/>
      <c r="N317" s="4"/>
      <c r="O317" s="4"/>
      <c r="P317" s="405"/>
      <c r="Q317" s="5"/>
      <c r="R317" s="5"/>
    </row>
    <row r="318" spans="1:18" x14ac:dyDescent="0.2">
      <c r="A318" s="111">
        <f t="shared" si="4"/>
        <v>315</v>
      </c>
      <c r="B318" s="93" t="s">
        <v>347</v>
      </c>
      <c r="C318" s="512" t="s">
        <v>912</v>
      </c>
      <c r="D318" s="58"/>
      <c r="E318" s="4"/>
      <c r="F318" s="4"/>
      <c r="G318" s="4"/>
      <c r="H318" s="4"/>
      <c r="I318" s="4"/>
      <c r="J318" s="4"/>
      <c r="K318" s="4"/>
      <c r="L318" s="4"/>
      <c r="M318" s="4"/>
      <c r="N318" s="4"/>
      <c r="O318" s="4"/>
      <c r="P318" s="405"/>
      <c r="Q318" s="5"/>
      <c r="R318" s="5"/>
    </row>
    <row r="319" spans="1:18" x14ac:dyDescent="0.2">
      <c r="A319" s="111">
        <f t="shared" si="4"/>
        <v>316</v>
      </c>
      <c r="B319" s="93" t="s">
        <v>348</v>
      </c>
      <c r="C319" s="512" t="s">
        <v>913</v>
      </c>
      <c r="D319" s="58"/>
      <c r="E319" s="4"/>
      <c r="F319" s="4"/>
      <c r="G319" s="4"/>
      <c r="H319" s="4"/>
      <c r="I319" s="4"/>
      <c r="J319" s="4"/>
      <c r="K319" s="4"/>
      <c r="L319" s="4"/>
      <c r="M319" s="4"/>
      <c r="N319" s="4"/>
      <c r="O319" s="4"/>
      <c r="P319" s="405"/>
      <c r="Q319" s="5"/>
      <c r="R319" s="5"/>
    </row>
    <row r="320" spans="1:18" x14ac:dyDescent="0.2">
      <c r="A320" s="111">
        <f t="shared" si="4"/>
        <v>317</v>
      </c>
      <c r="B320" s="93" t="s">
        <v>349</v>
      </c>
      <c r="C320" s="512" t="s">
        <v>914</v>
      </c>
      <c r="D320" s="58"/>
      <c r="E320" s="4"/>
      <c r="F320" s="4"/>
      <c r="G320" s="4"/>
      <c r="H320" s="4"/>
      <c r="I320" s="4"/>
      <c r="J320" s="4"/>
      <c r="K320" s="4"/>
      <c r="L320" s="4"/>
      <c r="M320" s="4"/>
      <c r="N320" s="4"/>
      <c r="O320" s="4"/>
      <c r="P320" s="405"/>
      <c r="Q320" s="5"/>
      <c r="R320" s="5"/>
    </row>
    <row r="321" spans="1:18" x14ac:dyDescent="0.2">
      <c r="A321" s="110">
        <f t="shared" si="4"/>
        <v>318</v>
      </c>
      <c r="B321" s="527" t="s">
        <v>1284</v>
      </c>
      <c r="C321" s="514" t="s">
        <v>1855</v>
      </c>
      <c r="D321" s="524"/>
      <c r="E321" s="525"/>
      <c r="F321" s="525"/>
      <c r="G321" s="525"/>
      <c r="H321" s="525"/>
      <c r="I321" s="525"/>
      <c r="J321" s="525"/>
      <c r="K321" s="525"/>
      <c r="L321" s="525"/>
      <c r="M321" s="525"/>
      <c r="N321" s="525"/>
      <c r="O321" s="525"/>
      <c r="P321" s="526"/>
      <c r="Q321" s="82"/>
      <c r="R321" s="82"/>
    </row>
    <row r="322" spans="1:18" x14ac:dyDescent="0.2">
      <c r="A322" s="111">
        <f t="shared" si="4"/>
        <v>319</v>
      </c>
      <c r="B322" s="93" t="s">
        <v>350</v>
      </c>
      <c r="C322" s="512" t="s">
        <v>915</v>
      </c>
      <c r="D322" s="58"/>
      <c r="E322" s="4"/>
      <c r="F322" s="4"/>
      <c r="G322" s="4"/>
      <c r="H322" s="4"/>
      <c r="I322" s="4"/>
      <c r="J322" s="4"/>
      <c r="K322" s="4"/>
      <c r="L322" s="4"/>
      <c r="M322" s="4"/>
      <c r="N322" s="4"/>
      <c r="O322" s="4"/>
      <c r="P322" s="405"/>
      <c r="Q322" s="5"/>
      <c r="R322" s="5"/>
    </row>
    <row r="323" spans="1:18" x14ac:dyDescent="0.2">
      <c r="A323" s="111">
        <f t="shared" si="4"/>
        <v>320</v>
      </c>
      <c r="B323" s="93" t="s">
        <v>351</v>
      </c>
      <c r="C323" s="512" t="s">
        <v>916</v>
      </c>
      <c r="D323" s="58"/>
      <c r="E323" s="4"/>
      <c r="F323" s="4"/>
      <c r="G323" s="4"/>
      <c r="H323" s="4"/>
      <c r="I323" s="4"/>
      <c r="J323" s="4"/>
      <c r="K323" s="4"/>
      <c r="L323" s="4"/>
      <c r="M323" s="4"/>
      <c r="N323" s="4"/>
      <c r="O323" s="4"/>
      <c r="P323" s="405"/>
      <c r="Q323" s="5"/>
      <c r="R323" s="5"/>
    </row>
    <row r="324" spans="1:18" x14ac:dyDescent="0.2">
      <c r="A324" s="111">
        <f t="shared" si="4"/>
        <v>321</v>
      </c>
      <c r="B324" s="93" t="s">
        <v>352</v>
      </c>
      <c r="C324" s="512" t="s">
        <v>917</v>
      </c>
      <c r="D324" s="58"/>
      <c r="E324" s="4"/>
      <c r="F324" s="4"/>
      <c r="G324" s="4"/>
      <c r="H324" s="4"/>
      <c r="I324" s="4"/>
      <c r="J324" s="4"/>
      <c r="K324" s="4"/>
      <c r="L324" s="4"/>
      <c r="M324" s="4"/>
      <c r="N324" s="4"/>
      <c r="O324" s="4"/>
      <c r="P324" s="405"/>
      <c r="Q324" s="5"/>
      <c r="R324" s="5"/>
    </row>
    <row r="325" spans="1:18" x14ac:dyDescent="0.2">
      <c r="A325" s="111">
        <f t="shared" si="4"/>
        <v>322</v>
      </c>
      <c r="B325" s="93" t="s">
        <v>353</v>
      </c>
      <c r="C325" s="513" t="s">
        <v>918</v>
      </c>
      <c r="D325" s="58"/>
      <c r="E325" s="4"/>
      <c r="F325" s="4"/>
      <c r="G325" s="4"/>
      <c r="H325" s="4"/>
      <c r="I325" s="4"/>
      <c r="J325" s="4"/>
      <c r="K325" s="4"/>
      <c r="L325" s="4"/>
      <c r="M325" s="4"/>
      <c r="N325" s="4"/>
      <c r="O325" s="4"/>
      <c r="P325" s="405"/>
      <c r="Q325" s="5"/>
      <c r="R325" s="5"/>
    </row>
    <row r="326" spans="1:18" x14ac:dyDescent="0.2">
      <c r="A326" s="111">
        <f t="shared" ref="A326:A342" si="5">A325+1</f>
        <v>323</v>
      </c>
      <c r="B326" s="93" t="s">
        <v>25</v>
      </c>
      <c r="C326" s="512" t="s">
        <v>1540</v>
      </c>
      <c r="D326" s="58"/>
      <c r="E326" s="4"/>
      <c r="F326" s="4"/>
      <c r="G326" s="4"/>
      <c r="H326" s="4"/>
      <c r="I326" s="4"/>
      <c r="J326" s="4"/>
      <c r="K326" s="4"/>
      <c r="L326" s="4"/>
      <c r="M326" s="4"/>
      <c r="N326" s="4"/>
      <c r="O326" s="4"/>
      <c r="P326" s="405"/>
      <c r="Q326" s="5"/>
      <c r="R326" s="5"/>
    </row>
    <row r="327" spans="1:18" x14ac:dyDescent="0.2">
      <c r="A327" s="111">
        <f t="shared" si="5"/>
        <v>324</v>
      </c>
      <c r="B327" s="93" t="s">
        <v>26</v>
      </c>
      <c r="C327" s="512" t="s">
        <v>1538</v>
      </c>
      <c r="D327" s="58"/>
      <c r="E327" s="4"/>
      <c r="F327" s="4"/>
      <c r="G327" s="4"/>
      <c r="H327" s="4"/>
      <c r="I327" s="4"/>
      <c r="J327" s="4"/>
      <c r="K327" s="4"/>
      <c r="L327" s="4"/>
      <c r="M327" s="4"/>
      <c r="N327" s="4"/>
      <c r="O327" s="4"/>
      <c r="P327" s="405"/>
      <c r="Q327" s="5"/>
      <c r="R327" s="5"/>
    </row>
    <row r="328" spans="1:18" x14ac:dyDescent="0.2">
      <c r="A328" s="111">
        <f t="shared" si="5"/>
        <v>325</v>
      </c>
      <c r="B328" s="93" t="s">
        <v>196</v>
      </c>
      <c r="C328" s="512" t="s">
        <v>919</v>
      </c>
      <c r="D328" s="58"/>
      <c r="E328" s="4"/>
      <c r="F328" s="4"/>
      <c r="G328" s="4"/>
      <c r="H328" s="4"/>
      <c r="I328" s="4"/>
      <c r="J328" s="4"/>
      <c r="K328" s="4"/>
      <c r="L328" s="4"/>
      <c r="M328" s="4"/>
      <c r="N328" s="4"/>
      <c r="O328" s="4"/>
      <c r="P328" s="405"/>
      <c r="Q328" s="5"/>
      <c r="R328" s="5"/>
    </row>
    <row r="329" spans="1:18" x14ac:dyDescent="0.2">
      <c r="A329" s="111">
        <f t="shared" si="5"/>
        <v>326</v>
      </c>
      <c r="B329" s="93" t="s">
        <v>461</v>
      </c>
      <c r="C329" s="494" t="s">
        <v>921</v>
      </c>
      <c r="D329" s="58"/>
      <c r="E329" s="4"/>
      <c r="F329" s="4"/>
      <c r="G329" s="4"/>
      <c r="H329" s="4"/>
      <c r="I329" s="4"/>
      <c r="J329" s="4"/>
      <c r="K329" s="4"/>
      <c r="L329" s="4"/>
      <c r="M329" s="4"/>
      <c r="N329" s="4"/>
      <c r="O329" s="4"/>
      <c r="P329" s="405"/>
      <c r="Q329" s="5"/>
      <c r="R329" s="5"/>
    </row>
    <row r="330" spans="1:18" x14ac:dyDescent="0.2">
      <c r="A330" s="111">
        <f>A329+1</f>
        <v>327</v>
      </c>
      <c r="B330" s="93" t="s">
        <v>357</v>
      </c>
      <c r="C330" s="494" t="s">
        <v>923</v>
      </c>
      <c r="D330" s="58"/>
      <c r="E330" s="4"/>
      <c r="F330" s="4"/>
      <c r="G330" s="4"/>
      <c r="H330" s="4"/>
      <c r="I330" s="4"/>
      <c r="J330" s="4"/>
      <c r="K330" s="4"/>
      <c r="L330" s="4"/>
      <c r="M330" s="4"/>
      <c r="N330" s="4"/>
      <c r="O330" s="4"/>
      <c r="P330" s="405"/>
      <c r="Q330" s="5"/>
      <c r="R330" s="5"/>
    </row>
    <row r="331" spans="1:18" x14ac:dyDescent="0.2">
      <c r="A331" s="111">
        <f t="shared" si="5"/>
        <v>328</v>
      </c>
      <c r="B331" s="93" t="s">
        <v>358</v>
      </c>
      <c r="C331" s="496" t="s">
        <v>924</v>
      </c>
      <c r="D331" s="58"/>
      <c r="E331" s="4"/>
      <c r="F331" s="4"/>
      <c r="G331" s="4"/>
      <c r="H331" s="4"/>
      <c r="I331" s="4"/>
      <c r="J331" s="4"/>
      <c r="K331" s="4"/>
      <c r="L331" s="4"/>
      <c r="M331" s="4"/>
      <c r="N331" s="4"/>
      <c r="O331" s="4"/>
      <c r="P331" s="405"/>
      <c r="Q331" s="5"/>
      <c r="R331" s="5"/>
    </row>
    <row r="332" spans="1:18" x14ac:dyDescent="0.2">
      <c r="A332" s="110">
        <f t="shared" si="5"/>
        <v>329</v>
      </c>
      <c r="B332" s="527" t="s">
        <v>354</v>
      </c>
      <c r="C332" s="316" t="s">
        <v>1856</v>
      </c>
      <c r="D332" s="524"/>
      <c r="E332" s="525"/>
      <c r="F332" s="525"/>
      <c r="G332" s="525"/>
      <c r="H332" s="525"/>
      <c r="I332" s="525"/>
      <c r="J332" s="525"/>
      <c r="K332" s="525"/>
      <c r="L332" s="525"/>
      <c r="M332" s="525"/>
      <c r="N332" s="525"/>
      <c r="O332" s="525"/>
      <c r="P332" s="526"/>
      <c r="Q332" s="82"/>
      <c r="R332" s="82"/>
    </row>
    <row r="333" spans="1:18" x14ac:dyDescent="0.2">
      <c r="A333" s="110">
        <f t="shared" si="5"/>
        <v>330</v>
      </c>
      <c r="B333" s="510" t="s">
        <v>22</v>
      </c>
      <c r="C333" s="316" t="s">
        <v>1857</v>
      </c>
      <c r="D333" s="524"/>
      <c r="E333" s="525"/>
      <c r="F333" s="525"/>
      <c r="G333" s="525"/>
      <c r="H333" s="525"/>
      <c r="I333" s="525"/>
      <c r="J333" s="525"/>
      <c r="K333" s="525"/>
      <c r="L333" s="525"/>
      <c r="M333" s="525"/>
      <c r="N333" s="525"/>
      <c r="O333" s="525"/>
      <c r="P333" s="526"/>
      <c r="Q333" s="82"/>
      <c r="R333" s="82"/>
    </row>
    <row r="334" spans="1:18" x14ac:dyDescent="0.2">
      <c r="A334" s="110">
        <f t="shared" si="5"/>
        <v>331</v>
      </c>
      <c r="B334" s="538" t="s">
        <v>359</v>
      </c>
      <c r="C334" s="316" t="s">
        <v>1858</v>
      </c>
      <c r="D334" s="524"/>
      <c r="E334" s="525"/>
      <c r="F334" s="525"/>
      <c r="G334" s="525"/>
      <c r="H334" s="525"/>
      <c r="I334" s="525"/>
      <c r="J334" s="525"/>
      <c r="K334" s="525"/>
      <c r="L334" s="525"/>
      <c r="M334" s="525"/>
      <c r="N334" s="525"/>
      <c r="O334" s="525"/>
      <c r="P334" s="526"/>
      <c r="Q334" s="82"/>
      <c r="R334" s="82"/>
    </row>
    <row r="335" spans="1:18" x14ac:dyDescent="0.2">
      <c r="A335" s="111">
        <f t="shared" si="5"/>
        <v>332</v>
      </c>
      <c r="B335" s="505" t="s">
        <v>360</v>
      </c>
      <c r="C335" s="322"/>
      <c r="D335" s="58"/>
      <c r="E335" s="4"/>
      <c r="F335" s="4"/>
      <c r="G335" s="4"/>
      <c r="H335" s="4"/>
      <c r="I335" s="4"/>
      <c r="J335" s="4"/>
      <c r="K335" s="4"/>
      <c r="L335" s="4"/>
      <c r="M335" s="4"/>
      <c r="N335" s="4"/>
      <c r="O335" s="4"/>
      <c r="P335" s="405"/>
      <c r="Q335" s="5"/>
      <c r="R335" s="5"/>
    </row>
    <row r="336" spans="1:18" x14ac:dyDescent="0.2">
      <c r="A336" s="111">
        <f t="shared" si="5"/>
        <v>333</v>
      </c>
      <c r="B336" s="93" t="s">
        <v>364</v>
      </c>
      <c r="C336" s="494" t="s">
        <v>925</v>
      </c>
      <c r="D336" s="58"/>
      <c r="E336" s="4"/>
      <c r="F336" s="4"/>
      <c r="G336" s="4"/>
      <c r="H336" s="4"/>
      <c r="I336" s="4"/>
      <c r="J336" s="4"/>
      <c r="K336" s="4"/>
      <c r="L336" s="4"/>
      <c r="M336" s="4"/>
      <c r="N336" s="4"/>
      <c r="O336" s="4"/>
      <c r="P336" s="405"/>
      <c r="Q336" s="5"/>
      <c r="R336" s="5"/>
    </row>
    <row r="337" spans="1:18" x14ac:dyDescent="0.2">
      <c r="A337" s="111">
        <f t="shared" si="5"/>
        <v>334</v>
      </c>
      <c r="B337" s="93" t="s">
        <v>365</v>
      </c>
      <c r="C337" s="494" t="s">
        <v>926</v>
      </c>
      <c r="D337" s="58"/>
      <c r="E337" s="4"/>
      <c r="F337" s="4"/>
      <c r="G337" s="4"/>
      <c r="H337" s="4"/>
      <c r="I337" s="4"/>
      <c r="J337" s="4"/>
      <c r="K337" s="4"/>
      <c r="L337" s="4"/>
      <c r="M337" s="4"/>
      <c r="N337" s="4"/>
      <c r="O337" s="4"/>
      <c r="P337" s="405"/>
      <c r="Q337" s="5"/>
      <c r="R337" s="5"/>
    </row>
    <row r="338" spans="1:18" x14ac:dyDescent="0.2">
      <c r="A338" s="111">
        <f t="shared" si="5"/>
        <v>335</v>
      </c>
      <c r="B338" s="93" t="s">
        <v>366</v>
      </c>
      <c r="C338" s="494" t="s">
        <v>927</v>
      </c>
      <c r="D338" s="58"/>
      <c r="E338" s="4"/>
      <c r="F338" s="4"/>
      <c r="G338" s="4"/>
      <c r="H338" s="4"/>
      <c r="I338" s="4"/>
      <c r="J338" s="4"/>
      <c r="K338" s="4"/>
      <c r="L338" s="4"/>
      <c r="M338" s="4"/>
      <c r="N338" s="4"/>
      <c r="O338" s="4"/>
      <c r="P338" s="405"/>
      <c r="Q338" s="5"/>
      <c r="R338" s="5"/>
    </row>
    <row r="339" spans="1:18" x14ac:dyDescent="0.2">
      <c r="A339" s="111">
        <f t="shared" si="5"/>
        <v>336</v>
      </c>
      <c r="B339" s="93" t="s">
        <v>367</v>
      </c>
      <c r="C339" s="496" t="s">
        <v>928</v>
      </c>
      <c r="D339" s="58"/>
      <c r="E339" s="4"/>
      <c r="F339" s="4"/>
      <c r="G339" s="4"/>
      <c r="H339" s="4"/>
      <c r="I339" s="4"/>
      <c r="J339" s="4"/>
      <c r="K339" s="4"/>
      <c r="L339" s="4"/>
      <c r="M339" s="4"/>
      <c r="N339" s="4"/>
      <c r="O339" s="4"/>
      <c r="P339" s="405"/>
      <c r="Q339" s="5"/>
      <c r="R339" s="5"/>
    </row>
    <row r="340" spans="1:18" x14ac:dyDescent="0.2">
      <c r="A340" s="110">
        <f t="shared" si="5"/>
        <v>337</v>
      </c>
      <c r="B340" s="510" t="s">
        <v>1255</v>
      </c>
      <c r="C340" s="316" t="s">
        <v>1859</v>
      </c>
      <c r="D340" s="524"/>
      <c r="E340" s="525"/>
      <c r="F340" s="525"/>
      <c r="G340" s="525"/>
      <c r="H340" s="525"/>
      <c r="I340" s="525"/>
      <c r="J340" s="525"/>
      <c r="K340" s="525"/>
      <c r="L340" s="525"/>
      <c r="M340" s="525"/>
      <c r="N340" s="525"/>
      <c r="O340" s="525"/>
      <c r="P340" s="526"/>
      <c r="Q340" s="82"/>
      <c r="R340" s="82"/>
    </row>
    <row r="341" spans="1:18" ht="12" thickBot="1" x14ac:dyDescent="0.25">
      <c r="A341" s="393">
        <f t="shared" si="5"/>
        <v>338</v>
      </c>
      <c r="B341" s="503" t="s">
        <v>368</v>
      </c>
      <c r="C341" s="321" t="s">
        <v>1860</v>
      </c>
      <c r="D341" s="539"/>
      <c r="E341" s="540"/>
      <c r="F341" s="540"/>
      <c r="G341" s="540"/>
      <c r="H341" s="540"/>
      <c r="I341" s="540"/>
      <c r="J341" s="540"/>
      <c r="K341" s="540"/>
      <c r="L341" s="540"/>
      <c r="M341" s="540"/>
      <c r="N341" s="540"/>
      <c r="O341" s="540"/>
      <c r="P341" s="541"/>
      <c r="Q341" s="542"/>
      <c r="R341" s="542"/>
    </row>
    <row r="342" spans="1:18" ht="12" thickTop="1" x14ac:dyDescent="0.2">
      <c r="A342" s="543">
        <f t="shared" si="5"/>
        <v>339</v>
      </c>
      <c r="B342" s="544" t="s">
        <v>1399</v>
      </c>
      <c r="C342" s="796" t="s">
        <v>1398</v>
      </c>
      <c r="D342" s="545"/>
      <c r="E342" s="546"/>
      <c r="F342" s="546"/>
      <c r="G342" s="546"/>
      <c r="H342" s="546"/>
      <c r="I342" s="546"/>
      <c r="J342" s="546"/>
      <c r="K342" s="546"/>
      <c r="L342" s="546"/>
      <c r="M342" s="546"/>
      <c r="N342" s="546"/>
      <c r="O342" s="546"/>
      <c r="P342" s="547"/>
      <c r="Q342" s="129"/>
      <c r="R342" s="129"/>
    </row>
    <row r="343" spans="1:18" x14ac:dyDescent="0.2">
      <c r="B343" s="241"/>
      <c r="C343" s="63"/>
    </row>
    <row r="344" spans="1:18" x14ac:dyDescent="0.2">
      <c r="B344" s="241"/>
      <c r="C344" s="63"/>
    </row>
    <row r="345" spans="1:18" x14ac:dyDescent="0.2">
      <c r="B345" s="241"/>
      <c r="C345" s="63"/>
    </row>
    <row r="346" spans="1:18" x14ac:dyDescent="0.2">
      <c r="B346" s="241"/>
      <c r="C346" s="63"/>
    </row>
    <row r="347" spans="1:18" x14ac:dyDescent="0.2">
      <c r="B347" s="241"/>
      <c r="C347" s="63"/>
    </row>
    <row r="348" spans="1:18" x14ac:dyDescent="0.2">
      <c r="B348" s="241"/>
      <c r="C348" s="63"/>
    </row>
    <row r="349" spans="1:18" x14ac:dyDescent="0.2">
      <c r="B349" s="241"/>
      <c r="C349" s="63"/>
    </row>
    <row r="350" spans="1:18" x14ac:dyDescent="0.2">
      <c r="B350" s="241"/>
      <c r="C350" s="63"/>
    </row>
    <row r="351" spans="1:18" x14ac:dyDescent="0.2">
      <c r="B351" s="241"/>
      <c r="C351" s="63"/>
    </row>
    <row r="352" spans="1:18" x14ac:dyDescent="0.2">
      <c r="B352" s="241"/>
      <c r="C352" s="63"/>
    </row>
    <row r="353" spans="1:3" x14ac:dyDescent="0.2">
      <c r="B353" s="241"/>
      <c r="C353" s="63"/>
    </row>
    <row r="354" spans="1:3" x14ac:dyDescent="0.2">
      <c r="B354" s="241"/>
      <c r="C354" s="63"/>
    </row>
    <row r="355" spans="1:3" x14ac:dyDescent="0.2">
      <c r="B355" s="241"/>
      <c r="C355" s="63"/>
    </row>
    <row r="356" spans="1:3" x14ac:dyDescent="0.2">
      <c r="B356" s="241"/>
      <c r="C356" s="63"/>
    </row>
    <row r="357" spans="1:3" x14ac:dyDescent="0.2">
      <c r="B357" s="241"/>
      <c r="C357" s="63"/>
    </row>
    <row r="358" spans="1:3" x14ac:dyDescent="0.2">
      <c r="B358" s="241"/>
      <c r="C358" s="63"/>
    </row>
    <row r="359" spans="1:3" x14ac:dyDescent="0.2">
      <c r="B359" s="241"/>
      <c r="C359" s="63"/>
    </row>
    <row r="360" spans="1:3" x14ac:dyDescent="0.2">
      <c r="B360" s="241"/>
      <c r="C360" s="63"/>
    </row>
    <row r="361" spans="1:3" x14ac:dyDescent="0.2">
      <c r="B361" s="241"/>
      <c r="C361" s="63"/>
    </row>
    <row r="362" spans="1:3" x14ac:dyDescent="0.2">
      <c r="B362" s="548"/>
      <c r="C362" s="549"/>
    </row>
    <row r="363" spans="1:3" s="31" customFormat="1" x14ac:dyDescent="0.2">
      <c r="A363" s="37"/>
      <c r="B363" s="241"/>
      <c r="C363" s="63"/>
    </row>
    <row r="364" spans="1:3" x14ac:dyDescent="0.2">
      <c r="B364" s="241"/>
      <c r="C364" s="63"/>
    </row>
    <row r="365" spans="1:3" x14ac:dyDescent="0.2">
      <c r="B365" s="241"/>
      <c r="C365" s="63"/>
    </row>
    <row r="366" spans="1:3" x14ac:dyDescent="0.2">
      <c r="B366" s="241"/>
      <c r="C366" s="63"/>
    </row>
    <row r="367" spans="1:3" x14ac:dyDescent="0.2">
      <c r="B367" s="548"/>
      <c r="C367" s="549"/>
    </row>
    <row r="368" spans="1:3" x14ac:dyDescent="0.2">
      <c r="B368" s="241"/>
      <c r="C368" s="63"/>
    </row>
    <row r="369" spans="1:3" x14ac:dyDescent="0.2">
      <c r="B369" s="241"/>
      <c r="C369" s="63"/>
    </row>
    <row r="370" spans="1:3" x14ac:dyDescent="0.2">
      <c r="B370" s="241"/>
      <c r="C370" s="63"/>
    </row>
    <row r="371" spans="1:3" x14ac:dyDescent="0.2">
      <c r="B371" s="241"/>
      <c r="C371" s="63"/>
    </row>
    <row r="372" spans="1:3" x14ac:dyDescent="0.2">
      <c r="B372" s="241"/>
      <c r="C372" s="63"/>
    </row>
    <row r="373" spans="1:3" x14ac:dyDescent="0.2">
      <c r="B373" s="548"/>
      <c r="C373" s="549"/>
    </row>
    <row r="374" spans="1:3" x14ac:dyDescent="0.2">
      <c r="B374" s="241"/>
      <c r="C374" s="63"/>
    </row>
    <row r="375" spans="1:3" x14ac:dyDescent="0.2">
      <c r="B375" s="241"/>
      <c r="C375" s="63"/>
    </row>
    <row r="376" spans="1:3" x14ac:dyDescent="0.2">
      <c r="B376" s="550"/>
      <c r="C376" s="549"/>
    </row>
    <row r="377" spans="1:3" x14ac:dyDescent="0.2">
      <c r="B377" s="65"/>
      <c r="C377" s="549"/>
    </row>
    <row r="378" spans="1:3" s="31" customFormat="1" x14ac:dyDescent="0.2">
      <c r="A378" s="37"/>
      <c r="B378" s="241"/>
      <c r="C378" s="63"/>
    </row>
    <row r="379" spans="1:3" x14ac:dyDescent="0.2">
      <c r="B379" s="241"/>
      <c r="C379" s="63"/>
    </row>
    <row r="380" spans="1:3" s="31" customFormat="1" x14ac:dyDescent="0.2">
      <c r="A380" s="37"/>
      <c r="B380" s="241"/>
      <c r="C380" s="63"/>
    </row>
    <row r="381" spans="1:3" x14ac:dyDescent="0.2">
      <c r="B381" s="241"/>
      <c r="C381" s="63"/>
    </row>
    <row r="382" spans="1:3" x14ac:dyDescent="0.2">
      <c r="B382" s="65"/>
      <c r="C382" s="549"/>
    </row>
    <row r="383" spans="1:3" x14ac:dyDescent="0.2">
      <c r="B383" s="241"/>
      <c r="C383" s="63"/>
    </row>
    <row r="384" spans="1:3" x14ac:dyDescent="0.2">
      <c r="B384" s="241"/>
      <c r="C384" s="63"/>
    </row>
    <row r="385" spans="2:3" x14ac:dyDescent="0.2">
      <c r="B385" s="241"/>
      <c r="C385" s="63"/>
    </row>
    <row r="386" spans="2:3" x14ac:dyDescent="0.2">
      <c r="B386" s="241"/>
      <c r="C386" s="63"/>
    </row>
    <row r="387" spans="2:3" x14ac:dyDescent="0.2">
      <c r="B387" s="241"/>
      <c r="C387" s="63"/>
    </row>
    <row r="388" spans="2:3" x14ac:dyDescent="0.2">
      <c r="B388" s="65"/>
      <c r="C388" s="549"/>
    </row>
    <row r="389" spans="2:3" x14ac:dyDescent="0.2">
      <c r="B389" s="241"/>
      <c r="C389" s="63"/>
    </row>
    <row r="390" spans="2:3" x14ac:dyDescent="0.2">
      <c r="B390" s="241"/>
      <c r="C390" s="63"/>
    </row>
    <row r="391" spans="2:3" x14ac:dyDescent="0.2">
      <c r="B391" s="241"/>
      <c r="C391" s="63"/>
    </row>
    <row r="392" spans="2:3" x14ac:dyDescent="0.2">
      <c r="B392" s="241"/>
      <c r="C392" s="63"/>
    </row>
    <row r="393" spans="2:3" ht="12" customHeight="1" x14ac:dyDescent="0.2">
      <c r="B393" s="65"/>
      <c r="C393" s="549"/>
    </row>
    <row r="394" spans="2:3" x14ac:dyDescent="0.2">
      <c r="B394" s="241"/>
      <c r="C394" s="63"/>
    </row>
    <row r="395" spans="2:3" x14ac:dyDescent="0.2">
      <c r="B395" s="241"/>
      <c r="C395" s="63"/>
    </row>
    <row r="396" spans="2:3" x14ac:dyDescent="0.2">
      <c r="B396" s="241"/>
      <c r="C396" s="63"/>
    </row>
    <row r="397" spans="2:3" x14ac:dyDescent="0.2">
      <c r="B397" s="241"/>
      <c r="C397" s="63"/>
    </row>
    <row r="398" spans="2:3" x14ac:dyDescent="0.2">
      <c r="B398" s="65"/>
      <c r="C398" s="549"/>
    </row>
    <row r="399" spans="2:3" x14ac:dyDescent="0.2">
      <c r="B399" s="241"/>
      <c r="C399" s="63"/>
    </row>
    <row r="400" spans="2:3" x14ac:dyDescent="0.2">
      <c r="B400" s="241"/>
      <c r="C400" s="63"/>
    </row>
    <row r="401" spans="2:3" x14ac:dyDescent="0.2">
      <c r="B401" s="241"/>
      <c r="C401" s="63"/>
    </row>
    <row r="402" spans="2:3" x14ac:dyDescent="0.2">
      <c r="B402" s="241"/>
      <c r="C402" s="63"/>
    </row>
    <row r="403" spans="2:3" x14ac:dyDescent="0.2">
      <c r="B403" s="241"/>
      <c r="C403" s="63"/>
    </row>
    <row r="404" spans="2:3" x14ac:dyDescent="0.2">
      <c r="B404" s="241"/>
      <c r="C404" s="63"/>
    </row>
    <row r="405" spans="2:3" x14ac:dyDescent="0.2">
      <c r="B405" s="241"/>
      <c r="C405" s="63"/>
    </row>
    <row r="406" spans="2:3" x14ac:dyDescent="0.2">
      <c r="B406" s="241"/>
      <c r="C406" s="63"/>
    </row>
    <row r="407" spans="2:3" x14ac:dyDescent="0.2">
      <c r="B407" s="241"/>
      <c r="C407" s="63"/>
    </row>
    <row r="408" spans="2:3" x14ac:dyDescent="0.2">
      <c r="B408" s="241"/>
      <c r="C408" s="63"/>
    </row>
    <row r="409" spans="2:3" x14ac:dyDescent="0.2">
      <c r="B409" s="241"/>
      <c r="C409" s="63"/>
    </row>
    <row r="410" spans="2:3" x14ac:dyDescent="0.2">
      <c r="B410" s="241"/>
      <c r="C410" s="63"/>
    </row>
    <row r="411" spans="2:3" x14ac:dyDescent="0.2">
      <c r="B411" s="241"/>
      <c r="C411" s="63"/>
    </row>
    <row r="412" spans="2:3" x14ac:dyDescent="0.2">
      <c r="B412" s="241"/>
      <c r="C412" s="63"/>
    </row>
    <row r="413" spans="2:3" x14ac:dyDescent="0.2">
      <c r="B413" s="241"/>
      <c r="C413" s="63"/>
    </row>
    <row r="414" spans="2:3" x14ac:dyDescent="0.2">
      <c r="B414" s="241"/>
      <c r="C414" s="63"/>
    </row>
    <row r="415" spans="2:3" x14ac:dyDescent="0.2">
      <c r="B415" s="65"/>
      <c r="C415" s="549"/>
    </row>
    <row r="416" spans="2:3" x14ac:dyDescent="0.2">
      <c r="B416" s="241"/>
      <c r="C416" s="63"/>
    </row>
    <row r="417" spans="2:3" x14ac:dyDescent="0.2">
      <c r="B417" s="241"/>
      <c r="C417" s="63"/>
    </row>
    <row r="418" spans="2:3" x14ac:dyDescent="0.2">
      <c r="C418" s="63"/>
    </row>
    <row r="419" spans="2:3" x14ac:dyDescent="0.2">
      <c r="B419" s="241"/>
      <c r="C419" s="63"/>
    </row>
    <row r="420" spans="2:3" x14ac:dyDescent="0.2">
      <c r="B420" s="65"/>
      <c r="C420" s="549"/>
    </row>
    <row r="421" spans="2:3" x14ac:dyDescent="0.2">
      <c r="B421" s="65"/>
      <c r="C421" s="549"/>
    </row>
    <row r="422" spans="2:3" x14ac:dyDescent="0.2">
      <c r="B422" s="241"/>
      <c r="C422" s="63"/>
    </row>
    <row r="423" spans="2:3" x14ac:dyDescent="0.2">
      <c r="B423" s="241"/>
      <c r="C423" s="63"/>
    </row>
    <row r="424" spans="2:3" x14ac:dyDescent="0.2">
      <c r="B424" s="241"/>
      <c r="C424" s="63"/>
    </row>
    <row r="425" spans="2:3" x14ac:dyDescent="0.2">
      <c r="B425" s="65"/>
      <c r="C425" s="549"/>
    </row>
    <row r="426" spans="2:3" x14ac:dyDescent="0.2">
      <c r="B426" s="241"/>
      <c r="C426" s="63"/>
    </row>
    <row r="427" spans="2:3" x14ac:dyDescent="0.2">
      <c r="B427" s="241"/>
      <c r="C427" s="63"/>
    </row>
    <row r="428" spans="2:3" x14ac:dyDescent="0.2">
      <c r="B428" s="241"/>
      <c r="C428" s="63"/>
    </row>
    <row r="429" spans="2:3" x14ac:dyDescent="0.2">
      <c r="B429" s="241"/>
      <c r="C429" s="63"/>
    </row>
    <row r="430" spans="2:3" x14ac:dyDescent="0.2">
      <c r="B430" s="65"/>
      <c r="C430" s="549"/>
    </row>
    <row r="431" spans="2:3" x14ac:dyDescent="0.2">
      <c r="B431" s="241"/>
      <c r="C431" s="63"/>
    </row>
    <row r="432" spans="2:3" x14ac:dyDescent="0.2">
      <c r="B432" s="241"/>
      <c r="C432" s="63"/>
    </row>
    <row r="433" spans="2:3" x14ac:dyDescent="0.2">
      <c r="B433" s="241"/>
      <c r="C433" s="63"/>
    </row>
    <row r="434" spans="2:3" x14ac:dyDescent="0.2">
      <c r="B434" s="241"/>
      <c r="C434" s="63"/>
    </row>
    <row r="435" spans="2:3" x14ac:dyDescent="0.2">
      <c r="B435" s="65"/>
      <c r="C435" s="549"/>
    </row>
    <row r="436" spans="2:3" x14ac:dyDescent="0.2">
      <c r="B436" s="241"/>
      <c r="C436" s="63"/>
    </row>
    <row r="437" spans="2:3" x14ac:dyDescent="0.2">
      <c r="B437" s="241"/>
      <c r="C437" s="63"/>
    </row>
    <row r="438" spans="2:3" x14ac:dyDescent="0.2">
      <c r="B438" s="241"/>
      <c r="C438" s="63"/>
    </row>
    <row r="439" spans="2:3" x14ac:dyDescent="0.2">
      <c r="B439" s="241"/>
      <c r="C439" s="63"/>
    </row>
    <row r="440" spans="2:3" x14ac:dyDescent="0.2">
      <c r="B440" s="241"/>
      <c r="C440" s="63"/>
    </row>
    <row r="441" spans="2:3" x14ac:dyDescent="0.2">
      <c r="B441" s="65"/>
      <c r="C441" s="549"/>
    </row>
    <row r="442" spans="2:3" x14ac:dyDescent="0.2">
      <c r="B442" s="65"/>
      <c r="C442" s="549"/>
    </row>
    <row r="443" spans="2:3" x14ac:dyDescent="0.2">
      <c r="B443" s="65"/>
      <c r="C443" s="549"/>
    </row>
    <row r="444" spans="2:3" x14ac:dyDescent="0.2">
      <c r="B444" s="241"/>
      <c r="C444" s="63"/>
    </row>
    <row r="445" spans="2:3" x14ac:dyDescent="0.2">
      <c r="B445" s="241"/>
      <c r="C445" s="63"/>
    </row>
    <row r="446" spans="2:3" x14ac:dyDescent="0.2">
      <c r="B446" s="241"/>
      <c r="C446" s="63"/>
    </row>
    <row r="447" spans="2:3" x14ac:dyDescent="0.2">
      <c r="B447" s="241"/>
      <c r="C447" s="63"/>
    </row>
    <row r="448" spans="2:3" x14ac:dyDescent="0.2">
      <c r="B448" s="65"/>
      <c r="C448" s="549"/>
    </row>
    <row r="449" spans="2:3" x14ac:dyDescent="0.2">
      <c r="B449" s="548"/>
      <c r="C449" s="549"/>
    </row>
    <row r="450" spans="2:3" x14ac:dyDescent="0.2">
      <c r="B450" s="548"/>
      <c r="C450" s="63"/>
    </row>
    <row r="451" spans="2:3" x14ac:dyDescent="0.2">
      <c r="B451" s="241"/>
      <c r="C451" s="63"/>
    </row>
    <row r="452" spans="2:3" x14ac:dyDescent="0.2">
      <c r="B452" s="241"/>
      <c r="C452" s="63"/>
    </row>
    <row r="453" spans="2:3" x14ac:dyDescent="0.2">
      <c r="B453" s="548"/>
      <c r="C453" s="549"/>
    </row>
    <row r="454" spans="2:3" x14ac:dyDescent="0.2">
      <c r="B454" s="241"/>
      <c r="C454" s="63"/>
    </row>
    <row r="455" spans="2:3" x14ac:dyDescent="0.2">
      <c r="B455" s="241"/>
      <c r="C455" s="63"/>
    </row>
    <row r="456" spans="2:3" x14ac:dyDescent="0.2">
      <c r="B456" s="241"/>
      <c r="C456" s="63"/>
    </row>
    <row r="457" spans="2:3" x14ac:dyDescent="0.2">
      <c r="B457" s="241"/>
      <c r="C457" s="63"/>
    </row>
    <row r="458" spans="2:3" x14ac:dyDescent="0.2">
      <c r="B458" s="241"/>
      <c r="C458" s="63"/>
    </row>
    <row r="459" spans="2:3" x14ac:dyDescent="0.2">
      <c r="B459" s="241"/>
      <c r="C459" s="63"/>
    </row>
    <row r="460" spans="2:3" x14ac:dyDescent="0.2">
      <c r="B460" s="241"/>
      <c r="C460" s="63"/>
    </row>
    <row r="461" spans="2:3" x14ac:dyDescent="0.2">
      <c r="B461" s="65"/>
      <c r="C461" s="549"/>
    </row>
    <row r="462" spans="2:3" x14ac:dyDescent="0.2">
      <c r="B462" s="548"/>
      <c r="C462" s="549"/>
    </row>
    <row r="463" spans="2:3" x14ac:dyDescent="0.2">
      <c r="B463" s="548"/>
      <c r="C463" s="63"/>
    </row>
    <row r="464" spans="2:3" x14ac:dyDescent="0.2">
      <c r="B464" s="65"/>
      <c r="C464" s="549"/>
    </row>
    <row r="465" spans="3:3" x14ac:dyDescent="0.2">
      <c r="C465" s="63"/>
    </row>
  </sheetData>
  <mergeCells count="5">
    <mergeCell ref="D1:M1"/>
    <mergeCell ref="A2:B2"/>
    <mergeCell ref="A3:B3"/>
    <mergeCell ref="N1:R1"/>
    <mergeCell ref="D2:R2"/>
  </mergeCells>
  <printOptions horizontalCentered="1" gridLines="1"/>
  <pageMargins left="0.70866141732283461" right="0.70866141732283461" top="0.74803149606299213" bottom="0.74803149606299213" header="0.31496062992125984" footer="0.31496062992125984"/>
  <pageSetup paperSize="9" scale="73" fitToHeight="1000" orientation="landscape" r:id="rId1"/>
  <headerFooter alignWithMargins="0"/>
  <rowBreaks count="2" manualBreakCount="2">
    <brk id="342" max="16" man="1"/>
    <brk id="400" max="16"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80"/>
  <sheetViews>
    <sheetView tabSelected="1" view="pageBreakPreview" topLeftCell="A28" zoomScale="110" zoomScaleNormal="110" zoomScaleSheetLayoutView="110" workbookViewId="0">
      <selection activeCell="C159" sqref="C6:C159"/>
    </sheetView>
  </sheetViews>
  <sheetFormatPr defaultRowHeight="11.25" x14ac:dyDescent="0.2"/>
  <cols>
    <col min="1" max="1" width="3.5703125" style="133" bestFit="1" customWidth="1"/>
    <col min="2" max="2" width="27.5703125" style="742" bestFit="1" customWidth="1"/>
    <col min="3" max="3" width="23" style="802" customWidth="1"/>
    <col min="4" max="4" width="6.28515625" style="171" customWidth="1"/>
    <col min="5" max="8" width="6.28515625" style="133" customWidth="1"/>
    <col min="9" max="9" width="6.28515625" style="171" customWidth="1"/>
    <col min="10" max="16" width="6.28515625" style="133" customWidth="1"/>
    <col min="17" max="16384" width="9.140625" style="133"/>
  </cols>
  <sheetData>
    <row r="1" spans="1:19" x14ac:dyDescent="0.2">
      <c r="A1" s="894" t="s">
        <v>66</v>
      </c>
      <c r="B1" s="895"/>
      <c r="C1" s="362"/>
      <c r="D1" s="935" t="str">
        <f>'F31'!D1:M1</f>
        <v>AS OF: 11-Oct-2017</v>
      </c>
      <c r="E1" s="936"/>
      <c r="F1" s="936"/>
      <c r="G1" s="936"/>
      <c r="H1" s="936"/>
      <c r="I1" s="936"/>
      <c r="J1" s="243"/>
      <c r="K1" s="243"/>
      <c r="L1" s="243"/>
      <c r="M1" s="937" t="s">
        <v>1410</v>
      </c>
      <c r="N1" s="937"/>
      <c r="O1" s="937"/>
      <c r="P1" s="938"/>
    </row>
    <row r="2" spans="1:19" ht="12" x14ac:dyDescent="0.2">
      <c r="A2" s="555" t="s">
        <v>92</v>
      </c>
      <c r="B2" s="700"/>
      <c r="C2" s="561"/>
      <c r="D2" s="562" t="s">
        <v>1275</v>
      </c>
      <c r="E2" s="563"/>
      <c r="F2" s="563"/>
      <c r="G2" s="563"/>
      <c r="H2" s="563"/>
      <c r="I2" s="563" t="s">
        <v>63</v>
      </c>
      <c r="J2" s="564"/>
      <c r="K2" s="565"/>
      <c r="L2" s="564"/>
      <c r="M2" s="565"/>
      <c r="N2" s="570" t="s">
        <v>1314</v>
      </c>
      <c r="O2" s="566"/>
      <c r="P2" s="567"/>
    </row>
    <row r="3" spans="1:19" x14ac:dyDescent="0.2">
      <c r="A3" s="569" t="s">
        <v>1472</v>
      </c>
      <c r="B3" s="735"/>
      <c r="C3" s="561"/>
      <c r="D3" s="568"/>
      <c r="E3" s="568"/>
      <c r="F3" s="568"/>
      <c r="G3" s="568"/>
      <c r="H3" s="568"/>
      <c r="I3" s="565" t="s">
        <v>62</v>
      </c>
      <c r="J3" s="564"/>
      <c r="K3" s="564"/>
      <c r="L3" s="564"/>
      <c r="M3" s="564"/>
      <c r="N3" s="564"/>
      <c r="O3" s="565" t="s">
        <v>61</v>
      </c>
      <c r="P3" s="591"/>
    </row>
    <row r="4" spans="1:19" x14ac:dyDescent="0.2">
      <c r="A4" s="906"/>
      <c r="B4" s="907"/>
      <c r="C4" s="363"/>
      <c r="D4" s="559">
        <v>42826</v>
      </c>
      <c r="E4" s="560">
        <v>42856</v>
      </c>
      <c r="F4" s="559">
        <v>42887</v>
      </c>
      <c r="G4" s="559">
        <v>42917</v>
      </c>
      <c r="H4" s="559">
        <v>42948</v>
      </c>
      <c r="I4" s="559">
        <v>42979</v>
      </c>
      <c r="J4" s="559">
        <v>43009</v>
      </c>
      <c r="K4" s="559">
        <v>43040</v>
      </c>
      <c r="L4" s="559">
        <v>43070</v>
      </c>
      <c r="M4" s="559">
        <v>43101</v>
      </c>
      <c r="N4" s="559">
        <v>43132</v>
      </c>
      <c r="O4" s="592">
        <v>43160</v>
      </c>
      <c r="P4" s="244" t="s">
        <v>87</v>
      </c>
    </row>
    <row r="5" spans="1:19" x14ac:dyDescent="0.2">
      <c r="A5" s="135"/>
      <c r="B5" s="245" t="s">
        <v>369</v>
      </c>
      <c r="C5" s="379"/>
      <c r="D5" s="385"/>
      <c r="E5" s="286"/>
      <c r="F5" s="287"/>
      <c r="G5" s="287"/>
      <c r="H5" s="288"/>
      <c r="I5" s="288"/>
      <c r="J5" s="288"/>
      <c r="K5" s="287"/>
      <c r="L5" s="287"/>
      <c r="M5" s="287"/>
      <c r="N5" s="287"/>
      <c r="O5" s="288"/>
      <c r="P5" s="594"/>
    </row>
    <row r="6" spans="1:19" x14ac:dyDescent="0.2">
      <c r="A6" s="142">
        <v>1</v>
      </c>
      <c r="B6" s="136" t="s">
        <v>464</v>
      </c>
      <c r="C6" s="365">
        <v>6101</v>
      </c>
      <c r="D6" s="385"/>
      <c r="E6" s="286"/>
      <c r="F6" s="287"/>
      <c r="G6" s="287"/>
      <c r="H6" s="288"/>
      <c r="I6" s="288"/>
      <c r="J6" s="288"/>
      <c r="K6" s="287"/>
      <c r="L6" s="287"/>
      <c r="M6" s="287"/>
      <c r="N6" s="287"/>
      <c r="O6" s="288"/>
      <c r="P6" s="594"/>
    </row>
    <row r="7" spans="1:19" x14ac:dyDescent="0.2">
      <c r="A7" s="142">
        <f t="shared" ref="A7:A45" si="0">A6+1</f>
        <v>2</v>
      </c>
      <c r="B7" s="136" t="s">
        <v>465</v>
      </c>
      <c r="C7" s="365" t="s">
        <v>1109</v>
      </c>
      <c r="D7" s="385"/>
      <c r="E7" s="286"/>
      <c r="F7" s="287"/>
      <c r="G7" s="287"/>
      <c r="H7" s="288"/>
      <c r="I7" s="288"/>
      <c r="J7" s="288"/>
      <c r="K7" s="287"/>
      <c r="L7" s="287"/>
      <c r="M7" s="287"/>
      <c r="N7" s="287"/>
      <c r="O7" s="288"/>
      <c r="P7" s="594"/>
    </row>
    <row r="8" spans="1:19" x14ac:dyDescent="0.2">
      <c r="A8" s="142">
        <f t="shared" si="0"/>
        <v>3</v>
      </c>
      <c r="B8" s="136" t="s">
        <v>466</v>
      </c>
      <c r="C8" s="365" t="s">
        <v>1110</v>
      </c>
      <c r="D8" s="385"/>
      <c r="E8" s="286"/>
      <c r="F8" s="287"/>
      <c r="G8" s="287"/>
      <c r="H8" s="288"/>
      <c r="I8" s="288"/>
      <c r="J8" s="288"/>
      <c r="K8" s="287"/>
      <c r="L8" s="287"/>
      <c r="M8" s="287"/>
      <c r="N8" s="287"/>
      <c r="O8" s="288"/>
      <c r="P8" s="594"/>
    </row>
    <row r="9" spans="1:19" x14ac:dyDescent="0.2">
      <c r="A9" s="142">
        <f t="shared" si="0"/>
        <v>4</v>
      </c>
      <c r="B9" s="136" t="s">
        <v>467</v>
      </c>
      <c r="C9" s="365" t="s">
        <v>1111</v>
      </c>
      <c r="D9" s="385"/>
      <c r="E9" s="286"/>
      <c r="F9" s="287"/>
      <c r="G9" s="287"/>
      <c r="H9" s="288"/>
      <c r="I9" s="288"/>
      <c r="J9" s="288"/>
      <c r="K9" s="287"/>
      <c r="L9" s="287"/>
      <c r="M9" s="287"/>
      <c r="N9" s="287"/>
      <c r="O9" s="288"/>
      <c r="P9" s="594"/>
      <c r="S9" s="133" t="s">
        <v>1313</v>
      </c>
    </row>
    <row r="10" spans="1:19" x14ac:dyDescent="0.2">
      <c r="A10" s="142">
        <f t="shared" si="0"/>
        <v>5</v>
      </c>
      <c r="B10" s="136" t="s">
        <v>468</v>
      </c>
      <c r="C10" s="365" t="s">
        <v>1112</v>
      </c>
      <c r="D10" s="385"/>
      <c r="E10" s="286"/>
      <c r="F10" s="287"/>
      <c r="G10" s="287"/>
      <c r="H10" s="288"/>
      <c r="I10" s="288"/>
      <c r="J10" s="288"/>
      <c r="K10" s="287"/>
      <c r="L10" s="287"/>
      <c r="M10" s="287"/>
      <c r="N10" s="287"/>
      <c r="O10" s="288"/>
      <c r="P10" s="594"/>
    </row>
    <row r="11" spans="1:19" x14ac:dyDescent="0.2">
      <c r="A11" s="142">
        <f t="shared" si="0"/>
        <v>6</v>
      </c>
      <c r="B11" s="136" t="s">
        <v>469</v>
      </c>
      <c r="C11" s="365" t="s">
        <v>1114</v>
      </c>
      <c r="D11" s="385"/>
      <c r="E11" s="286"/>
      <c r="F11" s="287"/>
      <c r="G11" s="287"/>
      <c r="H11" s="288"/>
      <c r="I11" s="288"/>
      <c r="J11" s="288"/>
      <c r="K11" s="287"/>
      <c r="L11" s="287"/>
      <c r="M11" s="287"/>
      <c r="N11" s="287"/>
      <c r="O11" s="288"/>
      <c r="P11" s="594"/>
    </row>
    <row r="12" spans="1:19" x14ac:dyDescent="0.2">
      <c r="A12" s="249">
        <f t="shared" si="0"/>
        <v>7</v>
      </c>
      <c r="B12" s="248" t="s">
        <v>470</v>
      </c>
      <c r="C12" s="373" t="s">
        <v>1113</v>
      </c>
      <c r="D12" s="385"/>
      <c r="E12" s="286"/>
      <c r="F12" s="287"/>
      <c r="G12" s="287"/>
      <c r="H12" s="288"/>
      <c r="I12" s="288"/>
      <c r="J12" s="288"/>
      <c r="K12" s="287"/>
      <c r="L12" s="287"/>
      <c r="M12" s="287"/>
      <c r="N12" s="287"/>
      <c r="O12" s="288"/>
      <c r="P12" s="594"/>
    </row>
    <row r="13" spans="1:19" x14ac:dyDescent="0.2">
      <c r="A13" s="250">
        <f t="shared" si="0"/>
        <v>8</v>
      </c>
      <c r="B13" s="251" t="s">
        <v>370</v>
      </c>
      <c r="C13" s="368" t="s">
        <v>1817</v>
      </c>
      <c r="D13" s="386">
        <f>SUM(D6:D12)</f>
        <v>0</v>
      </c>
      <c r="E13" s="252">
        <f t="shared" ref="E13:P13" si="1">SUM(E6:E12)</f>
        <v>0</v>
      </c>
      <c r="F13" s="252">
        <f t="shared" si="1"/>
        <v>0</v>
      </c>
      <c r="G13" s="252">
        <f t="shared" si="1"/>
        <v>0</v>
      </c>
      <c r="H13" s="252">
        <f t="shared" si="1"/>
        <v>0</v>
      </c>
      <c r="I13" s="252">
        <f t="shared" si="1"/>
        <v>0</v>
      </c>
      <c r="J13" s="252">
        <f t="shared" si="1"/>
        <v>0</v>
      </c>
      <c r="K13" s="252">
        <f t="shared" si="1"/>
        <v>0</v>
      </c>
      <c r="L13" s="252">
        <f t="shared" si="1"/>
        <v>0</v>
      </c>
      <c r="M13" s="252">
        <f t="shared" si="1"/>
        <v>0</v>
      </c>
      <c r="N13" s="252">
        <f t="shared" si="1"/>
        <v>0</v>
      </c>
      <c r="O13" s="254">
        <f t="shared" si="1"/>
        <v>0</v>
      </c>
      <c r="P13" s="595">
        <f t="shared" si="1"/>
        <v>0</v>
      </c>
    </row>
    <row r="14" spans="1:19" x14ac:dyDescent="0.2">
      <c r="A14" s="135"/>
      <c r="B14" s="245" t="s">
        <v>371</v>
      </c>
      <c r="C14" s="379"/>
      <c r="D14" s="384"/>
      <c r="E14" s="246"/>
      <c r="F14" s="247"/>
      <c r="G14" s="247"/>
      <c r="H14" s="275"/>
      <c r="I14" s="275"/>
      <c r="J14" s="275"/>
      <c r="K14" s="247"/>
      <c r="L14" s="247"/>
      <c r="M14" s="247"/>
      <c r="N14" s="247"/>
      <c r="O14" s="275"/>
      <c r="P14" s="596"/>
    </row>
    <row r="15" spans="1:19" x14ac:dyDescent="0.2">
      <c r="A15" s="142">
        <f>A13+1</f>
        <v>9</v>
      </c>
      <c r="B15" s="136" t="s">
        <v>471</v>
      </c>
      <c r="C15" s="365" t="s">
        <v>1115</v>
      </c>
      <c r="D15" s="385"/>
      <c r="E15" s="286"/>
      <c r="F15" s="287"/>
      <c r="G15" s="287"/>
      <c r="H15" s="288"/>
      <c r="I15" s="288"/>
      <c r="J15" s="288"/>
      <c r="K15" s="287"/>
      <c r="L15" s="287"/>
      <c r="M15" s="287"/>
      <c r="N15" s="287"/>
      <c r="O15" s="288"/>
      <c r="P15" s="594"/>
    </row>
    <row r="16" spans="1:19" x14ac:dyDescent="0.2">
      <c r="A16" s="142">
        <f t="shared" si="0"/>
        <v>10</v>
      </c>
      <c r="B16" s="136" t="s">
        <v>472</v>
      </c>
      <c r="C16" s="365" t="s">
        <v>1116</v>
      </c>
      <c r="D16" s="385"/>
      <c r="E16" s="286"/>
      <c r="F16" s="287"/>
      <c r="G16" s="287"/>
      <c r="H16" s="288"/>
      <c r="I16" s="288"/>
      <c r="J16" s="288"/>
      <c r="K16" s="287"/>
      <c r="L16" s="287"/>
      <c r="M16" s="287"/>
      <c r="N16" s="287"/>
      <c r="O16" s="288"/>
      <c r="P16" s="594"/>
    </row>
    <row r="17" spans="1:16" x14ac:dyDescent="0.2">
      <c r="A17" s="142">
        <f t="shared" si="0"/>
        <v>11</v>
      </c>
      <c r="B17" s="136" t="s">
        <v>473</v>
      </c>
      <c r="C17" s="365" t="s">
        <v>1117</v>
      </c>
      <c r="D17" s="385"/>
      <c r="E17" s="286"/>
      <c r="F17" s="287"/>
      <c r="G17" s="287"/>
      <c r="H17" s="288"/>
      <c r="I17" s="288"/>
      <c r="J17" s="288"/>
      <c r="K17" s="287"/>
      <c r="L17" s="287"/>
      <c r="M17" s="287"/>
      <c r="N17" s="287"/>
      <c r="O17" s="288"/>
      <c r="P17" s="594"/>
    </row>
    <row r="18" spans="1:16" x14ac:dyDescent="0.2">
      <c r="A18" s="142">
        <f t="shared" si="0"/>
        <v>12</v>
      </c>
      <c r="B18" s="160" t="s">
        <v>474</v>
      </c>
      <c r="C18" s="365" t="s">
        <v>1118</v>
      </c>
      <c r="D18" s="385"/>
      <c r="E18" s="286"/>
      <c r="F18" s="287"/>
      <c r="G18" s="287"/>
      <c r="H18" s="288"/>
      <c r="I18" s="288"/>
      <c r="J18" s="288"/>
      <c r="K18" s="287"/>
      <c r="L18" s="287"/>
      <c r="M18" s="287"/>
      <c r="N18" s="287"/>
      <c r="O18" s="288"/>
      <c r="P18" s="594"/>
    </row>
    <row r="19" spans="1:16" x14ac:dyDescent="0.2">
      <c r="A19" s="142">
        <f t="shared" si="0"/>
        <v>13</v>
      </c>
      <c r="B19" s="160" t="s">
        <v>475</v>
      </c>
      <c r="C19" s="365" t="s">
        <v>1119</v>
      </c>
      <c r="D19" s="385"/>
      <c r="E19" s="286"/>
      <c r="F19" s="287"/>
      <c r="G19" s="287"/>
      <c r="H19" s="288"/>
      <c r="I19" s="288"/>
      <c r="J19" s="288"/>
      <c r="K19" s="287"/>
      <c r="L19" s="287"/>
      <c r="M19" s="287"/>
      <c r="N19" s="287"/>
      <c r="O19" s="288"/>
      <c r="P19" s="594"/>
    </row>
    <row r="20" spans="1:16" x14ac:dyDescent="0.2">
      <c r="A20" s="142">
        <f t="shared" si="0"/>
        <v>14</v>
      </c>
      <c r="B20" s="136" t="s">
        <v>476</v>
      </c>
      <c r="C20" s="365" t="s">
        <v>1120</v>
      </c>
      <c r="D20" s="385"/>
      <c r="E20" s="286"/>
      <c r="F20" s="287"/>
      <c r="G20" s="287"/>
      <c r="H20" s="288"/>
      <c r="I20" s="288"/>
      <c r="J20" s="288"/>
      <c r="K20" s="287"/>
      <c r="L20" s="287"/>
      <c r="M20" s="287"/>
      <c r="N20" s="287"/>
      <c r="O20" s="288"/>
      <c r="P20" s="594"/>
    </row>
    <row r="21" spans="1:16" x14ac:dyDescent="0.2">
      <c r="A21" s="142">
        <f t="shared" si="0"/>
        <v>15</v>
      </c>
      <c r="B21" s="136" t="s">
        <v>477</v>
      </c>
      <c r="C21" s="365" t="s">
        <v>1086</v>
      </c>
      <c r="D21" s="385"/>
      <c r="E21" s="286"/>
      <c r="F21" s="287"/>
      <c r="G21" s="287"/>
      <c r="H21" s="288"/>
      <c r="I21" s="288"/>
      <c r="J21" s="288"/>
      <c r="K21" s="287"/>
      <c r="L21" s="287"/>
      <c r="M21" s="287"/>
      <c r="N21" s="287"/>
      <c r="O21" s="288"/>
      <c r="P21" s="594"/>
    </row>
    <row r="22" spans="1:16" x14ac:dyDescent="0.2">
      <c r="A22" s="142">
        <f t="shared" si="0"/>
        <v>16</v>
      </c>
      <c r="B22" s="136" t="s">
        <v>478</v>
      </c>
      <c r="C22" s="365" t="s">
        <v>1121</v>
      </c>
      <c r="D22" s="385"/>
      <c r="E22" s="286"/>
      <c r="F22" s="287"/>
      <c r="G22" s="287"/>
      <c r="H22" s="288"/>
      <c r="I22" s="288"/>
      <c r="J22" s="288"/>
      <c r="K22" s="287"/>
      <c r="L22" s="287"/>
      <c r="M22" s="287"/>
      <c r="N22" s="287"/>
      <c r="O22" s="288"/>
      <c r="P22" s="594"/>
    </row>
    <row r="23" spans="1:16" x14ac:dyDescent="0.2">
      <c r="A23" s="142">
        <f t="shared" si="0"/>
        <v>17</v>
      </c>
      <c r="B23" s="136" t="s">
        <v>479</v>
      </c>
      <c r="C23" s="365" t="s">
        <v>1122</v>
      </c>
      <c r="D23" s="385"/>
      <c r="E23" s="286"/>
      <c r="F23" s="287"/>
      <c r="G23" s="287"/>
      <c r="H23" s="288"/>
      <c r="I23" s="288"/>
      <c r="J23" s="288"/>
      <c r="K23" s="287"/>
      <c r="L23" s="287"/>
      <c r="M23" s="287"/>
      <c r="N23" s="287"/>
      <c r="O23" s="288"/>
      <c r="P23" s="594"/>
    </row>
    <row r="24" spans="1:16" x14ac:dyDescent="0.2">
      <c r="A24" s="142">
        <f t="shared" si="0"/>
        <v>18</v>
      </c>
      <c r="B24" s="136" t="s">
        <v>480</v>
      </c>
      <c r="C24" s="365" t="s">
        <v>1123</v>
      </c>
      <c r="D24" s="385"/>
      <c r="E24" s="286"/>
      <c r="F24" s="287"/>
      <c r="G24" s="287"/>
      <c r="H24" s="288"/>
      <c r="I24" s="288"/>
      <c r="J24" s="288"/>
      <c r="K24" s="287"/>
      <c r="L24" s="287"/>
      <c r="M24" s="287"/>
      <c r="N24" s="287"/>
      <c r="O24" s="288"/>
      <c r="P24" s="594"/>
    </row>
    <row r="25" spans="1:16" x14ac:dyDescent="0.2">
      <c r="A25" s="142">
        <f t="shared" si="0"/>
        <v>19</v>
      </c>
      <c r="B25" s="136" t="s">
        <v>481</v>
      </c>
      <c r="C25" s="365" t="s">
        <v>1124</v>
      </c>
      <c r="D25" s="385"/>
      <c r="E25" s="286"/>
      <c r="F25" s="287"/>
      <c r="G25" s="287"/>
      <c r="H25" s="288"/>
      <c r="I25" s="288"/>
      <c r="J25" s="288"/>
      <c r="K25" s="287"/>
      <c r="L25" s="287"/>
      <c r="M25" s="287"/>
      <c r="N25" s="287"/>
      <c r="O25" s="288"/>
      <c r="P25" s="594"/>
    </row>
    <row r="26" spans="1:16" x14ac:dyDescent="0.2">
      <c r="A26" s="142">
        <f t="shared" si="0"/>
        <v>20</v>
      </c>
      <c r="B26" s="136" t="s">
        <v>482</v>
      </c>
      <c r="C26" s="365" t="s">
        <v>1125</v>
      </c>
      <c r="D26" s="385"/>
      <c r="E26" s="286"/>
      <c r="F26" s="287"/>
      <c r="G26" s="287"/>
      <c r="H26" s="288"/>
      <c r="I26" s="288"/>
      <c r="J26" s="288"/>
      <c r="K26" s="287"/>
      <c r="L26" s="287"/>
      <c r="M26" s="287"/>
      <c r="N26" s="287"/>
      <c r="O26" s="288"/>
      <c r="P26" s="594"/>
    </row>
    <row r="27" spans="1:16" x14ac:dyDescent="0.2">
      <c r="A27" s="142">
        <f t="shared" si="0"/>
        <v>21</v>
      </c>
      <c r="B27" s="136" t="s">
        <v>483</v>
      </c>
      <c r="C27" s="365" t="s">
        <v>1089</v>
      </c>
      <c r="D27" s="385"/>
      <c r="E27" s="286"/>
      <c r="F27" s="287"/>
      <c r="G27" s="287"/>
      <c r="H27" s="288"/>
      <c r="I27" s="288"/>
      <c r="J27" s="288"/>
      <c r="K27" s="287"/>
      <c r="L27" s="287"/>
      <c r="M27" s="287"/>
      <c r="N27" s="287"/>
      <c r="O27" s="288"/>
      <c r="P27" s="594"/>
    </row>
    <row r="28" spans="1:16" x14ac:dyDescent="0.2">
      <c r="A28" s="142">
        <f t="shared" si="0"/>
        <v>22</v>
      </c>
      <c r="B28" s="136" t="s">
        <v>484</v>
      </c>
      <c r="C28" s="365" t="s">
        <v>1090</v>
      </c>
      <c r="D28" s="385"/>
      <c r="E28" s="286"/>
      <c r="F28" s="287"/>
      <c r="G28" s="287"/>
      <c r="H28" s="288"/>
      <c r="I28" s="288"/>
      <c r="J28" s="288"/>
      <c r="K28" s="287"/>
      <c r="L28" s="287"/>
      <c r="M28" s="287"/>
      <c r="N28" s="287"/>
      <c r="O28" s="288"/>
      <c r="P28" s="594"/>
    </row>
    <row r="29" spans="1:16" x14ac:dyDescent="0.2">
      <c r="A29" s="142">
        <f t="shared" si="0"/>
        <v>23</v>
      </c>
      <c r="B29" s="136" t="s">
        <v>485</v>
      </c>
      <c r="C29" s="365" t="s">
        <v>1091</v>
      </c>
      <c r="D29" s="385"/>
      <c r="E29" s="286"/>
      <c r="F29" s="287"/>
      <c r="G29" s="287"/>
      <c r="H29" s="288"/>
      <c r="I29" s="288"/>
      <c r="J29" s="288"/>
      <c r="K29" s="287"/>
      <c r="L29" s="287"/>
      <c r="M29" s="287"/>
      <c r="N29" s="287"/>
      <c r="O29" s="288"/>
      <c r="P29" s="594"/>
    </row>
    <row r="30" spans="1:16" x14ac:dyDescent="0.2">
      <c r="A30" s="142">
        <f t="shared" si="0"/>
        <v>24</v>
      </c>
      <c r="B30" s="136" t="s">
        <v>486</v>
      </c>
      <c r="C30" s="365" t="s">
        <v>1126</v>
      </c>
      <c r="D30" s="385"/>
      <c r="E30" s="286"/>
      <c r="F30" s="287"/>
      <c r="G30" s="287"/>
      <c r="H30" s="288"/>
      <c r="I30" s="288"/>
      <c r="J30" s="288"/>
      <c r="K30" s="287"/>
      <c r="L30" s="287"/>
      <c r="M30" s="287"/>
      <c r="N30" s="287"/>
      <c r="O30" s="288"/>
      <c r="P30" s="594"/>
    </row>
    <row r="31" spans="1:16" x14ac:dyDescent="0.2">
      <c r="A31" s="142">
        <f t="shared" si="0"/>
        <v>25</v>
      </c>
      <c r="B31" s="136" t="s">
        <v>487</v>
      </c>
      <c r="C31" s="365" t="s">
        <v>1127</v>
      </c>
      <c r="D31" s="385"/>
      <c r="E31" s="286"/>
      <c r="F31" s="287"/>
      <c r="G31" s="287"/>
      <c r="H31" s="288"/>
      <c r="I31" s="288"/>
      <c r="J31" s="288"/>
      <c r="K31" s="287"/>
      <c r="L31" s="287"/>
      <c r="M31" s="287"/>
      <c r="N31" s="287"/>
      <c r="O31" s="288"/>
      <c r="P31" s="594"/>
    </row>
    <row r="32" spans="1:16" x14ac:dyDescent="0.2">
      <c r="A32" s="142">
        <f t="shared" si="0"/>
        <v>26</v>
      </c>
      <c r="B32" s="136" t="s">
        <v>488</v>
      </c>
      <c r="C32" s="365" t="s">
        <v>1128</v>
      </c>
      <c r="D32" s="385"/>
      <c r="E32" s="286"/>
      <c r="F32" s="287"/>
      <c r="G32" s="287"/>
      <c r="H32" s="288"/>
      <c r="I32" s="288"/>
      <c r="J32" s="288"/>
      <c r="K32" s="287"/>
      <c r="L32" s="287"/>
      <c r="M32" s="287"/>
      <c r="N32" s="287"/>
      <c r="O32" s="288"/>
      <c r="P32" s="594"/>
    </row>
    <row r="33" spans="1:22" x14ac:dyDescent="0.2">
      <c r="A33" s="142">
        <f t="shared" si="0"/>
        <v>27</v>
      </c>
      <c r="B33" s="136" t="s">
        <v>489</v>
      </c>
      <c r="C33" s="365" t="s">
        <v>1129</v>
      </c>
      <c r="D33" s="385"/>
      <c r="E33" s="286"/>
      <c r="F33" s="287"/>
      <c r="G33" s="287"/>
      <c r="H33" s="288"/>
      <c r="I33" s="288"/>
      <c r="J33" s="288"/>
      <c r="K33" s="287"/>
      <c r="L33" s="287"/>
      <c r="M33" s="287"/>
      <c r="N33" s="287"/>
      <c r="O33" s="288"/>
      <c r="P33" s="594"/>
    </row>
    <row r="34" spans="1:22" x14ac:dyDescent="0.2">
      <c r="A34" s="142">
        <f t="shared" si="0"/>
        <v>28</v>
      </c>
      <c r="B34" s="136" t="s">
        <v>490</v>
      </c>
      <c r="C34" s="365" t="s">
        <v>1130</v>
      </c>
      <c r="D34" s="385"/>
      <c r="E34" s="286"/>
      <c r="F34" s="287"/>
      <c r="G34" s="287"/>
      <c r="H34" s="288"/>
      <c r="I34" s="288"/>
      <c r="J34" s="288"/>
      <c r="K34" s="287"/>
      <c r="L34" s="287"/>
      <c r="M34" s="287"/>
      <c r="N34" s="287"/>
      <c r="O34" s="288"/>
      <c r="P34" s="594"/>
    </row>
    <row r="35" spans="1:22" x14ac:dyDescent="0.2">
      <c r="A35" s="142">
        <f t="shared" si="0"/>
        <v>29</v>
      </c>
      <c r="B35" s="248" t="s">
        <v>491</v>
      </c>
      <c r="C35" s="365" t="s">
        <v>1131</v>
      </c>
      <c r="D35" s="385"/>
      <c r="E35" s="286"/>
      <c r="F35" s="287"/>
      <c r="G35" s="287"/>
      <c r="H35" s="288"/>
      <c r="I35" s="288"/>
      <c r="J35" s="288"/>
      <c r="K35" s="287"/>
      <c r="L35" s="287"/>
      <c r="M35" s="287"/>
      <c r="N35" s="287"/>
      <c r="O35" s="288"/>
      <c r="P35" s="594"/>
    </row>
    <row r="36" spans="1:22" x14ac:dyDescent="0.2">
      <c r="A36" s="142">
        <f t="shared" si="0"/>
        <v>30</v>
      </c>
      <c r="B36" s="160" t="s">
        <v>492</v>
      </c>
      <c r="C36" s="365" t="s">
        <v>1132</v>
      </c>
      <c r="D36" s="385"/>
      <c r="E36" s="286"/>
      <c r="F36" s="287"/>
      <c r="G36" s="287"/>
      <c r="H36" s="288"/>
      <c r="I36" s="288"/>
      <c r="J36" s="288"/>
      <c r="K36" s="287"/>
      <c r="L36" s="287"/>
      <c r="M36" s="287"/>
      <c r="N36" s="287"/>
      <c r="O36" s="288"/>
      <c r="P36" s="594"/>
    </row>
    <row r="37" spans="1:22" x14ac:dyDescent="0.2">
      <c r="A37" s="142">
        <f t="shared" si="0"/>
        <v>31</v>
      </c>
      <c r="B37" s="136" t="s">
        <v>493</v>
      </c>
      <c r="C37" s="365" t="s">
        <v>1766</v>
      </c>
      <c r="D37" s="385"/>
      <c r="E37" s="286"/>
      <c r="F37" s="287"/>
      <c r="G37" s="287"/>
      <c r="H37" s="288"/>
      <c r="I37" s="288"/>
      <c r="J37" s="288"/>
      <c r="K37" s="287"/>
      <c r="L37" s="287"/>
      <c r="M37" s="287"/>
      <c r="N37" s="287"/>
      <c r="O37" s="288"/>
      <c r="P37" s="594"/>
      <c r="R37" s="171"/>
    </row>
    <row r="38" spans="1:22" x14ac:dyDescent="0.2">
      <c r="A38" s="249">
        <f t="shared" si="0"/>
        <v>32</v>
      </c>
      <c r="B38" s="248" t="s">
        <v>494</v>
      </c>
      <c r="C38" s="373" t="s">
        <v>1133</v>
      </c>
      <c r="D38" s="385"/>
      <c r="E38" s="286"/>
      <c r="F38" s="287"/>
      <c r="G38" s="287"/>
      <c r="H38" s="288"/>
      <c r="I38" s="288"/>
      <c r="J38" s="288"/>
      <c r="K38" s="287"/>
      <c r="L38" s="287"/>
      <c r="M38" s="287"/>
      <c r="N38" s="287"/>
      <c r="O38" s="288"/>
      <c r="P38" s="594"/>
      <c r="R38" s="171"/>
    </row>
    <row r="39" spans="1:22" x14ac:dyDescent="0.2">
      <c r="A39" s="250">
        <f t="shared" si="0"/>
        <v>33</v>
      </c>
      <c r="B39" s="259" t="s">
        <v>372</v>
      </c>
      <c r="C39" s="380" t="s">
        <v>1818</v>
      </c>
      <c r="D39" s="386">
        <f>SUM(D15:D38)</f>
        <v>0</v>
      </c>
      <c r="E39" s="252">
        <f t="shared" ref="E39:P39" si="2">SUM(E15:E38)</f>
        <v>0</v>
      </c>
      <c r="F39" s="252">
        <f t="shared" si="2"/>
        <v>0</v>
      </c>
      <c r="G39" s="252">
        <f t="shared" si="2"/>
        <v>0</v>
      </c>
      <c r="H39" s="254">
        <f t="shared" si="2"/>
        <v>0</v>
      </c>
      <c r="I39" s="254">
        <f t="shared" si="2"/>
        <v>0</v>
      </c>
      <c r="J39" s="254">
        <f t="shared" si="2"/>
        <v>0</v>
      </c>
      <c r="K39" s="253">
        <f t="shared" si="2"/>
        <v>0</v>
      </c>
      <c r="L39" s="254">
        <f t="shared" si="2"/>
        <v>0</v>
      </c>
      <c r="M39" s="255">
        <f t="shared" si="2"/>
        <v>0</v>
      </c>
      <c r="N39" s="255">
        <f t="shared" si="2"/>
        <v>0</v>
      </c>
      <c r="O39" s="255">
        <f t="shared" si="2"/>
        <v>0</v>
      </c>
      <c r="P39" s="595">
        <f t="shared" si="2"/>
        <v>0</v>
      </c>
      <c r="R39" s="278"/>
      <c r="S39" s="256"/>
      <c r="T39" s="256"/>
      <c r="U39" s="258"/>
      <c r="V39" s="256"/>
    </row>
    <row r="40" spans="1:22" x14ac:dyDescent="0.2">
      <c r="A40" s="135">
        <f t="shared" si="0"/>
        <v>34</v>
      </c>
      <c r="B40" s="248" t="s">
        <v>373</v>
      </c>
      <c r="C40" s="365" t="s">
        <v>1134</v>
      </c>
      <c r="D40" s="387"/>
      <c r="E40" s="289"/>
      <c r="F40" s="290"/>
      <c r="G40" s="290"/>
      <c r="H40" s="291"/>
      <c r="I40" s="291"/>
      <c r="J40" s="291"/>
      <c r="K40" s="290"/>
      <c r="L40" s="290"/>
      <c r="M40" s="290"/>
      <c r="N40" s="290"/>
      <c r="O40" s="291"/>
      <c r="P40" s="597"/>
      <c r="R40" s="171"/>
      <c r="S40" s="256"/>
      <c r="T40" s="256"/>
      <c r="U40" s="258"/>
      <c r="V40" s="256"/>
    </row>
    <row r="41" spans="1:22" x14ac:dyDescent="0.2">
      <c r="A41" s="142">
        <f t="shared" si="0"/>
        <v>35</v>
      </c>
      <c r="B41" s="160" t="s">
        <v>495</v>
      </c>
      <c r="C41" s="365" t="s">
        <v>1135</v>
      </c>
      <c r="D41" s="387"/>
      <c r="E41" s="289"/>
      <c r="F41" s="290"/>
      <c r="G41" s="290"/>
      <c r="H41" s="291"/>
      <c r="I41" s="291"/>
      <c r="J41" s="291"/>
      <c r="K41" s="290"/>
      <c r="L41" s="290"/>
      <c r="M41" s="290"/>
      <c r="N41" s="290"/>
      <c r="O41" s="291"/>
      <c r="P41" s="597"/>
      <c r="R41" s="257"/>
      <c r="S41" s="256"/>
      <c r="T41" s="256"/>
      <c r="U41" s="258"/>
      <c r="V41" s="256"/>
    </row>
    <row r="42" spans="1:22" x14ac:dyDescent="0.2">
      <c r="A42" s="249">
        <f t="shared" si="0"/>
        <v>36</v>
      </c>
      <c r="B42" s="143" t="s">
        <v>496</v>
      </c>
      <c r="C42" s="373" t="s">
        <v>1551</v>
      </c>
      <c r="D42" s="387"/>
      <c r="E42" s="289"/>
      <c r="F42" s="290"/>
      <c r="G42" s="290"/>
      <c r="H42" s="291"/>
      <c r="I42" s="291"/>
      <c r="J42" s="291"/>
      <c r="K42" s="290"/>
      <c r="L42" s="290"/>
      <c r="M42" s="290"/>
      <c r="N42" s="290"/>
      <c r="O42" s="291"/>
      <c r="P42" s="597"/>
      <c r="R42" s="257"/>
      <c r="S42" s="256"/>
      <c r="T42" s="256"/>
      <c r="U42" s="258"/>
      <c r="V42" s="256"/>
    </row>
    <row r="43" spans="1:22" x14ac:dyDescent="0.2">
      <c r="A43" s="264">
        <f t="shared" si="0"/>
        <v>37</v>
      </c>
      <c r="B43" s="160" t="s">
        <v>1550</v>
      </c>
      <c r="C43" s="373" t="s">
        <v>1552</v>
      </c>
      <c r="D43" s="730"/>
      <c r="E43" s="731"/>
      <c r="F43" s="731"/>
      <c r="G43" s="731"/>
      <c r="H43" s="732"/>
      <c r="I43" s="732"/>
      <c r="J43" s="732"/>
      <c r="K43" s="731"/>
      <c r="L43" s="731"/>
      <c r="M43" s="731"/>
      <c r="N43" s="731"/>
      <c r="O43" s="732"/>
      <c r="P43" s="733"/>
      <c r="R43" s="257"/>
      <c r="S43" s="256"/>
      <c r="T43" s="256"/>
      <c r="U43" s="258"/>
      <c r="V43" s="256"/>
    </row>
    <row r="44" spans="1:22" x14ac:dyDescent="0.2">
      <c r="A44" s="250">
        <f t="shared" si="0"/>
        <v>38</v>
      </c>
      <c r="B44" s="260" t="s">
        <v>124</v>
      </c>
      <c r="C44" s="380" t="s">
        <v>1819</v>
      </c>
      <c r="D44" s="388">
        <f>SUM(D13,D39,D40:D42)</f>
        <v>0</v>
      </c>
      <c r="E44" s="261">
        <f t="shared" ref="E44:P44" si="3">SUM(E13,E39,E40:E42)</f>
        <v>0</v>
      </c>
      <c r="F44" s="261">
        <f t="shared" si="3"/>
        <v>0</v>
      </c>
      <c r="G44" s="261">
        <f t="shared" si="3"/>
        <v>0</v>
      </c>
      <c r="H44" s="261">
        <f t="shared" si="3"/>
        <v>0</v>
      </c>
      <c r="I44" s="261">
        <f t="shared" si="3"/>
        <v>0</v>
      </c>
      <c r="J44" s="261">
        <f t="shared" si="3"/>
        <v>0</v>
      </c>
      <c r="K44" s="261">
        <f t="shared" si="3"/>
        <v>0</v>
      </c>
      <c r="L44" s="261">
        <f t="shared" si="3"/>
        <v>0</v>
      </c>
      <c r="M44" s="261">
        <f t="shared" si="3"/>
        <v>0</v>
      </c>
      <c r="N44" s="261">
        <f t="shared" si="3"/>
        <v>0</v>
      </c>
      <c r="O44" s="265">
        <f t="shared" si="3"/>
        <v>0</v>
      </c>
      <c r="P44" s="598">
        <f t="shared" si="3"/>
        <v>0</v>
      </c>
      <c r="R44" s="257"/>
      <c r="S44" s="256"/>
      <c r="T44" s="256"/>
      <c r="U44" s="258"/>
      <c r="V44" s="256"/>
    </row>
    <row r="45" spans="1:22" x14ac:dyDescent="0.2">
      <c r="A45" s="250">
        <f t="shared" si="0"/>
        <v>39</v>
      </c>
      <c r="B45" s="260" t="s">
        <v>702</v>
      </c>
      <c r="C45" s="381" t="s">
        <v>1095</v>
      </c>
      <c r="D45" s="388"/>
      <c r="E45" s="261"/>
      <c r="F45" s="263"/>
      <c r="G45" s="263"/>
      <c r="H45" s="262"/>
      <c r="I45" s="262"/>
      <c r="J45" s="262"/>
      <c r="K45" s="263"/>
      <c r="L45" s="263"/>
      <c r="M45" s="263"/>
      <c r="N45" s="263"/>
      <c r="O45" s="262"/>
      <c r="P45" s="598"/>
      <c r="R45" s="257"/>
      <c r="S45" s="256"/>
      <c r="T45" s="256"/>
      <c r="U45" s="258"/>
      <c r="V45" s="256"/>
    </row>
    <row r="46" spans="1:22" x14ac:dyDescent="0.2">
      <c r="A46" s="264"/>
      <c r="B46" s="266" t="s">
        <v>374</v>
      </c>
      <c r="C46" s="382"/>
      <c r="D46" s="384"/>
      <c r="E46" s="246"/>
      <c r="F46" s="247"/>
      <c r="G46" s="247"/>
      <c r="H46" s="275"/>
      <c r="I46" s="275"/>
      <c r="J46" s="275"/>
      <c r="K46" s="247"/>
      <c r="L46" s="247"/>
      <c r="M46" s="247"/>
      <c r="N46" s="247"/>
      <c r="O46" s="275"/>
      <c r="P46" s="596"/>
      <c r="R46" s="257"/>
      <c r="S46" s="256"/>
      <c r="T46" s="256"/>
      <c r="U46" s="258"/>
      <c r="V46" s="256"/>
    </row>
    <row r="47" spans="1:22" x14ac:dyDescent="0.2">
      <c r="A47" s="135">
        <f>A45+1</f>
        <v>40</v>
      </c>
      <c r="B47" s="136" t="s">
        <v>498</v>
      </c>
      <c r="C47" s="365" t="s">
        <v>1096</v>
      </c>
      <c r="D47" s="387"/>
      <c r="E47" s="289"/>
      <c r="F47" s="290"/>
      <c r="G47" s="290"/>
      <c r="H47" s="291"/>
      <c r="I47" s="291"/>
      <c r="J47" s="291"/>
      <c r="K47" s="290"/>
      <c r="L47" s="290"/>
      <c r="M47" s="290"/>
      <c r="N47" s="290"/>
      <c r="O47" s="291"/>
      <c r="P47" s="597"/>
      <c r="R47" s="257"/>
      <c r="S47" s="256"/>
      <c r="T47" s="256"/>
      <c r="U47" s="258"/>
      <c r="V47" s="256"/>
    </row>
    <row r="48" spans="1:22" x14ac:dyDescent="0.2">
      <c r="A48" s="142">
        <f>A47+1</f>
        <v>41</v>
      </c>
      <c r="B48" s="136" t="s">
        <v>499</v>
      </c>
      <c r="C48" s="365" t="s">
        <v>1097</v>
      </c>
      <c r="D48" s="387"/>
      <c r="E48" s="289"/>
      <c r="F48" s="290"/>
      <c r="G48" s="290"/>
      <c r="H48" s="291"/>
      <c r="I48" s="291"/>
      <c r="J48" s="291"/>
      <c r="K48" s="290"/>
      <c r="L48" s="290"/>
      <c r="M48" s="290"/>
      <c r="N48" s="290"/>
      <c r="O48" s="291"/>
      <c r="P48" s="597"/>
      <c r="R48" s="257"/>
      <c r="S48" s="256"/>
      <c r="T48" s="256"/>
      <c r="U48" s="258"/>
      <c r="V48" s="256"/>
    </row>
    <row r="49" spans="1:22" x14ac:dyDescent="0.2">
      <c r="A49" s="135">
        <f t="shared" ref="A49:A75" si="4">A48+1</f>
        <v>42</v>
      </c>
      <c r="B49" s="136" t="s">
        <v>500</v>
      </c>
      <c r="C49" s="365" t="s">
        <v>1136</v>
      </c>
      <c r="D49" s="387"/>
      <c r="E49" s="289"/>
      <c r="F49" s="290"/>
      <c r="G49" s="290"/>
      <c r="H49" s="291"/>
      <c r="I49" s="291"/>
      <c r="J49" s="291"/>
      <c r="K49" s="290"/>
      <c r="L49" s="290"/>
      <c r="M49" s="290"/>
      <c r="N49" s="290"/>
      <c r="O49" s="291"/>
      <c r="P49" s="597"/>
      <c r="R49" s="257"/>
      <c r="S49" s="256"/>
      <c r="T49" s="256"/>
      <c r="U49" s="258"/>
      <c r="V49" s="256"/>
    </row>
    <row r="50" spans="1:22" x14ac:dyDescent="0.2">
      <c r="A50" s="135">
        <f t="shared" si="4"/>
        <v>43</v>
      </c>
      <c r="B50" s="160" t="s">
        <v>501</v>
      </c>
      <c r="C50" s="365" t="s">
        <v>1137</v>
      </c>
      <c r="D50" s="387"/>
      <c r="E50" s="289"/>
      <c r="F50" s="290"/>
      <c r="G50" s="290"/>
      <c r="H50" s="291"/>
      <c r="I50" s="291"/>
      <c r="J50" s="291"/>
      <c r="K50" s="290"/>
      <c r="L50" s="290"/>
      <c r="M50" s="290"/>
      <c r="N50" s="290"/>
      <c r="O50" s="291"/>
      <c r="P50" s="597"/>
      <c r="R50" s="257"/>
      <c r="S50" s="256"/>
      <c r="T50" s="256"/>
      <c r="U50" s="258"/>
      <c r="V50" s="256"/>
    </row>
    <row r="51" spans="1:22" x14ac:dyDescent="0.2">
      <c r="A51" s="135">
        <f t="shared" si="4"/>
        <v>44</v>
      </c>
      <c r="B51" s="248" t="s">
        <v>502</v>
      </c>
      <c r="C51" s="365" t="s">
        <v>1138</v>
      </c>
      <c r="D51" s="387"/>
      <c r="E51" s="289"/>
      <c r="F51" s="290"/>
      <c r="G51" s="290"/>
      <c r="H51" s="291"/>
      <c r="I51" s="291"/>
      <c r="J51" s="291"/>
      <c r="K51" s="290"/>
      <c r="L51" s="290"/>
      <c r="M51" s="290"/>
      <c r="N51" s="290"/>
      <c r="O51" s="291"/>
      <c r="P51" s="597"/>
      <c r="R51" s="257"/>
      <c r="S51" s="256"/>
      <c r="T51" s="256"/>
      <c r="U51" s="258"/>
      <c r="V51" s="256"/>
    </row>
    <row r="52" spans="1:22" x14ac:dyDescent="0.2">
      <c r="A52" s="135">
        <f t="shared" si="4"/>
        <v>45</v>
      </c>
      <c r="B52" s="160" t="s">
        <v>503</v>
      </c>
      <c r="C52" s="365" t="s">
        <v>1139</v>
      </c>
      <c r="D52" s="387"/>
      <c r="E52" s="289"/>
      <c r="F52" s="290"/>
      <c r="G52" s="290"/>
      <c r="H52" s="291"/>
      <c r="I52" s="291"/>
      <c r="J52" s="291"/>
      <c r="K52" s="290"/>
      <c r="L52" s="290"/>
      <c r="M52" s="290"/>
      <c r="N52" s="290"/>
      <c r="O52" s="291"/>
      <c r="P52" s="597"/>
      <c r="R52" s="257"/>
      <c r="S52" s="256"/>
      <c r="T52" s="256"/>
      <c r="U52" s="258"/>
      <c r="V52" s="256"/>
    </row>
    <row r="53" spans="1:22" x14ac:dyDescent="0.2">
      <c r="A53" s="135">
        <f t="shared" si="4"/>
        <v>46</v>
      </c>
      <c r="B53" s="136" t="s">
        <v>504</v>
      </c>
      <c r="C53" s="365" t="s">
        <v>1099</v>
      </c>
      <c r="D53" s="387"/>
      <c r="E53" s="289"/>
      <c r="F53" s="290"/>
      <c r="G53" s="290"/>
      <c r="H53" s="291"/>
      <c r="I53" s="291"/>
      <c r="J53" s="291"/>
      <c r="K53" s="290"/>
      <c r="L53" s="290"/>
      <c r="M53" s="290"/>
      <c r="N53" s="290"/>
      <c r="O53" s="291"/>
      <c r="P53" s="597"/>
      <c r="R53" s="257"/>
      <c r="S53" s="256"/>
      <c r="T53" s="256"/>
      <c r="U53" s="258"/>
      <c r="V53" s="256"/>
    </row>
    <row r="54" spans="1:22" x14ac:dyDescent="0.2">
      <c r="A54" s="135">
        <f t="shared" si="4"/>
        <v>47</v>
      </c>
      <c r="B54" s="136" t="s">
        <v>505</v>
      </c>
      <c r="C54" s="365" t="s">
        <v>1140</v>
      </c>
      <c r="D54" s="387"/>
      <c r="E54" s="289"/>
      <c r="F54" s="290"/>
      <c r="G54" s="290"/>
      <c r="H54" s="291"/>
      <c r="I54" s="291"/>
      <c r="J54" s="291"/>
      <c r="K54" s="290"/>
      <c r="L54" s="290"/>
      <c r="M54" s="290"/>
      <c r="N54" s="290"/>
      <c r="O54" s="291"/>
      <c r="P54" s="597"/>
      <c r="R54" s="257"/>
      <c r="S54" s="256"/>
      <c r="T54" s="256"/>
      <c r="U54" s="258"/>
      <c r="V54" s="256"/>
    </row>
    <row r="55" spans="1:22" x14ac:dyDescent="0.2">
      <c r="A55" s="135">
        <f t="shared" si="4"/>
        <v>48</v>
      </c>
      <c r="B55" s="136" t="s">
        <v>506</v>
      </c>
      <c r="C55" s="365" t="s">
        <v>1141</v>
      </c>
      <c r="D55" s="387"/>
      <c r="E55" s="289"/>
      <c r="F55" s="290"/>
      <c r="G55" s="290"/>
      <c r="H55" s="291"/>
      <c r="I55" s="291"/>
      <c r="J55" s="291"/>
      <c r="K55" s="290"/>
      <c r="L55" s="290"/>
      <c r="M55" s="290"/>
      <c r="N55" s="290"/>
      <c r="O55" s="291"/>
      <c r="P55" s="597"/>
      <c r="R55" s="257"/>
      <c r="S55" s="256"/>
      <c r="T55" s="256"/>
      <c r="U55" s="258"/>
      <c r="V55" s="256"/>
    </row>
    <row r="56" spans="1:22" x14ac:dyDescent="0.2">
      <c r="A56" s="135">
        <f t="shared" si="4"/>
        <v>49</v>
      </c>
      <c r="B56" s="160" t="s">
        <v>507</v>
      </c>
      <c r="C56" s="365" t="s">
        <v>1100</v>
      </c>
      <c r="D56" s="387"/>
      <c r="E56" s="289"/>
      <c r="F56" s="290"/>
      <c r="G56" s="290"/>
      <c r="H56" s="291"/>
      <c r="I56" s="291"/>
      <c r="J56" s="291"/>
      <c r="K56" s="290"/>
      <c r="L56" s="290"/>
      <c r="M56" s="290"/>
      <c r="N56" s="290"/>
      <c r="O56" s="291"/>
      <c r="P56" s="597"/>
      <c r="R56" s="257"/>
      <c r="S56" s="256"/>
      <c r="T56" s="256"/>
      <c r="U56" s="258"/>
      <c r="V56" s="256"/>
    </row>
    <row r="57" spans="1:22" x14ac:dyDescent="0.2">
      <c r="A57" s="135">
        <f t="shared" si="4"/>
        <v>50</v>
      </c>
      <c r="B57" s="248" t="s">
        <v>508</v>
      </c>
      <c r="C57" s="365" t="s">
        <v>1101</v>
      </c>
      <c r="D57" s="387"/>
      <c r="E57" s="289"/>
      <c r="F57" s="290"/>
      <c r="G57" s="290"/>
      <c r="H57" s="291"/>
      <c r="I57" s="291"/>
      <c r="J57" s="291"/>
      <c r="K57" s="290"/>
      <c r="L57" s="290"/>
      <c r="M57" s="290"/>
      <c r="N57" s="290"/>
      <c r="O57" s="291"/>
      <c r="P57" s="597"/>
      <c r="R57" s="257"/>
      <c r="S57" s="256"/>
      <c r="T57" s="256"/>
      <c r="U57" s="258"/>
      <c r="V57" s="256"/>
    </row>
    <row r="58" spans="1:22" x14ac:dyDescent="0.2">
      <c r="A58" s="135">
        <f t="shared" si="4"/>
        <v>51</v>
      </c>
      <c r="B58" s="160" t="s">
        <v>509</v>
      </c>
      <c r="C58" s="365" t="s">
        <v>1102</v>
      </c>
      <c r="D58" s="387"/>
      <c r="E58" s="289"/>
      <c r="F58" s="290"/>
      <c r="G58" s="290"/>
      <c r="H58" s="291"/>
      <c r="I58" s="291"/>
      <c r="J58" s="291"/>
      <c r="K58" s="290"/>
      <c r="L58" s="290"/>
      <c r="M58" s="290"/>
      <c r="N58" s="290"/>
      <c r="O58" s="291"/>
      <c r="P58" s="597"/>
      <c r="R58" s="257"/>
      <c r="S58" s="256"/>
      <c r="T58" s="256"/>
      <c r="U58" s="258"/>
      <c r="V58" s="256"/>
    </row>
    <row r="59" spans="1:22" x14ac:dyDescent="0.2">
      <c r="A59" s="135">
        <f t="shared" si="4"/>
        <v>52</v>
      </c>
      <c r="B59" s="136" t="s">
        <v>510</v>
      </c>
      <c r="C59" s="365" t="s">
        <v>1142</v>
      </c>
      <c r="D59" s="387"/>
      <c r="E59" s="289"/>
      <c r="F59" s="290"/>
      <c r="G59" s="290"/>
      <c r="H59" s="291"/>
      <c r="I59" s="291"/>
      <c r="J59" s="291"/>
      <c r="K59" s="290"/>
      <c r="L59" s="290"/>
      <c r="M59" s="290"/>
      <c r="N59" s="290"/>
      <c r="O59" s="291"/>
      <c r="P59" s="597"/>
      <c r="R59" s="257"/>
      <c r="S59" s="256"/>
      <c r="T59" s="256"/>
      <c r="U59" s="258"/>
      <c r="V59" s="256"/>
    </row>
    <row r="60" spans="1:22" x14ac:dyDescent="0.2">
      <c r="A60" s="135">
        <f t="shared" si="4"/>
        <v>53</v>
      </c>
      <c r="B60" s="136" t="s">
        <v>511</v>
      </c>
      <c r="C60" s="365" t="s">
        <v>1143</v>
      </c>
      <c r="D60" s="387"/>
      <c r="E60" s="289"/>
      <c r="F60" s="290"/>
      <c r="G60" s="290"/>
      <c r="H60" s="291"/>
      <c r="I60" s="291"/>
      <c r="J60" s="291"/>
      <c r="K60" s="290"/>
      <c r="L60" s="290"/>
      <c r="M60" s="290"/>
      <c r="N60" s="290"/>
      <c r="O60" s="291"/>
      <c r="P60" s="597"/>
      <c r="R60" s="257"/>
      <c r="S60" s="256"/>
      <c r="T60" s="256"/>
      <c r="U60" s="258"/>
      <c r="V60" s="256"/>
    </row>
    <row r="61" spans="1:22" x14ac:dyDescent="0.2">
      <c r="A61" s="135">
        <f t="shared" si="4"/>
        <v>54</v>
      </c>
      <c r="B61" s="136" t="s">
        <v>512</v>
      </c>
      <c r="C61" s="365" t="s">
        <v>1144</v>
      </c>
      <c r="D61" s="387"/>
      <c r="E61" s="289"/>
      <c r="F61" s="290"/>
      <c r="G61" s="290"/>
      <c r="H61" s="291"/>
      <c r="I61" s="291"/>
      <c r="J61" s="291"/>
      <c r="K61" s="290"/>
      <c r="L61" s="290"/>
      <c r="M61" s="290"/>
      <c r="N61" s="290"/>
      <c r="O61" s="291"/>
      <c r="P61" s="597"/>
      <c r="R61" s="257"/>
      <c r="S61" s="256"/>
      <c r="T61" s="256"/>
      <c r="U61" s="258"/>
      <c r="V61" s="256"/>
    </row>
    <row r="62" spans="1:22" x14ac:dyDescent="0.2">
      <c r="A62" s="135">
        <f t="shared" si="4"/>
        <v>55</v>
      </c>
      <c r="B62" s="160" t="s">
        <v>513</v>
      </c>
      <c r="C62" s="365" t="s">
        <v>1145</v>
      </c>
      <c r="D62" s="387"/>
      <c r="E62" s="289"/>
      <c r="F62" s="290"/>
      <c r="G62" s="290"/>
      <c r="H62" s="291"/>
      <c r="I62" s="291"/>
      <c r="J62" s="291"/>
      <c r="K62" s="290"/>
      <c r="L62" s="290"/>
      <c r="M62" s="290"/>
      <c r="N62" s="290"/>
      <c r="O62" s="291"/>
      <c r="P62" s="597"/>
      <c r="R62" s="257"/>
      <c r="S62" s="256"/>
      <c r="T62" s="256"/>
      <c r="U62" s="258"/>
      <c r="V62" s="256"/>
    </row>
    <row r="63" spans="1:22" x14ac:dyDescent="0.2">
      <c r="A63" s="135">
        <f t="shared" si="4"/>
        <v>56</v>
      </c>
      <c r="B63" s="160" t="s">
        <v>514</v>
      </c>
      <c r="C63" s="365" t="s">
        <v>1146</v>
      </c>
      <c r="D63" s="387"/>
      <c r="E63" s="289"/>
      <c r="F63" s="290"/>
      <c r="G63" s="290"/>
      <c r="H63" s="291"/>
      <c r="I63" s="291"/>
      <c r="J63" s="291"/>
      <c r="K63" s="290"/>
      <c r="L63" s="290"/>
      <c r="M63" s="290"/>
      <c r="N63" s="290"/>
      <c r="O63" s="291"/>
      <c r="P63" s="597"/>
      <c r="R63" s="257"/>
      <c r="S63" s="256"/>
      <c r="T63" s="256"/>
      <c r="U63" s="258"/>
      <c r="V63" s="256"/>
    </row>
    <row r="64" spans="1:22" x14ac:dyDescent="0.2">
      <c r="A64" s="135">
        <f t="shared" si="4"/>
        <v>57</v>
      </c>
      <c r="B64" s="378" t="s">
        <v>515</v>
      </c>
      <c r="C64" s="383" t="s">
        <v>1147</v>
      </c>
      <c r="D64" s="387"/>
      <c r="E64" s="289"/>
      <c r="F64" s="290"/>
      <c r="G64" s="290"/>
      <c r="H64" s="291"/>
      <c r="I64" s="291"/>
      <c r="J64" s="291"/>
      <c r="K64" s="290"/>
      <c r="L64" s="290"/>
      <c r="M64" s="290"/>
      <c r="N64" s="290"/>
      <c r="O64" s="291"/>
      <c r="P64" s="597"/>
      <c r="R64" s="257"/>
      <c r="S64" s="256"/>
      <c r="T64" s="256"/>
      <c r="U64" s="258"/>
      <c r="V64" s="256"/>
    </row>
    <row r="65" spans="1:22" x14ac:dyDescent="0.2">
      <c r="A65" s="135">
        <f t="shared" si="4"/>
        <v>58</v>
      </c>
      <c r="B65" s="160" t="s">
        <v>516</v>
      </c>
      <c r="C65" s="365" t="s">
        <v>1148</v>
      </c>
      <c r="D65" s="387"/>
      <c r="E65" s="289"/>
      <c r="F65" s="290"/>
      <c r="G65" s="290"/>
      <c r="H65" s="291"/>
      <c r="I65" s="291"/>
      <c r="J65" s="291"/>
      <c r="K65" s="290"/>
      <c r="L65" s="290"/>
      <c r="M65" s="290"/>
      <c r="N65" s="290"/>
      <c r="O65" s="291"/>
      <c r="P65" s="597"/>
      <c r="R65" s="257"/>
      <c r="S65" s="256"/>
      <c r="T65" s="256"/>
      <c r="U65" s="258"/>
      <c r="V65" s="256"/>
    </row>
    <row r="66" spans="1:22" x14ac:dyDescent="0.2">
      <c r="A66" s="135">
        <f t="shared" si="4"/>
        <v>59</v>
      </c>
      <c r="B66" s="136" t="s">
        <v>517</v>
      </c>
      <c r="C66" s="365" t="s">
        <v>1767</v>
      </c>
      <c r="D66" s="387"/>
      <c r="E66" s="289"/>
      <c r="F66" s="290"/>
      <c r="G66" s="290"/>
      <c r="H66" s="291"/>
      <c r="I66" s="291"/>
      <c r="J66" s="291"/>
      <c r="K66" s="290"/>
      <c r="L66" s="290"/>
      <c r="M66" s="290"/>
      <c r="N66" s="290"/>
      <c r="O66" s="291"/>
      <c r="P66" s="597"/>
      <c r="R66" s="257"/>
      <c r="S66" s="256"/>
      <c r="T66" s="256"/>
      <c r="U66" s="258"/>
      <c r="V66" s="256"/>
    </row>
    <row r="67" spans="1:22" x14ac:dyDescent="0.2">
      <c r="A67" s="135">
        <f t="shared" si="4"/>
        <v>60</v>
      </c>
      <c r="B67" s="160" t="s">
        <v>260</v>
      </c>
      <c r="C67" s="365" t="s">
        <v>1149</v>
      </c>
      <c r="D67" s="387"/>
      <c r="E67" s="289"/>
      <c r="F67" s="290"/>
      <c r="G67" s="290"/>
      <c r="H67" s="291"/>
      <c r="I67" s="291"/>
      <c r="J67" s="291"/>
      <c r="K67" s="290"/>
      <c r="L67" s="290"/>
      <c r="M67" s="290"/>
      <c r="N67" s="290"/>
      <c r="O67" s="291"/>
      <c r="P67" s="597"/>
      <c r="R67" s="257"/>
      <c r="S67" s="256"/>
      <c r="T67" s="256"/>
      <c r="U67" s="258"/>
      <c r="V67" s="256"/>
    </row>
    <row r="68" spans="1:22" x14ac:dyDescent="0.2">
      <c r="A68" s="135">
        <f t="shared" si="4"/>
        <v>61</v>
      </c>
      <c r="B68" s="160" t="s">
        <v>261</v>
      </c>
      <c r="C68" s="365" t="s">
        <v>1150</v>
      </c>
      <c r="D68" s="387"/>
      <c r="E68" s="289"/>
      <c r="F68" s="290"/>
      <c r="G68" s="290"/>
      <c r="H68" s="291"/>
      <c r="I68" s="291"/>
      <c r="J68" s="291"/>
      <c r="K68" s="290"/>
      <c r="L68" s="290"/>
      <c r="M68" s="290"/>
      <c r="N68" s="290"/>
      <c r="O68" s="291"/>
      <c r="P68" s="597"/>
      <c r="R68" s="257"/>
      <c r="S68" s="256"/>
      <c r="T68" s="256"/>
      <c r="U68" s="258"/>
      <c r="V68" s="256"/>
    </row>
    <row r="69" spans="1:22" x14ac:dyDescent="0.2">
      <c r="A69" s="135">
        <f t="shared" si="4"/>
        <v>62</v>
      </c>
      <c r="B69" s="160" t="s">
        <v>262</v>
      </c>
      <c r="C69" s="365" t="s">
        <v>1151</v>
      </c>
      <c r="D69" s="387"/>
      <c r="E69" s="289"/>
      <c r="F69" s="290"/>
      <c r="G69" s="290"/>
      <c r="H69" s="291"/>
      <c r="I69" s="291"/>
      <c r="J69" s="291"/>
      <c r="K69" s="290"/>
      <c r="L69" s="290"/>
      <c r="M69" s="290"/>
      <c r="N69" s="290"/>
      <c r="O69" s="291"/>
      <c r="P69" s="597"/>
      <c r="R69" s="257"/>
      <c r="S69" s="256"/>
      <c r="T69" s="256"/>
      <c r="U69" s="258"/>
      <c r="V69" s="256"/>
    </row>
    <row r="70" spans="1:22" x14ac:dyDescent="0.2">
      <c r="A70" s="135">
        <f t="shared" si="4"/>
        <v>63</v>
      </c>
      <c r="B70" s="160" t="s">
        <v>263</v>
      </c>
      <c r="C70" s="365" t="s">
        <v>1152</v>
      </c>
      <c r="D70" s="387"/>
      <c r="E70" s="289"/>
      <c r="F70" s="290"/>
      <c r="G70" s="290"/>
      <c r="H70" s="291"/>
      <c r="I70" s="291"/>
      <c r="J70" s="291"/>
      <c r="K70" s="290"/>
      <c r="L70" s="290"/>
      <c r="M70" s="290"/>
      <c r="N70" s="290"/>
      <c r="O70" s="291"/>
      <c r="P70" s="597"/>
      <c r="R70" s="257"/>
      <c r="S70" s="256"/>
      <c r="T70" s="256"/>
      <c r="U70" s="258"/>
      <c r="V70" s="256"/>
    </row>
    <row r="71" spans="1:22" x14ac:dyDescent="0.2">
      <c r="A71" s="135">
        <f t="shared" si="4"/>
        <v>64</v>
      </c>
      <c r="B71" s="160" t="s">
        <v>264</v>
      </c>
      <c r="C71" s="365" t="s">
        <v>1153</v>
      </c>
      <c r="D71" s="387"/>
      <c r="E71" s="289"/>
      <c r="F71" s="290"/>
      <c r="G71" s="290"/>
      <c r="H71" s="291"/>
      <c r="I71" s="291"/>
      <c r="J71" s="291"/>
      <c r="K71" s="290"/>
      <c r="L71" s="290"/>
      <c r="M71" s="290"/>
      <c r="N71" s="290"/>
      <c r="O71" s="291"/>
      <c r="P71" s="597"/>
      <c r="R71" s="257"/>
      <c r="S71" s="256"/>
      <c r="T71" s="256"/>
      <c r="U71" s="258"/>
      <c r="V71" s="256"/>
    </row>
    <row r="72" spans="1:22" x14ac:dyDescent="0.2">
      <c r="A72" s="264">
        <f t="shared" si="4"/>
        <v>65</v>
      </c>
      <c r="B72" s="248" t="s">
        <v>445</v>
      </c>
      <c r="C72" s="373" t="s">
        <v>1768</v>
      </c>
      <c r="D72" s="387"/>
      <c r="E72" s="289"/>
      <c r="F72" s="290"/>
      <c r="G72" s="290"/>
      <c r="H72" s="291"/>
      <c r="I72" s="291"/>
      <c r="J72" s="291"/>
      <c r="K72" s="290"/>
      <c r="L72" s="290"/>
      <c r="M72" s="290"/>
      <c r="N72" s="290"/>
      <c r="O72" s="291"/>
      <c r="P72" s="597"/>
      <c r="R72" s="257"/>
      <c r="S72" s="256"/>
      <c r="T72" s="256"/>
      <c r="U72" s="258"/>
      <c r="V72" s="256"/>
    </row>
    <row r="73" spans="1:22" x14ac:dyDescent="0.2">
      <c r="A73" s="135">
        <f t="shared" si="4"/>
        <v>66</v>
      </c>
      <c r="B73" s="160" t="s">
        <v>1784</v>
      </c>
      <c r="C73" s="365"/>
      <c r="D73" s="387"/>
      <c r="E73" s="289"/>
      <c r="F73" s="290"/>
      <c r="G73" s="290"/>
      <c r="H73" s="291"/>
      <c r="I73" s="291"/>
      <c r="J73" s="291"/>
      <c r="K73" s="290"/>
      <c r="L73" s="290"/>
      <c r="M73" s="290"/>
      <c r="N73" s="290"/>
      <c r="O73" s="291"/>
      <c r="P73" s="597"/>
      <c r="R73" s="257"/>
      <c r="S73" s="256"/>
      <c r="T73" s="256"/>
      <c r="U73" s="258"/>
      <c r="V73" s="256"/>
    </row>
    <row r="74" spans="1:22" x14ac:dyDescent="0.2">
      <c r="A74" s="135">
        <f t="shared" si="4"/>
        <v>67</v>
      </c>
      <c r="B74" s="160" t="s">
        <v>1785</v>
      </c>
      <c r="C74" s="365"/>
      <c r="D74" s="387"/>
      <c r="E74" s="289"/>
      <c r="F74" s="290"/>
      <c r="G74" s="290"/>
      <c r="H74" s="291"/>
      <c r="I74" s="291"/>
      <c r="J74" s="291"/>
      <c r="K74" s="290"/>
      <c r="L74" s="290"/>
      <c r="M74" s="290"/>
      <c r="N74" s="290"/>
      <c r="O74" s="291"/>
      <c r="P74" s="597"/>
      <c r="R74" s="257"/>
      <c r="S74" s="256"/>
      <c r="T74" s="256"/>
      <c r="U74" s="258"/>
      <c r="V74" s="256"/>
    </row>
    <row r="75" spans="1:22" x14ac:dyDescent="0.2">
      <c r="A75" s="250">
        <f t="shared" si="4"/>
        <v>68</v>
      </c>
      <c r="B75" s="259" t="s">
        <v>375</v>
      </c>
      <c r="C75" s="380" t="s">
        <v>1820</v>
      </c>
      <c r="D75" s="261">
        <f t="shared" ref="D75:P75" si="5">SUM(D47:D72)</f>
        <v>0</v>
      </c>
      <c r="E75" s="261">
        <f t="shared" si="5"/>
        <v>0</v>
      </c>
      <c r="F75" s="261">
        <f t="shared" si="5"/>
        <v>0</v>
      </c>
      <c r="G75" s="261">
        <f t="shared" si="5"/>
        <v>0</v>
      </c>
      <c r="H75" s="265">
        <f t="shared" si="5"/>
        <v>0</v>
      </c>
      <c r="I75" s="265">
        <f t="shared" si="5"/>
        <v>0</v>
      </c>
      <c r="J75" s="265">
        <f t="shared" si="5"/>
        <v>0</v>
      </c>
      <c r="K75" s="262">
        <f t="shared" si="5"/>
        <v>0</v>
      </c>
      <c r="L75" s="262">
        <f t="shared" si="5"/>
        <v>0</v>
      </c>
      <c r="M75" s="262">
        <f t="shared" si="5"/>
        <v>0</v>
      </c>
      <c r="N75" s="262">
        <f t="shared" si="5"/>
        <v>0</v>
      </c>
      <c r="O75" s="262">
        <f t="shared" si="5"/>
        <v>0</v>
      </c>
      <c r="P75" s="598">
        <f t="shared" si="5"/>
        <v>0</v>
      </c>
      <c r="R75" s="257"/>
      <c r="S75" s="256"/>
      <c r="T75" s="256"/>
      <c r="U75" s="258"/>
      <c r="V75" s="256"/>
    </row>
    <row r="76" spans="1:22" x14ac:dyDescent="0.2">
      <c r="A76" s="264">
        <f t="shared" ref="A76:A144" si="6">A75+1</f>
        <v>69</v>
      </c>
      <c r="B76" s="734" t="s">
        <v>287</v>
      </c>
      <c r="C76" s="366" t="s">
        <v>1154</v>
      </c>
      <c r="D76" s="389"/>
      <c r="E76" s="292"/>
      <c r="F76" s="293"/>
      <c r="G76" s="293"/>
      <c r="H76" s="294"/>
      <c r="I76" s="294"/>
      <c r="J76" s="294"/>
      <c r="K76" s="293"/>
      <c r="L76" s="293"/>
      <c r="M76" s="293"/>
      <c r="N76" s="293"/>
      <c r="O76" s="294"/>
      <c r="P76" s="599"/>
      <c r="R76" s="256"/>
      <c r="S76" s="256"/>
      <c r="T76" s="256"/>
      <c r="U76" s="256"/>
      <c r="V76" s="256"/>
    </row>
    <row r="77" spans="1:22" x14ac:dyDescent="0.2">
      <c r="A77" s="249">
        <f t="shared" si="6"/>
        <v>70</v>
      </c>
      <c r="B77" s="185" t="s">
        <v>286</v>
      </c>
      <c r="C77" s="366" t="s">
        <v>1155</v>
      </c>
      <c r="D77" s="389"/>
      <c r="E77" s="292"/>
      <c r="F77" s="293"/>
      <c r="G77" s="293"/>
      <c r="H77" s="294"/>
      <c r="I77" s="294"/>
      <c r="J77" s="294"/>
      <c r="K77" s="293"/>
      <c r="L77" s="293"/>
      <c r="M77" s="293"/>
      <c r="N77" s="293"/>
      <c r="O77" s="294"/>
      <c r="P77" s="599"/>
      <c r="R77" s="256"/>
      <c r="S77" s="256"/>
      <c r="T77" s="256"/>
      <c r="U77" s="256"/>
      <c r="V77" s="256"/>
    </row>
    <row r="78" spans="1:22" x14ac:dyDescent="0.2">
      <c r="A78" s="142">
        <f t="shared" si="6"/>
        <v>71</v>
      </c>
      <c r="B78" s="160" t="s">
        <v>288</v>
      </c>
      <c r="C78" s="366" t="s">
        <v>1769</v>
      </c>
      <c r="D78" s="389"/>
      <c r="E78" s="292"/>
      <c r="F78" s="293"/>
      <c r="G78" s="293"/>
      <c r="H78" s="294"/>
      <c r="I78" s="294"/>
      <c r="J78" s="294"/>
      <c r="K78" s="293"/>
      <c r="L78" s="293"/>
      <c r="M78" s="293"/>
      <c r="N78" s="293"/>
      <c r="O78" s="294"/>
      <c r="P78" s="599"/>
    </row>
    <row r="79" spans="1:22" x14ac:dyDescent="0.2">
      <c r="A79" s="142">
        <f t="shared" si="6"/>
        <v>72</v>
      </c>
      <c r="B79" s="160" t="s">
        <v>376</v>
      </c>
      <c r="C79" s="366" t="s">
        <v>1156</v>
      </c>
      <c r="D79" s="389"/>
      <c r="E79" s="292"/>
      <c r="F79" s="293"/>
      <c r="G79" s="293"/>
      <c r="H79" s="294"/>
      <c r="I79" s="294"/>
      <c r="J79" s="294"/>
      <c r="K79" s="293"/>
      <c r="L79" s="293"/>
      <c r="M79" s="293"/>
      <c r="N79" s="293"/>
      <c r="O79" s="294"/>
      <c r="P79" s="599"/>
    </row>
    <row r="80" spans="1:22" x14ac:dyDescent="0.2">
      <c r="A80" s="142">
        <f t="shared" si="6"/>
        <v>73</v>
      </c>
      <c r="B80" s="136" t="s">
        <v>440</v>
      </c>
      <c r="C80" s="366" t="s">
        <v>1157</v>
      </c>
      <c r="D80" s="389"/>
      <c r="E80" s="292"/>
      <c r="F80" s="293"/>
      <c r="G80" s="293"/>
      <c r="H80" s="294"/>
      <c r="I80" s="294"/>
      <c r="J80" s="294"/>
      <c r="K80" s="293"/>
      <c r="L80" s="293"/>
      <c r="M80" s="293"/>
      <c r="N80" s="293"/>
      <c r="O80" s="294"/>
      <c r="P80" s="599"/>
    </row>
    <row r="81" spans="1:22" x14ac:dyDescent="0.2">
      <c r="A81" s="142">
        <f t="shared" si="6"/>
        <v>74</v>
      </c>
      <c r="B81" s="136" t="s">
        <v>439</v>
      </c>
      <c r="C81" s="366" t="s">
        <v>1158</v>
      </c>
      <c r="D81" s="389"/>
      <c r="E81" s="292"/>
      <c r="F81" s="293"/>
      <c r="G81" s="293"/>
      <c r="H81" s="294"/>
      <c r="I81" s="294"/>
      <c r="J81" s="294"/>
      <c r="K81" s="293"/>
      <c r="L81" s="293"/>
      <c r="M81" s="293"/>
      <c r="N81" s="293"/>
      <c r="O81" s="294"/>
      <c r="P81" s="599"/>
    </row>
    <row r="82" spans="1:22" x14ac:dyDescent="0.2">
      <c r="A82" s="142">
        <f t="shared" si="6"/>
        <v>75</v>
      </c>
      <c r="B82" s="136" t="s">
        <v>377</v>
      </c>
      <c r="C82" s="366" t="s">
        <v>1159</v>
      </c>
      <c r="D82" s="389"/>
      <c r="E82" s="292"/>
      <c r="F82" s="293"/>
      <c r="G82" s="293"/>
      <c r="H82" s="294"/>
      <c r="I82" s="294"/>
      <c r="J82" s="294"/>
      <c r="K82" s="293"/>
      <c r="L82" s="293"/>
      <c r="M82" s="293"/>
      <c r="N82" s="293"/>
      <c r="O82" s="294"/>
      <c r="P82" s="599"/>
    </row>
    <row r="83" spans="1:22" s="171" customFormat="1" x14ac:dyDescent="0.2">
      <c r="A83" s="142">
        <f t="shared" si="6"/>
        <v>76</v>
      </c>
      <c r="B83" s="136" t="s">
        <v>518</v>
      </c>
      <c r="C83" s="366" t="s">
        <v>1770</v>
      </c>
      <c r="D83" s="389"/>
      <c r="E83" s="292"/>
      <c r="F83" s="293"/>
      <c r="G83" s="293"/>
      <c r="H83" s="294"/>
      <c r="I83" s="294"/>
      <c r="J83" s="294"/>
      <c r="K83" s="293"/>
      <c r="L83" s="293"/>
      <c r="M83" s="293"/>
      <c r="N83" s="293"/>
      <c r="O83" s="294"/>
      <c r="P83" s="599"/>
      <c r="R83" s="256"/>
      <c r="S83" s="256"/>
      <c r="T83" s="256"/>
      <c r="U83" s="256"/>
      <c r="V83" s="256"/>
    </row>
    <row r="84" spans="1:22" x14ac:dyDescent="0.2">
      <c r="A84" s="142">
        <f t="shared" si="6"/>
        <v>77</v>
      </c>
      <c r="B84" s="160" t="s">
        <v>519</v>
      </c>
      <c r="C84" s="366" t="s">
        <v>1160</v>
      </c>
      <c r="D84" s="389"/>
      <c r="E84" s="292"/>
      <c r="F84" s="293"/>
      <c r="G84" s="293"/>
      <c r="H84" s="294"/>
      <c r="I84" s="294"/>
      <c r="J84" s="294"/>
      <c r="K84" s="293"/>
      <c r="L84" s="293"/>
      <c r="M84" s="293"/>
      <c r="N84" s="293"/>
      <c r="O84" s="294"/>
      <c r="P84" s="599"/>
    </row>
    <row r="85" spans="1:22" x14ac:dyDescent="0.2">
      <c r="A85" s="142">
        <f t="shared" si="6"/>
        <v>78</v>
      </c>
      <c r="B85" s="160" t="s">
        <v>378</v>
      </c>
      <c r="C85" s="366" t="s">
        <v>1161</v>
      </c>
      <c r="D85" s="389"/>
      <c r="E85" s="292"/>
      <c r="F85" s="293"/>
      <c r="G85" s="293"/>
      <c r="H85" s="294"/>
      <c r="I85" s="294"/>
      <c r="J85" s="294"/>
      <c r="K85" s="293"/>
      <c r="L85" s="293"/>
      <c r="M85" s="293"/>
      <c r="N85" s="293"/>
      <c r="O85" s="294"/>
      <c r="P85" s="599"/>
    </row>
    <row r="86" spans="1:22" x14ac:dyDescent="0.2">
      <c r="A86" s="142">
        <f t="shared" si="6"/>
        <v>79</v>
      </c>
      <c r="B86" s="136" t="s">
        <v>379</v>
      </c>
      <c r="C86" s="366" t="s">
        <v>1162</v>
      </c>
      <c r="D86" s="389"/>
      <c r="E86" s="292"/>
      <c r="F86" s="293"/>
      <c r="G86" s="293"/>
      <c r="H86" s="294"/>
      <c r="I86" s="294"/>
      <c r="J86" s="294"/>
      <c r="K86" s="293"/>
      <c r="L86" s="293"/>
      <c r="M86" s="293"/>
      <c r="N86" s="293"/>
      <c r="O86" s="294"/>
      <c r="P86" s="599"/>
    </row>
    <row r="87" spans="1:22" x14ac:dyDescent="0.2">
      <c r="A87" s="142">
        <f t="shared" si="6"/>
        <v>80</v>
      </c>
      <c r="B87" s="136" t="s">
        <v>380</v>
      </c>
      <c r="C87" s="366" t="s">
        <v>1757</v>
      </c>
      <c r="D87" s="389"/>
      <c r="E87" s="292"/>
      <c r="F87" s="293"/>
      <c r="G87" s="293"/>
      <c r="H87" s="294"/>
      <c r="I87" s="294"/>
      <c r="J87" s="294"/>
      <c r="K87" s="293"/>
      <c r="L87" s="293"/>
      <c r="M87" s="293"/>
      <c r="N87" s="293"/>
      <c r="O87" s="294"/>
      <c r="P87" s="599"/>
    </row>
    <row r="88" spans="1:22" x14ac:dyDescent="0.2">
      <c r="A88" s="142">
        <f t="shared" si="6"/>
        <v>81</v>
      </c>
      <c r="B88" s="160" t="s">
        <v>381</v>
      </c>
      <c r="C88" s="383" t="s">
        <v>1163</v>
      </c>
      <c r="D88" s="389"/>
      <c r="E88" s="292"/>
      <c r="F88" s="293"/>
      <c r="G88" s="293"/>
      <c r="H88" s="294"/>
      <c r="I88" s="294"/>
      <c r="J88" s="294"/>
      <c r="K88" s="293"/>
      <c r="L88" s="293"/>
      <c r="M88" s="293"/>
      <c r="N88" s="293"/>
      <c r="O88" s="294"/>
      <c r="P88" s="599"/>
    </row>
    <row r="89" spans="1:22" s="171" customFormat="1" x14ac:dyDescent="0.2">
      <c r="A89" s="142">
        <f t="shared" si="6"/>
        <v>82</v>
      </c>
      <c r="B89" s="160" t="s">
        <v>382</v>
      </c>
      <c r="C89" s="366" t="s">
        <v>1164</v>
      </c>
      <c r="D89" s="389"/>
      <c r="E89" s="292"/>
      <c r="F89" s="293"/>
      <c r="G89" s="293"/>
      <c r="H89" s="294"/>
      <c r="I89" s="294"/>
      <c r="J89" s="294"/>
      <c r="K89" s="293"/>
      <c r="L89" s="293"/>
      <c r="M89" s="293"/>
      <c r="N89" s="293"/>
      <c r="O89" s="294"/>
      <c r="P89" s="599"/>
      <c r="R89" s="256"/>
      <c r="S89" s="256"/>
      <c r="T89" s="256"/>
      <c r="U89" s="256"/>
      <c r="V89" s="256"/>
    </row>
    <row r="90" spans="1:22" x14ac:dyDescent="0.2">
      <c r="A90" s="142">
        <f t="shared" si="6"/>
        <v>83</v>
      </c>
      <c r="B90" s="160" t="s">
        <v>383</v>
      </c>
      <c r="C90" s="366" t="s">
        <v>1165</v>
      </c>
      <c r="D90" s="389"/>
      <c r="E90" s="292"/>
      <c r="F90" s="293"/>
      <c r="G90" s="293"/>
      <c r="H90" s="294"/>
      <c r="I90" s="294"/>
      <c r="J90" s="294"/>
      <c r="K90" s="293"/>
      <c r="L90" s="293"/>
      <c r="M90" s="293"/>
      <c r="N90" s="293"/>
      <c r="O90" s="294"/>
      <c r="P90" s="599"/>
    </row>
    <row r="91" spans="1:22" x14ac:dyDescent="0.2">
      <c r="A91" s="142">
        <f t="shared" si="6"/>
        <v>84</v>
      </c>
      <c r="B91" s="160" t="s">
        <v>520</v>
      </c>
      <c r="C91" s="366" t="s">
        <v>1166</v>
      </c>
      <c r="D91" s="389"/>
      <c r="E91" s="292"/>
      <c r="F91" s="293"/>
      <c r="G91" s="293"/>
      <c r="H91" s="294"/>
      <c r="I91" s="294"/>
      <c r="J91" s="294"/>
      <c r="K91" s="293"/>
      <c r="L91" s="293"/>
      <c r="M91" s="293"/>
      <c r="N91" s="293"/>
      <c r="O91" s="294"/>
      <c r="P91" s="599"/>
    </row>
    <row r="92" spans="1:22" x14ac:dyDescent="0.2">
      <c r="A92" s="142">
        <f t="shared" si="6"/>
        <v>85</v>
      </c>
      <c r="B92" s="160" t="s">
        <v>384</v>
      </c>
      <c r="C92" s="366" t="s">
        <v>1167</v>
      </c>
      <c r="D92" s="389"/>
      <c r="E92" s="292"/>
      <c r="F92" s="293"/>
      <c r="G92" s="293"/>
      <c r="H92" s="294"/>
      <c r="I92" s="294"/>
      <c r="J92" s="294"/>
      <c r="K92" s="293"/>
      <c r="L92" s="293"/>
      <c r="M92" s="293"/>
      <c r="N92" s="293"/>
      <c r="O92" s="294"/>
      <c r="P92" s="599"/>
    </row>
    <row r="93" spans="1:22" x14ac:dyDescent="0.2">
      <c r="A93" s="142">
        <f t="shared" si="6"/>
        <v>86</v>
      </c>
      <c r="B93" s="160" t="s">
        <v>521</v>
      </c>
      <c r="C93" s="366" t="s">
        <v>1758</v>
      </c>
      <c r="D93" s="389"/>
      <c r="E93" s="292"/>
      <c r="F93" s="293"/>
      <c r="G93" s="293"/>
      <c r="H93" s="294"/>
      <c r="I93" s="294"/>
      <c r="J93" s="294"/>
      <c r="K93" s="293"/>
      <c r="L93" s="293"/>
      <c r="M93" s="293"/>
      <c r="N93" s="293"/>
      <c r="O93" s="294"/>
      <c r="P93" s="599"/>
    </row>
    <row r="94" spans="1:22" x14ac:dyDescent="0.2">
      <c r="A94" s="142">
        <f t="shared" si="6"/>
        <v>87</v>
      </c>
      <c r="B94" s="160" t="s">
        <v>1784</v>
      </c>
      <c r="C94" s="366"/>
      <c r="D94" s="389"/>
      <c r="E94" s="292"/>
      <c r="F94" s="293"/>
      <c r="G94" s="293"/>
      <c r="H94" s="294"/>
      <c r="I94" s="294"/>
      <c r="J94" s="294"/>
      <c r="K94" s="293"/>
      <c r="L94" s="293"/>
      <c r="M94" s="293"/>
      <c r="N94" s="293"/>
      <c r="O94" s="294"/>
      <c r="P94" s="599"/>
    </row>
    <row r="95" spans="1:22" x14ac:dyDescent="0.2">
      <c r="A95" s="142">
        <f t="shared" si="6"/>
        <v>88</v>
      </c>
      <c r="B95" s="160" t="s">
        <v>1785</v>
      </c>
      <c r="C95" s="366"/>
      <c r="D95" s="389"/>
      <c r="E95" s="292"/>
      <c r="F95" s="293"/>
      <c r="G95" s="293"/>
      <c r="H95" s="294"/>
      <c r="I95" s="294"/>
      <c r="J95" s="294"/>
      <c r="K95" s="293"/>
      <c r="L95" s="293"/>
      <c r="M95" s="293"/>
      <c r="N95" s="293"/>
      <c r="O95" s="294"/>
      <c r="P95" s="599"/>
    </row>
    <row r="96" spans="1:22" x14ac:dyDescent="0.2">
      <c r="A96" s="250">
        <f t="shared" si="6"/>
        <v>89</v>
      </c>
      <c r="B96" s="251" t="s">
        <v>1814</v>
      </c>
      <c r="C96" s="368" t="s">
        <v>1821</v>
      </c>
      <c r="D96" s="386"/>
      <c r="E96" s="252"/>
      <c r="F96" s="252"/>
      <c r="G96" s="252"/>
      <c r="H96" s="252"/>
      <c r="I96" s="252"/>
      <c r="J96" s="252"/>
      <c r="K96" s="252"/>
      <c r="L96" s="252"/>
      <c r="M96" s="252"/>
      <c r="N96" s="252"/>
      <c r="O96" s="254"/>
      <c r="P96" s="595"/>
    </row>
    <row r="97" spans="1:22" x14ac:dyDescent="0.2">
      <c r="A97" s="250">
        <f t="shared" si="6"/>
        <v>90</v>
      </c>
      <c r="B97" s="251" t="s">
        <v>385</v>
      </c>
      <c r="C97" s="368" t="s">
        <v>1822</v>
      </c>
      <c r="D97" s="386">
        <f t="shared" ref="D97:P97" si="7">SUM(D75:D93)</f>
        <v>0</v>
      </c>
      <c r="E97" s="252">
        <f t="shared" si="7"/>
        <v>0</v>
      </c>
      <c r="F97" s="252">
        <f t="shared" si="7"/>
        <v>0</v>
      </c>
      <c r="G97" s="252">
        <f t="shared" si="7"/>
        <v>0</v>
      </c>
      <c r="H97" s="252">
        <f t="shared" si="7"/>
        <v>0</v>
      </c>
      <c r="I97" s="252">
        <f t="shared" si="7"/>
        <v>0</v>
      </c>
      <c r="J97" s="252">
        <f t="shared" si="7"/>
        <v>0</v>
      </c>
      <c r="K97" s="252">
        <f t="shared" si="7"/>
        <v>0</v>
      </c>
      <c r="L97" s="252">
        <f t="shared" si="7"/>
        <v>0</v>
      </c>
      <c r="M97" s="252">
        <f t="shared" si="7"/>
        <v>0</v>
      </c>
      <c r="N97" s="252">
        <f t="shared" si="7"/>
        <v>0</v>
      </c>
      <c r="O97" s="254">
        <f t="shared" si="7"/>
        <v>0</v>
      </c>
      <c r="P97" s="595">
        <f t="shared" si="7"/>
        <v>0</v>
      </c>
    </row>
    <row r="98" spans="1:22" s="171" customFormat="1" x14ac:dyDescent="0.2">
      <c r="A98" s="264">
        <f t="shared" si="6"/>
        <v>91</v>
      </c>
      <c r="B98" s="136" t="s">
        <v>136</v>
      </c>
      <c r="C98" s="365" t="s">
        <v>1169</v>
      </c>
      <c r="D98" s="385"/>
      <c r="E98" s="286"/>
      <c r="F98" s="287"/>
      <c r="G98" s="287"/>
      <c r="H98" s="288"/>
      <c r="I98" s="288"/>
      <c r="J98" s="288"/>
      <c r="K98" s="287"/>
      <c r="L98" s="287"/>
      <c r="M98" s="287"/>
      <c r="N98" s="287"/>
      <c r="O98" s="288"/>
      <c r="P98" s="594"/>
      <c r="R98" s="256"/>
      <c r="S98" s="256"/>
      <c r="T98" s="256"/>
      <c r="U98" s="256"/>
      <c r="V98" s="256"/>
    </row>
    <row r="99" spans="1:22" x14ac:dyDescent="0.2">
      <c r="A99" s="249">
        <f t="shared" si="6"/>
        <v>92</v>
      </c>
      <c r="B99" s="160" t="s">
        <v>386</v>
      </c>
      <c r="C99" s="365" t="s">
        <v>1170</v>
      </c>
      <c r="D99" s="385"/>
      <c r="E99" s="286"/>
      <c r="F99" s="287"/>
      <c r="G99" s="287"/>
      <c r="H99" s="288"/>
      <c r="I99" s="288"/>
      <c r="J99" s="288"/>
      <c r="K99" s="287"/>
      <c r="L99" s="287"/>
      <c r="M99" s="287"/>
      <c r="N99" s="287"/>
      <c r="O99" s="288"/>
      <c r="P99" s="594"/>
    </row>
    <row r="100" spans="1:22" x14ac:dyDescent="0.2">
      <c r="A100" s="267">
        <f t="shared" si="6"/>
        <v>93</v>
      </c>
      <c r="B100" s="736" t="s">
        <v>289</v>
      </c>
      <c r="C100" s="365" t="s">
        <v>1171</v>
      </c>
      <c r="D100" s="385"/>
      <c r="E100" s="286"/>
      <c r="F100" s="287"/>
      <c r="G100" s="287"/>
      <c r="H100" s="288"/>
      <c r="I100" s="288"/>
      <c r="J100" s="288"/>
      <c r="K100" s="287"/>
      <c r="L100" s="287"/>
      <c r="M100" s="287"/>
      <c r="N100" s="287"/>
      <c r="O100" s="288"/>
      <c r="P100" s="594"/>
    </row>
    <row r="101" spans="1:22" x14ac:dyDescent="0.2">
      <c r="A101" s="267">
        <f t="shared" si="6"/>
        <v>94</v>
      </c>
      <c r="B101" s="736" t="s">
        <v>387</v>
      </c>
      <c r="C101" s="365" t="s">
        <v>1172</v>
      </c>
      <c r="D101" s="385"/>
      <c r="E101" s="286"/>
      <c r="F101" s="287"/>
      <c r="G101" s="287"/>
      <c r="H101" s="288"/>
      <c r="I101" s="288"/>
      <c r="J101" s="288"/>
      <c r="K101" s="288"/>
      <c r="L101" s="287"/>
      <c r="M101" s="287"/>
      <c r="N101" s="287"/>
      <c r="O101" s="288"/>
      <c r="P101" s="594"/>
    </row>
    <row r="102" spans="1:22" x14ac:dyDescent="0.2">
      <c r="A102" s="267">
        <f t="shared" si="6"/>
        <v>95</v>
      </c>
      <c r="B102" s="736" t="s">
        <v>285</v>
      </c>
      <c r="C102" s="365" t="s">
        <v>1553</v>
      </c>
      <c r="D102" s="385"/>
      <c r="E102" s="286"/>
      <c r="F102" s="287"/>
      <c r="G102" s="287"/>
      <c r="H102" s="288"/>
      <c r="I102" s="288"/>
      <c r="J102" s="288"/>
      <c r="K102" s="288"/>
      <c r="L102" s="287"/>
      <c r="M102" s="287"/>
      <c r="N102" s="287"/>
      <c r="O102" s="288"/>
      <c r="P102" s="594"/>
    </row>
    <row r="103" spans="1:22" x14ac:dyDescent="0.2">
      <c r="A103" s="267">
        <f t="shared" si="6"/>
        <v>96</v>
      </c>
      <c r="B103" s="737" t="s">
        <v>1555</v>
      </c>
      <c r="C103" s="365" t="s">
        <v>1554</v>
      </c>
      <c r="D103" s="385"/>
      <c r="E103" s="286"/>
      <c r="F103" s="287"/>
      <c r="G103" s="287"/>
      <c r="H103" s="288"/>
      <c r="I103" s="288"/>
      <c r="J103" s="288"/>
      <c r="K103" s="288"/>
      <c r="L103" s="287"/>
      <c r="M103" s="287"/>
      <c r="N103" s="287"/>
      <c r="O103" s="288"/>
      <c r="P103" s="594"/>
    </row>
    <row r="104" spans="1:22" x14ac:dyDescent="0.2">
      <c r="A104" s="267">
        <f t="shared" si="6"/>
        <v>97</v>
      </c>
      <c r="B104" s="737" t="s">
        <v>388</v>
      </c>
      <c r="C104" s="797" t="s">
        <v>1173</v>
      </c>
      <c r="D104" s="385"/>
      <c r="E104" s="286"/>
      <c r="F104" s="287"/>
      <c r="G104" s="287"/>
      <c r="H104" s="288"/>
      <c r="I104" s="288"/>
      <c r="J104" s="288"/>
      <c r="K104" s="288"/>
      <c r="L104" s="287"/>
      <c r="M104" s="287"/>
      <c r="N104" s="287"/>
      <c r="O104" s="288"/>
      <c r="P104" s="594"/>
    </row>
    <row r="105" spans="1:22" s="171" customFormat="1" x14ac:dyDescent="0.2">
      <c r="A105" s="267">
        <f t="shared" si="6"/>
        <v>98</v>
      </c>
      <c r="B105" s="736" t="s">
        <v>389</v>
      </c>
      <c r="C105" s="797" t="s">
        <v>1174</v>
      </c>
      <c r="D105" s="385"/>
      <c r="E105" s="286"/>
      <c r="F105" s="287"/>
      <c r="G105" s="287"/>
      <c r="H105" s="288"/>
      <c r="I105" s="288"/>
      <c r="J105" s="288"/>
      <c r="K105" s="288"/>
      <c r="L105" s="287"/>
      <c r="M105" s="287"/>
      <c r="N105" s="287"/>
      <c r="O105" s="288"/>
      <c r="P105" s="594"/>
      <c r="R105" s="256"/>
      <c r="S105" s="256"/>
      <c r="T105" s="256"/>
      <c r="U105" s="256"/>
      <c r="V105" s="256"/>
    </row>
    <row r="106" spans="1:22" x14ac:dyDescent="0.2">
      <c r="A106" s="267">
        <f t="shared" si="6"/>
        <v>99</v>
      </c>
      <c r="B106" s="736" t="s">
        <v>317</v>
      </c>
      <c r="C106" s="797" t="s">
        <v>1175</v>
      </c>
      <c r="D106" s="385"/>
      <c r="E106" s="286"/>
      <c r="F106" s="287"/>
      <c r="G106" s="287"/>
      <c r="H106" s="288"/>
      <c r="I106" s="288"/>
      <c r="J106" s="288"/>
      <c r="K106" s="288"/>
      <c r="L106" s="287"/>
      <c r="M106" s="287"/>
      <c r="N106" s="287"/>
      <c r="O106" s="288"/>
      <c r="P106" s="594"/>
      <c r="R106" s="256"/>
      <c r="S106" s="256"/>
      <c r="T106" s="256"/>
      <c r="U106" s="256"/>
      <c r="V106" s="256"/>
    </row>
    <row r="107" spans="1:22" x14ac:dyDescent="0.2">
      <c r="A107" s="267">
        <f t="shared" si="6"/>
        <v>100</v>
      </c>
      <c r="B107" s="736" t="s">
        <v>390</v>
      </c>
      <c r="C107" s="797" t="s">
        <v>1176</v>
      </c>
      <c r="D107" s="385"/>
      <c r="E107" s="286"/>
      <c r="F107" s="287"/>
      <c r="G107" s="287"/>
      <c r="H107" s="288"/>
      <c r="I107" s="288"/>
      <c r="J107" s="288"/>
      <c r="K107" s="288"/>
      <c r="L107" s="287"/>
      <c r="M107" s="287"/>
      <c r="N107" s="287"/>
      <c r="O107" s="288"/>
      <c r="P107" s="594"/>
    </row>
    <row r="108" spans="1:22" x14ac:dyDescent="0.2">
      <c r="A108" s="267">
        <f t="shared" si="6"/>
        <v>101</v>
      </c>
      <c r="B108" s="736" t="s">
        <v>391</v>
      </c>
      <c r="C108" s="797" t="s">
        <v>1177</v>
      </c>
      <c r="D108" s="385"/>
      <c r="E108" s="286"/>
      <c r="F108" s="287"/>
      <c r="G108" s="287"/>
      <c r="H108" s="288"/>
      <c r="I108" s="288"/>
      <c r="J108" s="288"/>
      <c r="K108" s="288"/>
      <c r="L108" s="287"/>
      <c r="M108" s="287"/>
      <c r="N108" s="287"/>
      <c r="O108" s="288"/>
      <c r="P108" s="594"/>
    </row>
    <row r="109" spans="1:22" x14ac:dyDescent="0.2">
      <c r="A109" s="267">
        <f t="shared" si="6"/>
        <v>102</v>
      </c>
      <c r="B109" s="736" t="s">
        <v>392</v>
      </c>
      <c r="C109" s="797" t="s">
        <v>1178</v>
      </c>
      <c r="D109" s="385"/>
      <c r="E109" s="286"/>
      <c r="F109" s="287"/>
      <c r="G109" s="287"/>
      <c r="H109" s="288"/>
      <c r="I109" s="288"/>
      <c r="J109" s="288"/>
      <c r="K109" s="288"/>
      <c r="L109" s="287"/>
      <c r="M109" s="287"/>
      <c r="N109" s="287"/>
      <c r="O109" s="288"/>
      <c r="P109" s="594"/>
    </row>
    <row r="110" spans="1:22" x14ac:dyDescent="0.2">
      <c r="A110" s="267">
        <f t="shared" si="6"/>
        <v>103</v>
      </c>
      <c r="B110" s="738" t="s">
        <v>393</v>
      </c>
      <c r="C110" s="797" t="s">
        <v>1179</v>
      </c>
      <c r="D110" s="385"/>
      <c r="E110" s="286"/>
      <c r="F110" s="287"/>
      <c r="G110" s="287"/>
      <c r="H110" s="288"/>
      <c r="I110" s="288"/>
      <c r="J110" s="288"/>
      <c r="K110" s="288"/>
      <c r="L110" s="287"/>
      <c r="M110" s="287"/>
      <c r="N110" s="287"/>
      <c r="O110" s="288"/>
      <c r="P110" s="594"/>
    </row>
    <row r="111" spans="1:22" x14ac:dyDescent="0.2">
      <c r="A111" s="267">
        <f t="shared" si="6"/>
        <v>104</v>
      </c>
      <c r="B111" s="736" t="s">
        <v>394</v>
      </c>
      <c r="C111" s="797" t="s">
        <v>1180</v>
      </c>
      <c r="D111" s="387"/>
      <c r="E111" s="289"/>
      <c r="F111" s="290"/>
      <c r="G111" s="290"/>
      <c r="H111" s="291"/>
      <c r="I111" s="291"/>
      <c r="J111" s="291"/>
      <c r="K111" s="291"/>
      <c r="L111" s="290"/>
      <c r="M111" s="290"/>
      <c r="N111" s="290"/>
      <c r="O111" s="291"/>
      <c r="P111" s="597"/>
    </row>
    <row r="112" spans="1:22" x14ac:dyDescent="0.2">
      <c r="A112" s="267">
        <f t="shared" si="6"/>
        <v>105</v>
      </c>
      <c r="B112" s="736" t="s">
        <v>395</v>
      </c>
      <c r="C112" s="797" t="s">
        <v>1181</v>
      </c>
      <c r="D112" s="387"/>
      <c r="E112" s="289"/>
      <c r="F112" s="290"/>
      <c r="G112" s="290"/>
      <c r="H112" s="291"/>
      <c r="I112" s="291"/>
      <c r="J112" s="291"/>
      <c r="K112" s="291"/>
      <c r="L112" s="290"/>
      <c r="M112" s="290"/>
      <c r="N112" s="290"/>
      <c r="O112" s="291"/>
      <c r="P112" s="597"/>
    </row>
    <row r="113" spans="1:16" x14ac:dyDescent="0.2">
      <c r="A113" s="267">
        <f t="shared" si="6"/>
        <v>106</v>
      </c>
      <c r="B113" s="739" t="s">
        <v>396</v>
      </c>
      <c r="C113" s="797" t="s">
        <v>1182</v>
      </c>
      <c r="D113" s="387"/>
      <c r="E113" s="289"/>
      <c r="F113" s="290"/>
      <c r="G113" s="290"/>
      <c r="H113" s="291"/>
      <c r="I113" s="291"/>
      <c r="J113" s="291"/>
      <c r="K113" s="291"/>
      <c r="L113" s="290"/>
      <c r="M113" s="290"/>
      <c r="N113" s="290"/>
      <c r="O113" s="291"/>
      <c r="P113" s="597"/>
    </row>
    <row r="114" spans="1:16" x14ac:dyDescent="0.2">
      <c r="A114" s="267">
        <f t="shared" si="6"/>
        <v>107</v>
      </c>
      <c r="B114" s="736" t="s">
        <v>278</v>
      </c>
      <c r="C114" s="797" t="s">
        <v>1183</v>
      </c>
      <c r="D114" s="387"/>
      <c r="E114" s="289"/>
      <c r="F114" s="290"/>
      <c r="G114" s="290"/>
      <c r="H114" s="291"/>
      <c r="I114" s="291"/>
      <c r="J114" s="291"/>
      <c r="K114" s="291"/>
      <c r="L114" s="290"/>
      <c r="M114" s="290"/>
      <c r="N114" s="290"/>
      <c r="O114" s="291"/>
      <c r="P114" s="597"/>
    </row>
    <row r="115" spans="1:16" x14ac:dyDescent="0.2">
      <c r="A115" s="267">
        <f t="shared" si="6"/>
        <v>108</v>
      </c>
      <c r="B115" s="738" t="s">
        <v>279</v>
      </c>
      <c r="C115" s="797" t="s">
        <v>1184</v>
      </c>
      <c r="D115" s="387"/>
      <c r="E115" s="289"/>
      <c r="F115" s="290"/>
      <c r="G115" s="290"/>
      <c r="H115" s="291"/>
      <c r="I115" s="291"/>
      <c r="J115" s="291"/>
      <c r="K115" s="291"/>
      <c r="L115" s="290"/>
      <c r="M115" s="290"/>
      <c r="N115" s="290"/>
      <c r="O115" s="291"/>
      <c r="P115" s="597"/>
    </row>
    <row r="116" spans="1:16" x14ac:dyDescent="0.2">
      <c r="A116" s="267">
        <f t="shared" si="6"/>
        <v>109</v>
      </c>
      <c r="B116" s="736" t="s">
        <v>397</v>
      </c>
      <c r="C116" s="797" t="s">
        <v>1400</v>
      </c>
      <c r="D116" s="387"/>
      <c r="E116" s="289"/>
      <c r="F116" s="290"/>
      <c r="G116" s="290"/>
      <c r="H116" s="291"/>
      <c r="I116" s="291"/>
      <c r="J116" s="291"/>
      <c r="K116" s="291"/>
      <c r="L116" s="290"/>
      <c r="M116" s="290"/>
      <c r="N116" s="290"/>
      <c r="O116" s="291"/>
      <c r="P116" s="597"/>
    </row>
    <row r="117" spans="1:16" x14ac:dyDescent="0.2">
      <c r="A117" s="267">
        <f t="shared" si="6"/>
        <v>110</v>
      </c>
      <c r="B117" s="736" t="s">
        <v>1401</v>
      </c>
      <c r="C117" s="797">
        <v>6614</v>
      </c>
      <c r="D117" s="387"/>
      <c r="E117" s="289"/>
      <c r="F117" s="290"/>
      <c r="G117" s="290"/>
      <c r="H117" s="291"/>
      <c r="I117" s="291"/>
      <c r="J117" s="291"/>
      <c r="K117" s="291"/>
      <c r="L117" s="290"/>
      <c r="M117" s="290"/>
      <c r="N117" s="290"/>
      <c r="O117" s="291"/>
      <c r="P117" s="597"/>
    </row>
    <row r="118" spans="1:16" x14ac:dyDescent="0.2">
      <c r="A118" s="267">
        <f t="shared" si="6"/>
        <v>111</v>
      </c>
      <c r="B118" s="736" t="s">
        <v>1328</v>
      </c>
      <c r="C118" s="797">
        <v>6615</v>
      </c>
      <c r="D118" s="387"/>
      <c r="E118" s="289"/>
      <c r="F118" s="290"/>
      <c r="G118" s="290"/>
      <c r="H118" s="291"/>
      <c r="I118" s="291"/>
      <c r="J118" s="291"/>
      <c r="K118" s="291"/>
      <c r="L118" s="290"/>
      <c r="M118" s="290"/>
      <c r="N118" s="290"/>
      <c r="O118" s="291"/>
      <c r="P118" s="597"/>
    </row>
    <row r="119" spans="1:16" x14ac:dyDescent="0.2">
      <c r="A119" s="267">
        <f t="shared" si="6"/>
        <v>112</v>
      </c>
      <c r="B119" s="736" t="s">
        <v>1329</v>
      </c>
      <c r="C119" s="797">
        <v>6616</v>
      </c>
      <c r="D119" s="387"/>
      <c r="E119" s="289"/>
      <c r="F119" s="290"/>
      <c r="G119" s="290"/>
      <c r="H119" s="291"/>
      <c r="I119" s="291"/>
      <c r="J119" s="291"/>
      <c r="K119" s="291"/>
      <c r="L119" s="290"/>
      <c r="M119" s="290"/>
      <c r="N119" s="290"/>
      <c r="O119" s="291"/>
      <c r="P119" s="597"/>
    </row>
    <row r="120" spans="1:16" x14ac:dyDescent="0.2">
      <c r="A120" s="267">
        <f t="shared" si="6"/>
        <v>113</v>
      </c>
      <c r="B120" s="736" t="s">
        <v>1402</v>
      </c>
      <c r="C120" s="797">
        <v>6617</v>
      </c>
      <c r="D120" s="387"/>
      <c r="E120" s="289"/>
      <c r="F120" s="290"/>
      <c r="G120" s="290"/>
      <c r="H120" s="291"/>
      <c r="I120" s="291"/>
      <c r="J120" s="291"/>
      <c r="K120" s="291"/>
      <c r="L120" s="290"/>
      <c r="M120" s="290"/>
      <c r="N120" s="290"/>
      <c r="O120" s="291"/>
      <c r="P120" s="597"/>
    </row>
    <row r="121" spans="1:16" x14ac:dyDescent="0.2">
      <c r="A121" s="267">
        <f t="shared" si="6"/>
        <v>114</v>
      </c>
      <c r="B121" s="736" t="s">
        <v>1330</v>
      </c>
      <c r="C121" s="797">
        <v>6618</v>
      </c>
      <c r="D121" s="387"/>
      <c r="E121" s="289"/>
      <c r="F121" s="290"/>
      <c r="G121" s="290"/>
      <c r="H121" s="291"/>
      <c r="I121" s="291"/>
      <c r="J121" s="291"/>
      <c r="K121" s="291"/>
      <c r="L121" s="290"/>
      <c r="M121" s="290"/>
      <c r="N121" s="290"/>
      <c r="O121" s="291"/>
      <c r="P121" s="597"/>
    </row>
    <row r="122" spans="1:16" x14ac:dyDescent="0.2">
      <c r="A122" s="267">
        <f t="shared" si="6"/>
        <v>115</v>
      </c>
      <c r="B122" s="736" t="s">
        <v>1331</v>
      </c>
      <c r="C122" s="797">
        <v>6619</v>
      </c>
      <c r="D122" s="387"/>
      <c r="E122" s="289"/>
      <c r="F122" s="290"/>
      <c r="G122" s="290"/>
      <c r="H122" s="291"/>
      <c r="I122" s="291"/>
      <c r="J122" s="291"/>
      <c r="K122" s="291"/>
      <c r="L122" s="290"/>
      <c r="M122" s="290"/>
      <c r="N122" s="290"/>
      <c r="O122" s="291"/>
      <c r="P122" s="597"/>
    </row>
    <row r="123" spans="1:16" x14ac:dyDescent="0.2">
      <c r="A123" s="267">
        <f t="shared" si="6"/>
        <v>116</v>
      </c>
      <c r="B123" s="736" t="s">
        <v>1332</v>
      </c>
      <c r="C123" s="797" t="s">
        <v>1403</v>
      </c>
      <c r="D123" s="387"/>
      <c r="E123" s="289"/>
      <c r="F123" s="290"/>
      <c r="G123" s="290"/>
      <c r="H123" s="291"/>
      <c r="I123" s="291"/>
      <c r="J123" s="291"/>
      <c r="K123" s="291"/>
      <c r="L123" s="290"/>
      <c r="M123" s="290"/>
      <c r="N123" s="290"/>
      <c r="O123" s="291"/>
      <c r="P123" s="597"/>
    </row>
    <row r="124" spans="1:16" x14ac:dyDescent="0.2">
      <c r="A124" s="267">
        <f t="shared" si="6"/>
        <v>117</v>
      </c>
      <c r="B124" s="736" t="s">
        <v>315</v>
      </c>
      <c r="C124" s="798" t="s">
        <v>1185</v>
      </c>
      <c r="D124" s="387"/>
      <c r="E124" s="289"/>
      <c r="F124" s="290"/>
      <c r="G124" s="290"/>
      <c r="H124" s="291"/>
      <c r="I124" s="291"/>
      <c r="J124" s="291"/>
      <c r="K124" s="291"/>
      <c r="L124" s="290"/>
      <c r="M124" s="290"/>
      <c r="N124" s="290"/>
      <c r="O124" s="291"/>
      <c r="P124" s="597"/>
    </row>
    <row r="125" spans="1:16" x14ac:dyDescent="0.2">
      <c r="A125" s="267">
        <f t="shared" si="6"/>
        <v>118</v>
      </c>
      <c r="B125" s="736" t="s">
        <v>398</v>
      </c>
      <c r="C125" s="798" t="s">
        <v>1186</v>
      </c>
      <c r="D125" s="387"/>
      <c r="E125" s="289"/>
      <c r="F125" s="290"/>
      <c r="G125" s="290"/>
      <c r="H125" s="291"/>
      <c r="I125" s="291"/>
      <c r="J125" s="291"/>
      <c r="K125" s="291"/>
      <c r="L125" s="290"/>
      <c r="M125" s="290"/>
      <c r="N125" s="290"/>
      <c r="O125" s="291"/>
      <c r="P125" s="597"/>
    </row>
    <row r="126" spans="1:16" x14ac:dyDescent="0.2">
      <c r="A126" s="267">
        <f t="shared" si="6"/>
        <v>119</v>
      </c>
      <c r="B126" s="736" t="s">
        <v>399</v>
      </c>
      <c r="C126" s="798" t="s">
        <v>1759</v>
      </c>
      <c r="D126" s="387"/>
      <c r="E126" s="289"/>
      <c r="F126" s="290"/>
      <c r="G126" s="290"/>
      <c r="H126" s="291"/>
      <c r="I126" s="291"/>
      <c r="J126" s="291"/>
      <c r="K126" s="291"/>
      <c r="L126" s="290"/>
      <c r="M126" s="290"/>
      <c r="N126" s="290"/>
      <c r="O126" s="291"/>
      <c r="P126" s="597"/>
    </row>
    <row r="127" spans="1:16" x14ac:dyDescent="0.2">
      <c r="A127" s="267">
        <f t="shared" si="6"/>
        <v>120</v>
      </c>
      <c r="B127" s="738" t="s">
        <v>322</v>
      </c>
      <c r="C127" s="797" t="s">
        <v>1187</v>
      </c>
      <c r="D127" s="387"/>
      <c r="E127" s="289"/>
      <c r="F127" s="290"/>
      <c r="G127" s="290"/>
      <c r="H127" s="291"/>
      <c r="I127" s="291"/>
      <c r="J127" s="291"/>
      <c r="K127" s="291"/>
      <c r="L127" s="290"/>
      <c r="M127" s="290"/>
      <c r="N127" s="290"/>
      <c r="O127" s="291"/>
      <c r="P127" s="597"/>
    </row>
    <row r="128" spans="1:16" x14ac:dyDescent="0.2">
      <c r="A128" s="267">
        <f t="shared" si="6"/>
        <v>121</v>
      </c>
      <c r="B128" s="739" t="s">
        <v>292</v>
      </c>
      <c r="C128" s="797" t="s">
        <v>1188</v>
      </c>
      <c r="D128" s="387"/>
      <c r="E128" s="289"/>
      <c r="F128" s="290"/>
      <c r="G128" s="290"/>
      <c r="H128" s="291"/>
      <c r="I128" s="291"/>
      <c r="J128" s="291"/>
      <c r="K128" s="291"/>
      <c r="L128" s="290"/>
      <c r="M128" s="290"/>
      <c r="N128" s="290"/>
      <c r="O128" s="291"/>
      <c r="P128" s="597"/>
    </row>
    <row r="129" spans="1:22" x14ac:dyDescent="0.2">
      <c r="A129" s="267">
        <f t="shared" si="6"/>
        <v>122</v>
      </c>
      <c r="B129" s="736" t="s">
        <v>293</v>
      </c>
      <c r="C129" s="797" t="s">
        <v>1189</v>
      </c>
      <c r="D129" s="387"/>
      <c r="E129" s="289"/>
      <c r="F129" s="290"/>
      <c r="G129" s="290"/>
      <c r="H129" s="291"/>
      <c r="I129" s="291"/>
      <c r="J129" s="291"/>
      <c r="K129" s="291"/>
      <c r="L129" s="290"/>
      <c r="M129" s="290"/>
      <c r="N129" s="290"/>
      <c r="O129" s="291"/>
      <c r="P129" s="597"/>
    </row>
    <row r="130" spans="1:22" x14ac:dyDescent="0.2">
      <c r="A130" s="267">
        <f t="shared" si="6"/>
        <v>123</v>
      </c>
      <c r="B130" s="738" t="s">
        <v>294</v>
      </c>
      <c r="C130" s="797" t="s">
        <v>1190</v>
      </c>
      <c r="D130" s="389"/>
      <c r="E130" s="292"/>
      <c r="F130" s="293"/>
      <c r="G130" s="293"/>
      <c r="H130" s="294"/>
      <c r="I130" s="294"/>
      <c r="J130" s="294"/>
      <c r="K130" s="294"/>
      <c r="L130" s="293"/>
      <c r="M130" s="293"/>
      <c r="N130" s="293"/>
      <c r="O130" s="294"/>
      <c r="P130" s="599"/>
    </row>
    <row r="131" spans="1:22" x14ac:dyDescent="0.2">
      <c r="A131" s="267">
        <f t="shared" si="6"/>
        <v>124</v>
      </c>
      <c r="B131" s="736" t="s">
        <v>400</v>
      </c>
      <c r="C131" s="797" t="s">
        <v>1191</v>
      </c>
      <c r="D131" s="389"/>
      <c r="E131" s="292"/>
      <c r="F131" s="293"/>
      <c r="G131" s="293"/>
      <c r="H131" s="294"/>
      <c r="I131" s="294"/>
      <c r="J131" s="294"/>
      <c r="K131" s="294"/>
      <c r="L131" s="293"/>
      <c r="M131" s="293"/>
      <c r="N131" s="293"/>
      <c r="O131" s="294"/>
      <c r="P131" s="599"/>
    </row>
    <row r="132" spans="1:22" x14ac:dyDescent="0.2">
      <c r="A132" s="267">
        <f t="shared" si="6"/>
        <v>125</v>
      </c>
      <c r="B132" s="738" t="s">
        <v>295</v>
      </c>
      <c r="C132" s="797" t="s">
        <v>1192</v>
      </c>
      <c r="D132" s="389"/>
      <c r="E132" s="292"/>
      <c r="F132" s="293"/>
      <c r="G132" s="293"/>
      <c r="H132" s="294"/>
      <c r="I132" s="294"/>
      <c r="J132" s="294"/>
      <c r="K132" s="294"/>
      <c r="L132" s="293"/>
      <c r="M132" s="293"/>
      <c r="N132" s="293"/>
      <c r="O132" s="294"/>
      <c r="P132" s="599"/>
    </row>
    <row r="133" spans="1:22" x14ac:dyDescent="0.2">
      <c r="A133" s="267">
        <f t="shared" si="6"/>
        <v>126</v>
      </c>
      <c r="B133" s="739" t="s">
        <v>296</v>
      </c>
      <c r="C133" s="797" t="s">
        <v>1193</v>
      </c>
      <c r="D133" s="389"/>
      <c r="E133" s="292"/>
      <c r="F133" s="293"/>
      <c r="G133" s="293"/>
      <c r="H133" s="294"/>
      <c r="I133" s="294"/>
      <c r="J133" s="294"/>
      <c r="K133" s="294"/>
      <c r="L133" s="293"/>
      <c r="M133" s="293"/>
      <c r="N133" s="293"/>
      <c r="O133" s="294"/>
      <c r="P133" s="599"/>
      <c r="R133" s="256"/>
      <c r="S133" s="256"/>
      <c r="T133" s="256"/>
      <c r="U133" s="256"/>
      <c r="V133" s="256"/>
    </row>
    <row r="134" spans="1:22" x14ac:dyDescent="0.2">
      <c r="A134" s="267">
        <f t="shared" si="6"/>
        <v>127</v>
      </c>
      <c r="B134" s="739" t="s">
        <v>401</v>
      </c>
      <c r="C134" s="797" t="s">
        <v>1194</v>
      </c>
      <c r="D134" s="389"/>
      <c r="E134" s="292"/>
      <c r="F134" s="293"/>
      <c r="G134" s="293"/>
      <c r="H134" s="294"/>
      <c r="I134" s="294"/>
      <c r="J134" s="294"/>
      <c r="K134" s="294"/>
      <c r="L134" s="293"/>
      <c r="M134" s="293"/>
      <c r="N134" s="293"/>
      <c r="O134" s="294"/>
      <c r="P134" s="599"/>
      <c r="R134" s="256"/>
      <c r="S134" s="256"/>
      <c r="T134" s="256"/>
      <c r="U134" s="256"/>
      <c r="V134" s="256"/>
    </row>
    <row r="135" spans="1:22" x14ac:dyDescent="0.2">
      <c r="A135" s="267">
        <f t="shared" si="6"/>
        <v>128</v>
      </c>
      <c r="B135" s="736" t="s">
        <v>402</v>
      </c>
      <c r="C135" s="797" t="s">
        <v>1195</v>
      </c>
      <c r="D135" s="389"/>
      <c r="E135" s="292"/>
      <c r="F135" s="293"/>
      <c r="G135" s="293"/>
      <c r="H135" s="294"/>
      <c r="I135" s="294"/>
      <c r="J135" s="294"/>
      <c r="K135" s="294"/>
      <c r="L135" s="293"/>
      <c r="M135" s="293"/>
      <c r="N135" s="293"/>
      <c r="O135" s="294"/>
      <c r="P135" s="599"/>
      <c r="R135" s="256"/>
      <c r="S135" s="256"/>
      <c r="T135" s="256"/>
      <c r="U135" s="256"/>
      <c r="V135" s="256"/>
    </row>
    <row r="136" spans="1:22" x14ac:dyDescent="0.2">
      <c r="A136" s="267">
        <f t="shared" si="6"/>
        <v>129</v>
      </c>
      <c r="B136" s="736" t="s">
        <v>297</v>
      </c>
      <c r="C136" s="797" t="s">
        <v>1196</v>
      </c>
      <c r="D136" s="389"/>
      <c r="E136" s="292"/>
      <c r="F136" s="293"/>
      <c r="G136" s="293"/>
      <c r="H136" s="294"/>
      <c r="I136" s="294"/>
      <c r="J136" s="294"/>
      <c r="K136" s="294"/>
      <c r="L136" s="293"/>
      <c r="M136" s="293"/>
      <c r="N136" s="293"/>
      <c r="O136" s="294"/>
      <c r="P136" s="599"/>
      <c r="R136" s="256"/>
      <c r="S136" s="256"/>
      <c r="T136" s="256"/>
      <c r="U136" s="256"/>
      <c r="V136" s="256"/>
    </row>
    <row r="137" spans="1:22" x14ac:dyDescent="0.2">
      <c r="A137" s="267">
        <f t="shared" si="6"/>
        <v>130</v>
      </c>
      <c r="B137" s="736" t="s">
        <v>405</v>
      </c>
      <c r="C137" s="797" t="s">
        <v>1197</v>
      </c>
      <c r="D137" s="389"/>
      <c r="E137" s="292"/>
      <c r="F137" s="293"/>
      <c r="G137" s="293"/>
      <c r="H137" s="294"/>
      <c r="I137" s="294"/>
      <c r="J137" s="294"/>
      <c r="K137" s="294"/>
      <c r="L137" s="293"/>
      <c r="M137" s="293"/>
      <c r="N137" s="293"/>
      <c r="O137" s="294"/>
      <c r="P137" s="599"/>
      <c r="R137" s="256"/>
      <c r="S137" s="256"/>
      <c r="T137" s="256"/>
      <c r="U137" s="256"/>
      <c r="V137" s="256"/>
    </row>
    <row r="138" spans="1:22" x14ac:dyDescent="0.2">
      <c r="A138" s="267">
        <f t="shared" si="6"/>
        <v>131</v>
      </c>
      <c r="B138" s="736" t="s">
        <v>406</v>
      </c>
      <c r="C138" s="797" t="s">
        <v>1760</v>
      </c>
      <c r="D138" s="389"/>
      <c r="E138" s="292"/>
      <c r="F138" s="293"/>
      <c r="G138" s="293"/>
      <c r="H138" s="294"/>
      <c r="I138" s="294"/>
      <c r="J138" s="294"/>
      <c r="K138" s="294"/>
      <c r="L138" s="293"/>
      <c r="M138" s="293"/>
      <c r="N138" s="293"/>
      <c r="O138" s="294"/>
      <c r="P138" s="599"/>
      <c r="R138" s="256"/>
      <c r="S138" s="256"/>
      <c r="T138" s="256"/>
      <c r="U138" s="256"/>
      <c r="V138" s="256"/>
    </row>
    <row r="139" spans="1:22" x14ac:dyDescent="0.2">
      <c r="A139" s="267">
        <f t="shared" si="6"/>
        <v>132</v>
      </c>
      <c r="B139" s="738" t="s">
        <v>298</v>
      </c>
      <c r="C139" s="799" t="s">
        <v>1198</v>
      </c>
      <c r="D139" s="389"/>
      <c r="E139" s="292"/>
      <c r="F139" s="293"/>
      <c r="G139" s="293"/>
      <c r="H139" s="294"/>
      <c r="I139" s="294"/>
      <c r="J139" s="294"/>
      <c r="K139" s="294"/>
      <c r="L139" s="293"/>
      <c r="M139" s="293"/>
      <c r="N139" s="293"/>
      <c r="O139" s="294"/>
      <c r="P139" s="599"/>
      <c r="R139" s="256"/>
      <c r="S139" s="256"/>
      <c r="T139" s="256"/>
      <c r="U139" s="256"/>
      <c r="V139" s="256"/>
    </row>
    <row r="140" spans="1:22" x14ac:dyDescent="0.2">
      <c r="A140" s="267">
        <f t="shared" si="6"/>
        <v>133</v>
      </c>
      <c r="B140" s="736" t="s">
        <v>299</v>
      </c>
      <c r="C140" s="799" t="s">
        <v>1199</v>
      </c>
      <c r="D140" s="389"/>
      <c r="E140" s="292"/>
      <c r="F140" s="293"/>
      <c r="G140" s="293"/>
      <c r="H140" s="294"/>
      <c r="I140" s="294"/>
      <c r="J140" s="294"/>
      <c r="K140" s="294"/>
      <c r="L140" s="293"/>
      <c r="M140" s="293"/>
      <c r="N140" s="293"/>
      <c r="O140" s="294"/>
      <c r="P140" s="599"/>
      <c r="R140" s="256"/>
      <c r="S140" s="256"/>
      <c r="T140" s="256"/>
      <c r="U140" s="256"/>
      <c r="V140" s="256"/>
    </row>
    <row r="141" spans="1:22" x14ac:dyDescent="0.2">
      <c r="A141" s="267">
        <f t="shared" si="6"/>
        <v>134</v>
      </c>
      <c r="B141" s="736" t="s">
        <v>300</v>
      </c>
      <c r="C141" s="799" t="s">
        <v>1200</v>
      </c>
      <c r="D141" s="389"/>
      <c r="E141" s="292"/>
      <c r="F141" s="293"/>
      <c r="G141" s="293"/>
      <c r="H141" s="294"/>
      <c r="I141" s="294"/>
      <c r="J141" s="294"/>
      <c r="K141" s="294"/>
      <c r="L141" s="293"/>
      <c r="M141" s="293"/>
      <c r="N141" s="293"/>
      <c r="O141" s="294"/>
      <c r="P141" s="599"/>
      <c r="R141" s="256"/>
      <c r="S141" s="256"/>
      <c r="T141" s="256"/>
      <c r="U141" s="256"/>
      <c r="V141" s="256"/>
    </row>
    <row r="142" spans="1:22" x14ac:dyDescent="0.2">
      <c r="A142" s="267">
        <f t="shared" si="6"/>
        <v>135</v>
      </c>
      <c r="B142" s="737" t="s">
        <v>323</v>
      </c>
      <c r="C142" s="799" t="s">
        <v>1761</v>
      </c>
      <c r="D142" s="389"/>
      <c r="E142" s="292"/>
      <c r="F142" s="293"/>
      <c r="G142" s="293"/>
      <c r="H142" s="294"/>
      <c r="I142" s="294"/>
      <c r="J142" s="294"/>
      <c r="K142" s="294"/>
      <c r="L142" s="293"/>
      <c r="M142" s="293"/>
      <c r="N142" s="293"/>
      <c r="O142" s="294"/>
      <c r="P142" s="599"/>
      <c r="R142" s="256"/>
      <c r="S142" s="256"/>
      <c r="T142" s="256"/>
      <c r="U142" s="256"/>
      <c r="V142" s="256"/>
    </row>
    <row r="143" spans="1:22" x14ac:dyDescent="0.2">
      <c r="A143" s="267">
        <f t="shared" si="6"/>
        <v>136</v>
      </c>
      <c r="B143" s="736" t="s">
        <v>704</v>
      </c>
      <c r="C143" s="799" t="s">
        <v>1201</v>
      </c>
      <c r="D143" s="389"/>
      <c r="E143" s="292"/>
      <c r="F143" s="293"/>
      <c r="G143" s="293"/>
      <c r="H143" s="294"/>
      <c r="I143" s="294"/>
      <c r="J143" s="294"/>
      <c r="K143" s="293"/>
      <c r="L143" s="293"/>
      <c r="M143" s="293"/>
      <c r="N143" s="293"/>
      <c r="O143" s="294"/>
      <c r="P143" s="599"/>
      <c r="R143" s="256"/>
      <c r="S143" s="256"/>
      <c r="T143" s="256"/>
      <c r="U143" s="256"/>
      <c r="V143" s="256"/>
    </row>
    <row r="144" spans="1:22" x14ac:dyDescent="0.2">
      <c r="A144" s="267">
        <f t="shared" si="6"/>
        <v>137</v>
      </c>
      <c r="B144" s="738" t="s">
        <v>705</v>
      </c>
      <c r="C144" s="799" t="s">
        <v>1762</v>
      </c>
      <c r="D144" s="389"/>
      <c r="E144" s="292"/>
      <c r="F144" s="293"/>
      <c r="G144" s="293"/>
      <c r="H144" s="294"/>
      <c r="I144" s="294"/>
      <c r="J144" s="294"/>
      <c r="K144" s="293"/>
      <c r="L144" s="293"/>
      <c r="M144" s="293"/>
      <c r="N144" s="293"/>
      <c r="O144" s="294"/>
      <c r="P144" s="599"/>
      <c r="R144" s="256"/>
      <c r="S144" s="256"/>
      <c r="T144" s="256"/>
      <c r="U144" s="256"/>
      <c r="V144" s="256"/>
    </row>
    <row r="145" spans="1:22" x14ac:dyDescent="0.2">
      <c r="A145" s="267">
        <f t="shared" ref="A145:A159" si="8">A144+1</f>
        <v>138</v>
      </c>
      <c r="B145" s="736" t="s">
        <v>291</v>
      </c>
      <c r="C145" s="799" t="s">
        <v>1202</v>
      </c>
      <c r="D145" s="389"/>
      <c r="E145" s="292"/>
      <c r="F145" s="293"/>
      <c r="G145" s="293"/>
      <c r="H145" s="294"/>
      <c r="I145" s="294"/>
      <c r="J145" s="294"/>
      <c r="K145" s="293"/>
      <c r="L145" s="293"/>
      <c r="M145" s="293"/>
      <c r="N145" s="293"/>
      <c r="O145" s="294"/>
      <c r="P145" s="599"/>
    </row>
    <row r="146" spans="1:22" x14ac:dyDescent="0.2">
      <c r="A146" s="267">
        <f t="shared" si="8"/>
        <v>139</v>
      </c>
      <c r="B146" s="736" t="s">
        <v>334</v>
      </c>
      <c r="C146" s="799" t="s">
        <v>1763</v>
      </c>
      <c r="D146" s="389"/>
      <c r="E146" s="292"/>
      <c r="F146" s="293"/>
      <c r="G146" s="293"/>
      <c r="H146" s="294"/>
      <c r="I146" s="294"/>
      <c r="J146" s="294"/>
      <c r="K146" s="293"/>
      <c r="L146" s="293"/>
      <c r="M146" s="293"/>
      <c r="N146" s="293"/>
      <c r="O146" s="294"/>
      <c r="P146" s="599"/>
    </row>
    <row r="147" spans="1:22" x14ac:dyDescent="0.2">
      <c r="A147" s="267">
        <f t="shared" si="8"/>
        <v>140</v>
      </c>
      <c r="B147" s="736" t="s">
        <v>316</v>
      </c>
      <c r="C147" s="799" t="s">
        <v>1764</v>
      </c>
      <c r="D147" s="389"/>
      <c r="E147" s="292"/>
      <c r="F147" s="293"/>
      <c r="G147" s="293"/>
      <c r="H147" s="294"/>
      <c r="I147" s="294"/>
      <c r="J147" s="294"/>
      <c r="K147" s="293"/>
      <c r="L147" s="293"/>
      <c r="M147" s="293"/>
      <c r="N147" s="293"/>
      <c r="O147" s="294"/>
      <c r="P147" s="599"/>
    </row>
    <row r="148" spans="1:22" x14ac:dyDescent="0.2">
      <c r="A148" s="267">
        <f t="shared" si="8"/>
        <v>141</v>
      </c>
      <c r="B148" s="739" t="s">
        <v>301</v>
      </c>
      <c r="C148" s="799" t="s">
        <v>1204</v>
      </c>
      <c r="D148" s="389"/>
      <c r="E148" s="292"/>
      <c r="F148" s="293"/>
      <c r="G148" s="293"/>
      <c r="H148" s="294"/>
      <c r="I148" s="294"/>
      <c r="J148" s="294"/>
      <c r="K148" s="293"/>
      <c r="L148" s="293"/>
      <c r="M148" s="293"/>
      <c r="N148" s="293"/>
      <c r="O148" s="294"/>
      <c r="P148" s="599"/>
    </row>
    <row r="149" spans="1:22" x14ac:dyDescent="0.2">
      <c r="A149" s="267">
        <f t="shared" si="8"/>
        <v>142</v>
      </c>
      <c r="B149" s="736" t="s">
        <v>407</v>
      </c>
      <c r="C149" s="799" t="s">
        <v>1205</v>
      </c>
      <c r="D149" s="389"/>
      <c r="E149" s="292"/>
      <c r="F149" s="293"/>
      <c r="G149" s="293"/>
      <c r="H149" s="294"/>
      <c r="I149" s="294"/>
      <c r="J149" s="294"/>
      <c r="K149" s="293"/>
      <c r="L149" s="293"/>
      <c r="M149" s="293"/>
      <c r="N149" s="293"/>
      <c r="O149" s="294"/>
      <c r="P149" s="599"/>
    </row>
    <row r="150" spans="1:22" x14ac:dyDescent="0.2">
      <c r="A150" s="267">
        <f t="shared" si="8"/>
        <v>143</v>
      </c>
      <c r="B150" s="736" t="s">
        <v>408</v>
      </c>
      <c r="C150" s="799" t="s">
        <v>1206</v>
      </c>
      <c r="D150" s="389"/>
      <c r="E150" s="292"/>
      <c r="F150" s="293"/>
      <c r="G150" s="293"/>
      <c r="H150" s="294"/>
      <c r="I150" s="294"/>
      <c r="J150" s="294"/>
      <c r="K150" s="293"/>
      <c r="L150" s="293"/>
      <c r="M150" s="293"/>
      <c r="N150" s="293"/>
      <c r="O150" s="294"/>
      <c r="P150" s="599"/>
    </row>
    <row r="151" spans="1:22" x14ac:dyDescent="0.2">
      <c r="A151" s="267">
        <f t="shared" si="8"/>
        <v>144</v>
      </c>
      <c r="B151" s="736" t="s">
        <v>304</v>
      </c>
      <c r="C151" s="799" t="s">
        <v>1207</v>
      </c>
      <c r="D151" s="389"/>
      <c r="E151" s="292"/>
      <c r="F151" s="293"/>
      <c r="G151" s="293"/>
      <c r="H151" s="294"/>
      <c r="I151" s="294"/>
      <c r="J151" s="294"/>
      <c r="K151" s="293"/>
      <c r="L151" s="293"/>
      <c r="M151" s="293"/>
      <c r="N151" s="293"/>
      <c r="O151" s="294"/>
      <c r="P151" s="599"/>
    </row>
    <row r="152" spans="1:22" x14ac:dyDescent="0.2">
      <c r="A152" s="267">
        <f t="shared" si="8"/>
        <v>145</v>
      </c>
      <c r="B152" s="736" t="s">
        <v>409</v>
      </c>
      <c r="C152" s="799" t="s">
        <v>1208</v>
      </c>
      <c r="D152" s="389"/>
      <c r="E152" s="292"/>
      <c r="F152" s="293"/>
      <c r="G152" s="293"/>
      <c r="H152" s="294"/>
      <c r="I152" s="294"/>
      <c r="J152" s="294"/>
      <c r="K152" s="293"/>
      <c r="L152" s="293"/>
      <c r="M152" s="293"/>
      <c r="N152" s="293"/>
      <c r="O152" s="294"/>
      <c r="P152" s="599"/>
    </row>
    <row r="153" spans="1:22" x14ac:dyDescent="0.2">
      <c r="A153" s="267">
        <f t="shared" si="8"/>
        <v>146</v>
      </c>
      <c r="B153" s="736" t="s">
        <v>706</v>
      </c>
      <c r="C153" s="799" t="s">
        <v>1765</v>
      </c>
      <c r="D153" s="389"/>
      <c r="E153" s="292"/>
      <c r="F153" s="293"/>
      <c r="G153" s="293"/>
      <c r="H153" s="294"/>
      <c r="I153" s="294"/>
      <c r="J153" s="294"/>
      <c r="K153" s="293"/>
      <c r="L153" s="293"/>
      <c r="M153" s="293"/>
      <c r="N153" s="293"/>
      <c r="O153" s="294"/>
      <c r="P153" s="599"/>
    </row>
    <row r="154" spans="1:22" x14ac:dyDescent="0.2">
      <c r="A154" s="415">
        <f t="shared" si="8"/>
        <v>147</v>
      </c>
      <c r="B154" s="738" t="s">
        <v>410</v>
      </c>
      <c r="C154" s="799" t="s">
        <v>1209</v>
      </c>
      <c r="D154" s="389"/>
      <c r="E154" s="292"/>
      <c r="F154" s="293"/>
      <c r="G154" s="293"/>
      <c r="H154" s="294"/>
      <c r="I154" s="294"/>
      <c r="J154" s="294"/>
      <c r="K154" s="293"/>
      <c r="L154" s="293"/>
      <c r="M154" s="293"/>
      <c r="N154" s="293"/>
      <c r="O154" s="294"/>
      <c r="P154" s="599"/>
    </row>
    <row r="155" spans="1:22" x14ac:dyDescent="0.2">
      <c r="A155" s="267">
        <f t="shared" si="8"/>
        <v>148</v>
      </c>
      <c r="B155" s="736" t="s">
        <v>1784</v>
      </c>
      <c r="C155" s="799"/>
      <c r="D155" s="389"/>
      <c r="E155" s="292"/>
      <c r="F155" s="293"/>
      <c r="G155" s="293"/>
      <c r="H155" s="294"/>
      <c r="I155" s="294"/>
      <c r="J155" s="294"/>
      <c r="K155" s="293"/>
      <c r="L155" s="293"/>
      <c r="M155" s="293"/>
      <c r="N155" s="293"/>
      <c r="O155" s="294"/>
      <c r="P155" s="599"/>
    </row>
    <row r="156" spans="1:22" x14ac:dyDescent="0.2">
      <c r="A156" s="267">
        <f t="shared" si="8"/>
        <v>149</v>
      </c>
      <c r="B156" s="736" t="s">
        <v>1785</v>
      </c>
      <c r="C156" s="799"/>
      <c r="D156" s="389"/>
      <c r="E156" s="292"/>
      <c r="F156" s="293"/>
      <c r="G156" s="293"/>
      <c r="H156" s="294"/>
      <c r="I156" s="294"/>
      <c r="J156" s="294"/>
      <c r="K156" s="293"/>
      <c r="L156" s="293"/>
      <c r="M156" s="293"/>
      <c r="N156" s="293"/>
      <c r="O156" s="294"/>
      <c r="P156" s="599"/>
    </row>
    <row r="157" spans="1:22" x14ac:dyDescent="0.2">
      <c r="A157" s="250">
        <f t="shared" si="8"/>
        <v>150</v>
      </c>
      <c r="B157" s="740" t="s">
        <v>411</v>
      </c>
      <c r="C157" s="800" t="s">
        <v>1823</v>
      </c>
      <c r="D157" s="252">
        <f t="shared" ref="D157" si="9">SUM(D98:D154)</f>
        <v>0</v>
      </c>
      <c r="E157" s="252">
        <f t="shared" ref="E157:P157" si="10">SUM(E98:E154)</f>
        <v>0</v>
      </c>
      <c r="F157" s="252">
        <f t="shared" si="10"/>
        <v>0</v>
      </c>
      <c r="G157" s="252">
        <f t="shared" si="10"/>
        <v>0</v>
      </c>
      <c r="H157" s="252">
        <f t="shared" si="10"/>
        <v>0</v>
      </c>
      <c r="I157" s="252">
        <f t="shared" si="10"/>
        <v>0</v>
      </c>
      <c r="J157" s="252">
        <f t="shared" si="10"/>
        <v>0</v>
      </c>
      <c r="K157" s="252">
        <f t="shared" si="10"/>
        <v>0</v>
      </c>
      <c r="L157" s="252">
        <f t="shared" si="10"/>
        <v>0</v>
      </c>
      <c r="M157" s="252">
        <f t="shared" si="10"/>
        <v>0</v>
      </c>
      <c r="N157" s="252">
        <f t="shared" si="10"/>
        <v>0</v>
      </c>
      <c r="O157" s="254">
        <f t="shared" si="10"/>
        <v>0</v>
      </c>
      <c r="P157" s="595">
        <f t="shared" si="10"/>
        <v>0</v>
      </c>
      <c r="R157" s="256"/>
      <c r="S157" s="256"/>
      <c r="T157" s="256"/>
      <c r="U157" s="256"/>
      <c r="V157" s="256"/>
    </row>
    <row r="158" spans="1:22" x14ac:dyDescent="0.2">
      <c r="A158" s="250">
        <f t="shared" si="8"/>
        <v>151</v>
      </c>
      <c r="B158" s="741" t="s">
        <v>703</v>
      </c>
      <c r="C158" s="801" t="s">
        <v>1824</v>
      </c>
      <c r="D158" s="252">
        <f t="shared" ref="D158" si="11">SUM(D97,D157)</f>
        <v>0</v>
      </c>
      <c r="E158" s="252">
        <f t="shared" ref="E158:P158" si="12">SUM(E97,E157)</f>
        <v>0</v>
      </c>
      <c r="F158" s="252">
        <f t="shared" si="12"/>
        <v>0</v>
      </c>
      <c r="G158" s="252">
        <f t="shared" si="12"/>
        <v>0</v>
      </c>
      <c r="H158" s="252">
        <f t="shared" si="12"/>
        <v>0</v>
      </c>
      <c r="I158" s="252">
        <f t="shared" si="12"/>
        <v>0</v>
      </c>
      <c r="J158" s="252">
        <f t="shared" si="12"/>
        <v>0</v>
      </c>
      <c r="K158" s="252">
        <f t="shared" si="12"/>
        <v>0</v>
      </c>
      <c r="L158" s="252">
        <f t="shared" si="12"/>
        <v>0</v>
      </c>
      <c r="M158" s="252">
        <f t="shared" si="12"/>
        <v>0</v>
      </c>
      <c r="N158" s="252">
        <f t="shared" si="12"/>
        <v>0</v>
      </c>
      <c r="O158" s="254">
        <f t="shared" si="12"/>
        <v>0</v>
      </c>
      <c r="P158" s="595">
        <f t="shared" si="12"/>
        <v>0</v>
      </c>
    </row>
    <row r="159" spans="1:22" x14ac:dyDescent="0.2">
      <c r="A159" s="250">
        <f t="shared" si="8"/>
        <v>152</v>
      </c>
      <c r="B159" s="376" t="s">
        <v>412</v>
      </c>
      <c r="C159" s="590" t="s">
        <v>1825</v>
      </c>
      <c r="D159" s="277">
        <f t="shared" ref="D159:P159" si="13">D44+D158</f>
        <v>0</v>
      </c>
      <c r="E159" s="277">
        <f t="shared" si="13"/>
        <v>0</v>
      </c>
      <c r="F159" s="277">
        <f t="shared" si="13"/>
        <v>0</v>
      </c>
      <c r="G159" s="277">
        <f t="shared" si="13"/>
        <v>0</v>
      </c>
      <c r="H159" s="277">
        <f t="shared" si="13"/>
        <v>0</v>
      </c>
      <c r="I159" s="277">
        <f t="shared" si="13"/>
        <v>0</v>
      </c>
      <c r="J159" s="277">
        <f t="shared" si="13"/>
        <v>0</v>
      </c>
      <c r="K159" s="277">
        <f t="shared" si="13"/>
        <v>0</v>
      </c>
      <c r="L159" s="277">
        <f t="shared" si="13"/>
        <v>0</v>
      </c>
      <c r="M159" s="277">
        <f t="shared" si="13"/>
        <v>0</v>
      </c>
      <c r="N159" s="277">
        <f t="shared" si="13"/>
        <v>0</v>
      </c>
      <c r="O159" s="593">
        <f t="shared" si="13"/>
        <v>0</v>
      </c>
      <c r="P159" s="600">
        <f t="shared" si="13"/>
        <v>0</v>
      </c>
    </row>
    <row r="160" spans="1:22" x14ac:dyDescent="0.2">
      <c r="A160" s="268"/>
      <c r="B160" s="256"/>
    </row>
    <row r="161" spans="1:2" x14ac:dyDescent="0.2">
      <c r="A161" s="268"/>
      <c r="B161" s="256"/>
    </row>
    <row r="162" spans="1:2" x14ac:dyDescent="0.2">
      <c r="A162" s="268"/>
      <c r="B162" s="256"/>
    </row>
    <row r="163" spans="1:2" x14ac:dyDescent="0.2">
      <c r="A163" s="268"/>
      <c r="B163" s="256"/>
    </row>
    <row r="164" spans="1:2" x14ac:dyDescent="0.2">
      <c r="A164" s="268"/>
      <c r="B164" s="256"/>
    </row>
    <row r="165" spans="1:2" x14ac:dyDescent="0.2">
      <c r="A165" s="268"/>
      <c r="B165" s="256"/>
    </row>
    <row r="166" spans="1:2" x14ac:dyDescent="0.2">
      <c r="A166" s="268"/>
      <c r="B166" s="256"/>
    </row>
    <row r="167" spans="1:2" x14ac:dyDescent="0.2">
      <c r="A167" s="268"/>
      <c r="B167" s="256"/>
    </row>
    <row r="168" spans="1:2" x14ac:dyDescent="0.2">
      <c r="A168" s="268"/>
      <c r="B168" s="256"/>
    </row>
    <row r="169" spans="1:2" x14ac:dyDescent="0.2">
      <c r="A169" s="268"/>
      <c r="B169" s="256"/>
    </row>
    <row r="170" spans="1:2" x14ac:dyDescent="0.2">
      <c r="A170" s="268"/>
      <c r="B170" s="256"/>
    </row>
    <row r="171" spans="1:2" x14ac:dyDescent="0.2">
      <c r="A171" s="268"/>
      <c r="B171" s="256"/>
    </row>
    <row r="172" spans="1:2" x14ac:dyDescent="0.2">
      <c r="A172" s="268"/>
      <c r="B172" s="256"/>
    </row>
    <row r="173" spans="1:2" x14ac:dyDescent="0.2">
      <c r="A173" s="268"/>
      <c r="B173" s="256"/>
    </row>
    <row r="174" spans="1:2" x14ac:dyDescent="0.2">
      <c r="A174" s="268"/>
      <c r="B174" s="256"/>
    </row>
    <row r="175" spans="1:2" x14ac:dyDescent="0.2">
      <c r="A175" s="268"/>
      <c r="B175" s="256"/>
    </row>
    <row r="176" spans="1:2" x14ac:dyDescent="0.2">
      <c r="A176" s="268"/>
      <c r="B176" s="256"/>
    </row>
    <row r="177" spans="1:2" x14ac:dyDescent="0.2">
      <c r="A177" s="268"/>
      <c r="B177" s="256"/>
    </row>
    <row r="178" spans="1:2" x14ac:dyDescent="0.2">
      <c r="A178" s="268"/>
      <c r="B178" s="256"/>
    </row>
    <row r="179" spans="1:2" x14ac:dyDescent="0.2">
      <c r="A179" s="268"/>
      <c r="B179" s="256"/>
    </row>
    <row r="180" spans="1:2" x14ac:dyDescent="0.2">
      <c r="A180" s="171"/>
      <c r="B180" s="256"/>
    </row>
  </sheetData>
  <mergeCells count="4">
    <mergeCell ref="A1:B1"/>
    <mergeCell ref="D1:I1"/>
    <mergeCell ref="A4:B4"/>
    <mergeCell ref="M1:P1"/>
  </mergeCells>
  <printOptions horizontalCentered="1"/>
  <pageMargins left="0.7" right="0.7" top="0.75" bottom="0.75" header="0.3" footer="0.3"/>
  <pageSetup paperSize="9" scale="98" fitToHeight="1000" orientation="landscape" r:id="rId1"/>
  <rowBreaks count="2" manualBreakCount="2">
    <brk id="48" max="16" man="1"/>
    <brk id="101" max="16"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4"/>
  <sheetViews>
    <sheetView view="pageBreakPreview" zoomScale="110" zoomScaleNormal="110" zoomScaleSheetLayoutView="110" workbookViewId="0">
      <pane ySplit="3" topLeftCell="A241" activePane="bottomLeft" state="frozen"/>
      <selection activeCell="L16" sqref="L16"/>
      <selection pane="bottomLeft" activeCell="A207" sqref="A207:A208"/>
    </sheetView>
  </sheetViews>
  <sheetFormatPr defaultRowHeight="12.75" x14ac:dyDescent="0.2"/>
  <cols>
    <col min="1" max="1" width="3.42578125" style="458" customWidth="1"/>
    <col min="2" max="2" width="29.5703125" style="458" customWidth="1"/>
    <col min="3" max="3" width="40.28515625" style="488" customWidth="1"/>
    <col min="4" max="15" width="6.28515625" style="458" customWidth="1"/>
    <col min="16" max="16" width="7.85546875" style="458" bestFit="1" customWidth="1"/>
    <col min="17" max="16384" width="9.140625" style="458"/>
  </cols>
  <sheetData>
    <row r="1" spans="1:16" s="1" customFormat="1" ht="12.75" customHeight="1" x14ac:dyDescent="0.2">
      <c r="A1" s="437" t="s">
        <v>66</v>
      </c>
      <c r="B1" s="115"/>
      <c r="C1" s="326"/>
      <c r="D1" s="939" t="str">
        <f>'F32'!D1:I1</f>
        <v>AS OF: 11-Oct-2017</v>
      </c>
      <c r="E1" s="940"/>
      <c r="F1" s="940"/>
      <c r="G1" s="940"/>
      <c r="H1" s="940"/>
      <c r="I1" s="940"/>
      <c r="J1" s="940"/>
      <c r="K1" s="940"/>
      <c r="L1" s="940"/>
      <c r="M1" s="875"/>
      <c r="N1" s="941" t="s">
        <v>1410</v>
      </c>
      <c r="O1" s="941"/>
      <c r="P1" s="942"/>
    </row>
    <row r="2" spans="1:16" s="1" customFormat="1" ht="12.75" customHeight="1" x14ac:dyDescent="0.2">
      <c r="A2" s="436" t="s">
        <v>1473</v>
      </c>
      <c r="B2" s="129"/>
      <c r="C2" s="331"/>
      <c r="D2" s="943" t="s">
        <v>209</v>
      </c>
      <c r="E2" s="944"/>
      <c r="F2" s="944"/>
      <c r="G2" s="944"/>
      <c r="H2" s="944"/>
      <c r="I2" s="944"/>
      <c r="J2" s="944"/>
      <c r="K2" s="944"/>
      <c r="L2" s="944"/>
      <c r="M2" s="944"/>
      <c r="N2" s="944"/>
      <c r="O2" s="944"/>
      <c r="P2" s="945"/>
    </row>
    <row r="3" spans="1:16" ht="12" customHeight="1" x14ac:dyDescent="0.2">
      <c r="A3" s="434"/>
      <c r="B3" s="314"/>
      <c r="C3" s="435"/>
      <c r="D3" s="276">
        <v>42826</v>
      </c>
      <c r="E3" s="272">
        <v>42856</v>
      </c>
      <c r="F3" s="272">
        <v>42887</v>
      </c>
      <c r="G3" s="272">
        <v>42917</v>
      </c>
      <c r="H3" s="272">
        <v>42948</v>
      </c>
      <c r="I3" s="272">
        <v>42979</v>
      </c>
      <c r="J3" s="272">
        <v>43009</v>
      </c>
      <c r="K3" s="272">
        <v>43040</v>
      </c>
      <c r="L3" s="272">
        <v>43070</v>
      </c>
      <c r="M3" s="272">
        <v>43101</v>
      </c>
      <c r="N3" s="272">
        <v>43132</v>
      </c>
      <c r="O3" s="431">
        <v>43160</v>
      </c>
      <c r="P3" s="244" t="s">
        <v>1493</v>
      </c>
    </row>
    <row r="4" spans="1:16" ht="12" customHeight="1" x14ac:dyDescent="0.2">
      <c r="A4" s="280">
        <v>1</v>
      </c>
      <c r="B4" s="438" t="s">
        <v>148</v>
      </c>
      <c r="C4" s="328" t="s">
        <v>1600</v>
      </c>
      <c r="D4" s="295"/>
      <c r="E4" s="295"/>
      <c r="F4" s="295"/>
      <c r="G4" s="295"/>
      <c r="H4" s="295"/>
      <c r="I4" s="295"/>
      <c r="J4" s="295"/>
      <c r="K4" s="295"/>
      <c r="L4" s="295"/>
      <c r="M4" s="295"/>
      <c r="N4" s="295"/>
      <c r="O4" s="281"/>
      <c r="P4" s="432"/>
    </row>
    <row r="5" spans="1:16" ht="12" customHeight="1" x14ac:dyDescent="0.2">
      <c r="A5" s="282">
        <f>A4+1</f>
        <v>2</v>
      </c>
      <c r="B5" s="298" t="s">
        <v>530</v>
      </c>
      <c r="C5" s="328" t="s">
        <v>1688</v>
      </c>
      <c r="D5" s="295"/>
      <c r="E5" s="295"/>
      <c r="F5" s="295"/>
      <c r="G5" s="295"/>
      <c r="H5" s="295"/>
      <c r="I5" s="295"/>
      <c r="J5" s="295"/>
      <c r="K5" s="295"/>
      <c r="L5" s="295"/>
      <c r="M5" s="295"/>
      <c r="N5" s="295"/>
      <c r="O5" s="281"/>
      <c r="P5" s="432"/>
    </row>
    <row r="6" spans="1:16" ht="12" customHeight="1" x14ac:dyDescent="0.2">
      <c r="A6" s="282">
        <f t="shared" ref="A6:A16" si="0">A5+1</f>
        <v>3</v>
      </c>
      <c r="B6" s="298" t="s">
        <v>522</v>
      </c>
      <c r="C6" s="328" t="s">
        <v>947</v>
      </c>
      <c r="D6" s="295"/>
      <c r="E6" s="295"/>
      <c r="F6" s="295"/>
      <c r="G6" s="295"/>
      <c r="H6" s="295"/>
      <c r="I6" s="295"/>
      <c r="J6" s="295"/>
      <c r="K6" s="295"/>
      <c r="L6" s="295"/>
      <c r="M6" s="295"/>
      <c r="N6" s="295"/>
      <c r="O6" s="281"/>
      <c r="P6" s="432"/>
    </row>
    <row r="7" spans="1:16" ht="12" customHeight="1" x14ac:dyDescent="0.2">
      <c r="A7" s="282">
        <f t="shared" si="0"/>
        <v>4</v>
      </c>
      <c r="B7" s="298" t="s">
        <v>531</v>
      </c>
      <c r="C7" s="328" t="s">
        <v>1225</v>
      </c>
      <c r="D7" s="295"/>
      <c r="E7" s="295"/>
      <c r="F7" s="295"/>
      <c r="G7" s="295"/>
      <c r="H7" s="295"/>
      <c r="I7" s="295"/>
      <c r="J7" s="295"/>
      <c r="K7" s="295"/>
      <c r="L7" s="295"/>
      <c r="M7" s="295"/>
      <c r="N7" s="295"/>
      <c r="O7" s="281"/>
      <c r="P7" s="432"/>
    </row>
    <row r="8" spans="1:16" ht="12" customHeight="1" x14ac:dyDescent="0.2">
      <c r="A8" s="282">
        <f t="shared" si="0"/>
        <v>5</v>
      </c>
      <c r="B8" s="298" t="s">
        <v>532</v>
      </c>
      <c r="C8" s="328" t="s">
        <v>948</v>
      </c>
      <c r="D8" s="295"/>
      <c r="E8" s="295"/>
      <c r="F8" s="295"/>
      <c r="G8" s="295"/>
      <c r="H8" s="295"/>
      <c r="I8" s="295"/>
      <c r="J8" s="295"/>
      <c r="K8" s="295"/>
      <c r="L8" s="295"/>
      <c r="M8" s="295"/>
      <c r="N8" s="295"/>
      <c r="O8" s="281"/>
      <c r="P8" s="432"/>
    </row>
    <row r="9" spans="1:16" ht="12" customHeight="1" x14ac:dyDescent="0.2">
      <c r="A9" s="282">
        <f t="shared" si="0"/>
        <v>6</v>
      </c>
      <c r="B9" s="298" t="s">
        <v>135</v>
      </c>
      <c r="C9" s="328" t="s">
        <v>949</v>
      </c>
      <c r="D9" s="295"/>
      <c r="E9" s="295"/>
      <c r="F9" s="295"/>
      <c r="G9" s="295"/>
      <c r="H9" s="295"/>
      <c r="I9" s="295"/>
      <c r="J9" s="295"/>
      <c r="K9" s="295"/>
      <c r="L9" s="295"/>
      <c r="M9" s="295"/>
      <c r="N9" s="295"/>
      <c r="O9" s="281"/>
      <c r="P9" s="432"/>
    </row>
    <row r="10" spans="1:16" ht="12" customHeight="1" x14ac:dyDescent="0.2">
      <c r="A10" s="282">
        <f t="shared" si="0"/>
        <v>7</v>
      </c>
      <c r="B10" s="298" t="s">
        <v>533</v>
      </c>
      <c r="C10" s="328" t="s">
        <v>950</v>
      </c>
      <c r="D10" s="295"/>
      <c r="E10" s="295"/>
      <c r="F10" s="295"/>
      <c r="G10" s="295"/>
      <c r="H10" s="295"/>
      <c r="I10" s="295"/>
      <c r="J10" s="295"/>
      <c r="K10" s="295"/>
      <c r="L10" s="295"/>
      <c r="M10" s="295"/>
      <c r="N10" s="295"/>
      <c r="O10" s="281"/>
      <c r="P10" s="432"/>
    </row>
    <row r="11" spans="1:16" ht="12" customHeight="1" x14ac:dyDescent="0.2">
      <c r="A11" s="282">
        <f t="shared" si="0"/>
        <v>8</v>
      </c>
      <c r="B11" s="298" t="s">
        <v>534</v>
      </c>
      <c r="C11" s="328" t="s">
        <v>1226</v>
      </c>
      <c r="D11" s="295"/>
      <c r="E11" s="295"/>
      <c r="F11" s="295"/>
      <c r="G11" s="295"/>
      <c r="H11" s="295"/>
      <c r="I11" s="295"/>
      <c r="J11" s="295"/>
      <c r="K11" s="295"/>
      <c r="L11" s="295"/>
      <c r="M11" s="295"/>
      <c r="N11" s="295"/>
      <c r="O11" s="281"/>
      <c r="P11" s="432"/>
    </row>
    <row r="12" spans="1:16" ht="12" customHeight="1" x14ac:dyDescent="0.2">
      <c r="A12" s="282">
        <f t="shared" si="0"/>
        <v>9</v>
      </c>
      <c r="B12" s="298" t="s">
        <v>535</v>
      </c>
      <c r="C12" s="328" t="s">
        <v>951</v>
      </c>
      <c r="D12" s="295"/>
      <c r="E12" s="295"/>
      <c r="F12" s="295"/>
      <c r="G12" s="295"/>
      <c r="H12" s="295"/>
      <c r="I12" s="295"/>
      <c r="J12" s="295"/>
      <c r="K12" s="295"/>
      <c r="L12" s="295"/>
      <c r="M12" s="295"/>
      <c r="N12" s="295"/>
      <c r="O12" s="281"/>
      <c r="P12" s="432"/>
    </row>
    <row r="13" spans="1:16" ht="12" customHeight="1" x14ac:dyDescent="0.2">
      <c r="A13" s="282">
        <f t="shared" si="0"/>
        <v>10</v>
      </c>
      <c r="B13" s="298" t="s">
        <v>536</v>
      </c>
      <c r="C13" s="328" t="s">
        <v>952</v>
      </c>
      <c r="D13" s="295"/>
      <c r="E13" s="295"/>
      <c r="F13" s="295"/>
      <c r="G13" s="295"/>
      <c r="H13" s="295"/>
      <c r="I13" s="295"/>
      <c r="J13" s="295"/>
      <c r="K13" s="295"/>
      <c r="L13" s="295"/>
      <c r="M13" s="295"/>
      <c r="N13" s="295"/>
      <c r="O13" s="281"/>
      <c r="P13" s="432"/>
    </row>
    <row r="14" spans="1:16" ht="12" customHeight="1" x14ac:dyDescent="0.2">
      <c r="A14" s="282">
        <f t="shared" si="0"/>
        <v>11</v>
      </c>
      <c r="B14" s="298" t="s">
        <v>537</v>
      </c>
      <c r="C14" s="328" t="s">
        <v>953</v>
      </c>
      <c r="D14" s="295"/>
      <c r="E14" s="295"/>
      <c r="F14" s="295"/>
      <c r="G14" s="295"/>
      <c r="H14" s="295"/>
      <c r="I14" s="295"/>
      <c r="J14" s="295"/>
      <c r="K14" s="295"/>
      <c r="L14" s="295"/>
      <c r="M14" s="295"/>
      <c r="N14" s="295"/>
      <c r="O14" s="281"/>
      <c r="P14" s="432"/>
    </row>
    <row r="15" spans="1:16" ht="12" customHeight="1" x14ac:dyDescent="0.2">
      <c r="A15" s="282">
        <f t="shared" si="0"/>
        <v>12</v>
      </c>
      <c r="B15" s="298" t="s">
        <v>538</v>
      </c>
      <c r="C15" s="328" t="s">
        <v>1227</v>
      </c>
      <c r="D15" s="295"/>
      <c r="E15" s="295"/>
      <c r="F15" s="295"/>
      <c r="G15" s="295"/>
      <c r="H15" s="295"/>
      <c r="I15" s="295"/>
      <c r="J15" s="295"/>
      <c r="K15" s="295"/>
      <c r="L15" s="295"/>
      <c r="M15" s="295"/>
      <c r="N15" s="295"/>
      <c r="O15" s="281"/>
      <c r="P15" s="432"/>
    </row>
    <row r="16" spans="1:16" ht="12" customHeight="1" x14ac:dyDescent="0.2">
      <c r="A16" s="282">
        <f t="shared" si="0"/>
        <v>13</v>
      </c>
      <c r="B16" s="298" t="s">
        <v>539</v>
      </c>
      <c r="C16" s="328" t="s">
        <v>954</v>
      </c>
      <c r="D16" s="295"/>
      <c r="E16" s="295"/>
      <c r="F16" s="295"/>
      <c r="G16" s="295"/>
      <c r="H16" s="295"/>
      <c r="I16" s="295"/>
      <c r="J16" s="295"/>
      <c r="K16" s="295"/>
      <c r="L16" s="295"/>
      <c r="M16" s="295"/>
      <c r="N16" s="295"/>
      <c r="O16" s="281"/>
      <c r="P16" s="432"/>
    </row>
    <row r="17" spans="1:16" ht="12" customHeight="1" x14ac:dyDescent="0.2">
      <c r="A17" s="282">
        <f>A16+1</f>
        <v>14</v>
      </c>
      <c r="B17" s="298" t="s">
        <v>540</v>
      </c>
      <c r="C17" s="328" t="s">
        <v>1228</v>
      </c>
      <c r="D17" s="295"/>
      <c r="E17" s="295"/>
      <c r="F17" s="295"/>
      <c r="G17" s="295"/>
      <c r="H17" s="295"/>
      <c r="I17" s="295"/>
      <c r="J17" s="295"/>
      <c r="K17" s="295"/>
      <c r="L17" s="295"/>
      <c r="M17" s="295"/>
      <c r="N17" s="295"/>
      <c r="O17" s="281"/>
      <c r="P17" s="432"/>
    </row>
    <row r="18" spans="1:16" ht="12" customHeight="1" x14ac:dyDescent="0.2">
      <c r="A18" s="282">
        <f>A17+1</f>
        <v>15</v>
      </c>
      <c r="B18" s="298" t="s">
        <v>541</v>
      </c>
      <c r="C18" s="328" t="s">
        <v>955</v>
      </c>
      <c r="D18" s="295"/>
      <c r="E18" s="295"/>
      <c r="F18" s="295"/>
      <c r="G18" s="295"/>
      <c r="H18" s="295"/>
      <c r="I18" s="295"/>
      <c r="J18" s="295"/>
      <c r="K18" s="295"/>
      <c r="L18" s="295"/>
      <c r="M18" s="295"/>
      <c r="N18" s="295"/>
      <c r="O18" s="281"/>
      <c r="P18" s="432"/>
    </row>
    <row r="19" spans="1:16" ht="12" customHeight="1" x14ac:dyDescent="0.2">
      <c r="A19" s="282">
        <f>A18+1</f>
        <v>16</v>
      </c>
      <c r="B19" s="298" t="s">
        <v>1340</v>
      </c>
      <c r="C19" s="328" t="s">
        <v>1339</v>
      </c>
      <c r="D19" s="295"/>
      <c r="E19" s="295"/>
      <c r="F19" s="295"/>
      <c r="G19" s="295"/>
      <c r="H19" s="295"/>
      <c r="I19" s="295"/>
      <c r="J19" s="295"/>
      <c r="K19" s="295"/>
      <c r="L19" s="295"/>
      <c r="M19" s="295"/>
      <c r="N19" s="295"/>
      <c r="O19" s="281"/>
      <c r="P19" s="432"/>
    </row>
    <row r="20" spans="1:16" ht="12" customHeight="1" x14ac:dyDescent="0.2">
      <c r="A20" s="282">
        <f t="shared" ref="A20:A83" si="1">A19+1</f>
        <v>17</v>
      </c>
      <c r="B20" s="298" t="s">
        <v>1557</v>
      </c>
      <c r="C20" s="328" t="s">
        <v>1556</v>
      </c>
      <c r="D20" s="295"/>
      <c r="E20" s="295"/>
      <c r="F20" s="295"/>
      <c r="G20" s="295"/>
      <c r="H20" s="295"/>
      <c r="I20" s="295"/>
      <c r="J20" s="295"/>
      <c r="K20" s="295"/>
      <c r="L20" s="295"/>
      <c r="M20" s="295"/>
      <c r="N20" s="295"/>
      <c r="O20" s="281"/>
      <c r="P20" s="432"/>
    </row>
    <row r="21" spans="1:16" ht="12" customHeight="1" x14ac:dyDescent="0.2">
      <c r="A21" s="282">
        <f t="shared" si="1"/>
        <v>18</v>
      </c>
      <c r="B21" s="298" t="s">
        <v>542</v>
      </c>
      <c r="C21" s="328" t="s">
        <v>956</v>
      </c>
      <c r="D21" s="295"/>
      <c r="E21" s="295"/>
      <c r="F21" s="295"/>
      <c r="G21" s="295"/>
      <c r="H21" s="295"/>
      <c r="I21" s="295"/>
      <c r="J21" s="295"/>
      <c r="K21" s="295"/>
      <c r="L21" s="295"/>
      <c r="M21" s="295"/>
      <c r="N21" s="295"/>
      <c r="O21" s="281"/>
      <c r="P21" s="432"/>
    </row>
    <row r="22" spans="1:16" ht="12" customHeight="1" x14ac:dyDescent="0.2">
      <c r="A22" s="282">
        <f t="shared" si="1"/>
        <v>19</v>
      </c>
      <c r="B22" s="298" t="s">
        <v>151</v>
      </c>
      <c r="C22" s="328" t="s">
        <v>957</v>
      </c>
      <c r="D22" s="295"/>
      <c r="E22" s="295"/>
      <c r="F22" s="295"/>
      <c r="G22" s="295"/>
      <c r="H22" s="295"/>
      <c r="I22" s="295"/>
      <c r="J22" s="295"/>
      <c r="K22" s="295"/>
      <c r="L22" s="295"/>
      <c r="M22" s="295"/>
      <c r="N22" s="295"/>
      <c r="O22" s="281"/>
      <c r="P22" s="432"/>
    </row>
    <row r="23" spans="1:16" ht="12" customHeight="1" x14ac:dyDescent="0.2">
      <c r="A23" s="282">
        <f t="shared" si="1"/>
        <v>20</v>
      </c>
      <c r="B23" s="298" t="s">
        <v>338</v>
      </c>
      <c r="C23" s="328" t="s">
        <v>1222</v>
      </c>
      <c r="D23" s="295"/>
      <c r="E23" s="295"/>
      <c r="F23" s="295"/>
      <c r="G23" s="295"/>
      <c r="H23" s="295"/>
      <c r="I23" s="295"/>
      <c r="J23" s="295"/>
      <c r="K23" s="295"/>
      <c r="L23" s="295"/>
      <c r="M23" s="295"/>
      <c r="N23" s="295"/>
      <c r="O23" s="281"/>
      <c r="P23" s="432"/>
    </row>
    <row r="24" spans="1:16" ht="12" customHeight="1" x14ac:dyDescent="0.2">
      <c r="A24" s="282">
        <f t="shared" si="1"/>
        <v>21</v>
      </c>
      <c r="B24" s="298" t="s">
        <v>543</v>
      </c>
      <c r="C24" s="328" t="s">
        <v>1689</v>
      </c>
      <c r="D24" s="295"/>
      <c r="E24" s="295"/>
      <c r="F24" s="295"/>
      <c r="G24" s="295"/>
      <c r="H24" s="295"/>
      <c r="I24" s="295"/>
      <c r="J24" s="295"/>
      <c r="K24" s="295"/>
      <c r="L24" s="295"/>
      <c r="M24" s="295"/>
      <c r="N24" s="295"/>
      <c r="O24" s="281"/>
      <c r="P24" s="432"/>
    </row>
    <row r="25" spans="1:16" ht="12" customHeight="1" x14ac:dyDescent="0.2">
      <c r="A25" s="282">
        <f t="shared" si="1"/>
        <v>22</v>
      </c>
      <c r="B25" s="298" t="s">
        <v>544</v>
      </c>
      <c r="C25" s="328" t="s">
        <v>1690</v>
      </c>
      <c r="D25" s="295"/>
      <c r="E25" s="295"/>
      <c r="F25" s="295"/>
      <c r="G25" s="295"/>
      <c r="H25" s="295"/>
      <c r="I25" s="295"/>
      <c r="J25" s="295"/>
      <c r="K25" s="295"/>
      <c r="L25" s="295"/>
      <c r="M25" s="295"/>
      <c r="N25" s="295"/>
      <c r="O25" s="281"/>
      <c r="P25" s="432"/>
    </row>
    <row r="26" spans="1:16" ht="12" customHeight="1" x14ac:dyDescent="0.2">
      <c r="A26" s="282">
        <f t="shared" si="1"/>
        <v>23</v>
      </c>
      <c r="B26" s="298" t="s">
        <v>545</v>
      </c>
      <c r="C26" s="328" t="s">
        <v>1691</v>
      </c>
      <c r="D26" s="295"/>
      <c r="E26" s="295"/>
      <c r="F26" s="295"/>
      <c r="G26" s="295"/>
      <c r="H26" s="295"/>
      <c r="I26" s="295"/>
      <c r="J26" s="295"/>
      <c r="K26" s="295"/>
      <c r="L26" s="295"/>
      <c r="M26" s="295"/>
      <c r="N26" s="295"/>
      <c r="O26" s="281"/>
      <c r="P26" s="432"/>
    </row>
    <row r="27" spans="1:16" ht="12" customHeight="1" x14ac:dyDescent="0.2">
      <c r="A27" s="282">
        <f t="shared" si="1"/>
        <v>24</v>
      </c>
      <c r="B27" s="298" t="s">
        <v>546</v>
      </c>
      <c r="C27" s="328" t="s">
        <v>1692</v>
      </c>
      <c r="D27" s="295"/>
      <c r="E27" s="295"/>
      <c r="F27" s="295"/>
      <c r="G27" s="295"/>
      <c r="H27" s="295"/>
      <c r="I27" s="295"/>
      <c r="J27" s="295"/>
      <c r="K27" s="295"/>
      <c r="L27" s="295"/>
      <c r="M27" s="295"/>
      <c r="N27" s="295"/>
      <c r="O27" s="281"/>
      <c r="P27" s="432"/>
    </row>
    <row r="28" spans="1:16" ht="12" customHeight="1" x14ac:dyDescent="0.2">
      <c r="A28" s="282">
        <f t="shared" si="1"/>
        <v>25</v>
      </c>
      <c r="B28" s="298" t="s">
        <v>547</v>
      </c>
      <c r="C28" s="328" t="s">
        <v>1693</v>
      </c>
      <c r="D28" s="295"/>
      <c r="E28" s="295"/>
      <c r="F28" s="295"/>
      <c r="G28" s="295"/>
      <c r="H28" s="295"/>
      <c r="I28" s="295"/>
      <c r="J28" s="295"/>
      <c r="K28" s="295"/>
      <c r="L28" s="295"/>
      <c r="M28" s="295"/>
      <c r="N28" s="295"/>
      <c r="O28" s="281"/>
      <c r="P28" s="432"/>
    </row>
    <row r="29" spans="1:16" ht="12" customHeight="1" x14ac:dyDescent="0.2">
      <c r="A29" s="282">
        <f t="shared" si="1"/>
        <v>26</v>
      </c>
      <c r="B29" s="298" t="s">
        <v>548</v>
      </c>
      <c r="C29" s="328" t="s">
        <v>1694</v>
      </c>
      <c r="D29" s="295"/>
      <c r="E29" s="295"/>
      <c r="F29" s="295"/>
      <c r="G29" s="295"/>
      <c r="H29" s="295"/>
      <c r="I29" s="295"/>
      <c r="J29" s="295"/>
      <c r="K29" s="295"/>
      <c r="L29" s="295"/>
      <c r="M29" s="295"/>
      <c r="N29" s="295"/>
      <c r="O29" s="281"/>
      <c r="P29" s="432"/>
    </row>
    <row r="30" spans="1:16" ht="12" customHeight="1" x14ac:dyDescent="0.2">
      <c r="A30" s="282">
        <f t="shared" si="1"/>
        <v>27</v>
      </c>
      <c r="B30" s="298" t="s">
        <v>1561</v>
      </c>
      <c r="C30" s="328" t="s">
        <v>1560</v>
      </c>
      <c r="D30" s="295"/>
      <c r="E30" s="295"/>
      <c r="F30" s="295"/>
      <c r="G30" s="295"/>
      <c r="H30" s="295"/>
      <c r="I30" s="295"/>
      <c r="J30" s="295"/>
      <c r="K30" s="295"/>
      <c r="L30" s="295"/>
      <c r="M30" s="295"/>
      <c r="N30" s="295"/>
      <c r="O30" s="281"/>
      <c r="P30" s="432"/>
    </row>
    <row r="31" spans="1:16" ht="12" customHeight="1" x14ac:dyDescent="0.2">
      <c r="A31" s="282">
        <f t="shared" si="1"/>
        <v>28</v>
      </c>
      <c r="B31" s="298" t="s">
        <v>549</v>
      </c>
      <c r="C31" s="328" t="s">
        <v>1695</v>
      </c>
      <c r="D31" s="295"/>
      <c r="E31" s="295"/>
      <c r="F31" s="295"/>
      <c r="G31" s="295"/>
      <c r="H31" s="295"/>
      <c r="I31" s="295"/>
      <c r="J31" s="295"/>
      <c r="K31" s="295"/>
      <c r="L31" s="295"/>
      <c r="M31" s="295"/>
      <c r="N31" s="295"/>
      <c r="O31" s="281"/>
      <c r="P31" s="432"/>
    </row>
    <row r="32" spans="1:16" ht="12" customHeight="1" x14ac:dyDescent="0.2">
      <c r="A32" s="282">
        <f t="shared" si="1"/>
        <v>29</v>
      </c>
      <c r="B32" s="298" t="s">
        <v>550</v>
      </c>
      <c r="C32" s="328" t="s">
        <v>1696</v>
      </c>
      <c r="D32" s="295"/>
      <c r="E32" s="295"/>
      <c r="F32" s="295"/>
      <c r="G32" s="295"/>
      <c r="H32" s="295"/>
      <c r="I32" s="295"/>
      <c r="J32" s="295"/>
      <c r="K32" s="295"/>
      <c r="L32" s="295"/>
      <c r="M32" s="295"/>
      <c r="N32" s="295"/>
      <c r="O32" s="281"/>
      <c r="P32" s="432"/>
    </row>
    <row r="33" spans="1:16" ht="12" customHeight="1" x14ac:dyDescent="0.2">
      <c r="A33" s="282">
        <f t="shared" si="1"/>
        <v>30</v>
      </c>
      <c r="B33" s="298" t="s">
        <v>551</v>
      </c>
      <c r="C33" s="328" t="s">
        <v>1829</v>
      </c>
      <c r="D33" s="295"/>
      <c r="E33" s="295"/>
      <c r="F33" s="295"/>
      <c r="G33" s="295"/>
      <c r="H33" s="295"/>
      <c r="I33" s="295"/>
      <c r="J33" s="295"/>
      <c r="K33" s="295"/>
      <c r="L33" s="295"/>
      <c r="M33" s="295"/>
      <c r="N33" s="295"/>
      <c r="O33" s="281"/>
      <c r="P33" s="432"/>
    </row>
    <row r="34" spans="1:16" ht="12" customHeight="1" x14ac:dyDescent="0.2">
      <c r="A34" s="282">
        <f t="shared" si="1"/>
        <v>31</v>
      </c>
      <c r="B34" s="298" t="s">
        <v>552</v>
      </c>
      <c r="C34" s="328" t="s">
        <v>1697</v>
      </c>
      <c r="D34" s="295"/>
      <c r="E34" s="295"/>
      <c r="F34" s="295"/>
      <c r="G34" s="295"/>
      <c r="H34" s="295"/>
      <c r="I34" s="295"/>
      <c r="J34" s="295"/>
      <c r="K34" s="295"/>
      <c r="L34" s="295"/>
      <c r="M34" s="295"/>
      <c r="N34" s="295"/>
      <c r="O34" s="281"/>
      <c r="P34" s="432"/>
    </row>
    <row r="35" spans="1:16" ht="12" customHeight="1" x14ac:dyDescent="0.2">
      <c r="A35" s="282">
        <f t="shared" si="1"/>
        <v>32</v>
      </c>
      <c r="B35" s="298" t="s">
        <v>553</v>
      </c>
      <c r="C35" s="328" t="s">
        <v>1698</v>
      </c>
      <c r="D35" s="295"/>
      <c r="E35" s="295"/>
      <c r="F35" s="295"/>
      <c r="G35" s="295"/>
      <c r="H35" s="295"/>
      <c r="I35" s="295"/>
      <c r="J35" s="295"/>
      <c r="K35" s="295"/>
      <c r="L35" s="295"/>
      <c r="M35" s="295"/>
      <c r="N35" s="295"/>
      <c r="O35" s="281"/>
      <c r="P35" s="432"/>
    </row>
    <row r="36" spans="1:16" ht="12" customHeight="1" x14ac:dyDescent="0.2">
      <c r="A36" s="282">
        <f t="shared" si="1"/>
        <v>33</v>
      </c>
      <c r="B36" s="298" t="s">
        <v>554</v>
      </c>
      <c r="C36" s="328" t="s">
        <v>1699</v>
      </c>
      <c r="D36" s="295"/>
      <c r="E36" s="295"/>
      <c r="F36" s="295"/>
      <c r="G36" s="295"/>
      <c r="H36" s="295"/>
      <c r="I36" s="295"/>
      <c r="J36" s="295"/>
      <c r="K36" s="295"/>
      <c r="L36" s="295"/>
      <c r="M36" s="295"/>
      <c r="N36" s="295"/>
      <c r="O36" s="281"/>
      <c r="P36" s="432"/>
    </row>
    <row r="37" spans="1:16" ht="12" customHeight="1" x14ac:dyDescent="0.2">
      <c r="A37" s="282">
        <f t="shared" si="1"/>
        <v>34</v>
      </c>
      <c r="B37" s="298" t="s">
        <v>555</v>
      </c>
      <c r="C37" s="328" t="s">
        <v>1700</v>
      </c>
      <c r="D37" s="295"/>
      <c r="E37" s="295"/>
      <c r="F37" s="295"/>
      <c r="G37" s="295"/>
      <c r="H37" s="295"/>
      <c r="I37" s="295"/>
      <c r="J37" s="295"/>
      <c r="K37" s="295"/>
      <c r="L37" s="295"/>
      <c r="M37" s="295"/>
      <c r="N37" s="295"/>
      <c r="O37" s="281"/>
      <c r="P37" s="432"/>
    </row>
    <row r="38" spans="1:16" ht="12" customHeight="1" x14ac:dyDescent="0.2">
      <c r="A38" s="282">
        <f t="shared" si="1"/>
        <v>35</v>
      </c>
      <c r="B38" s="298" t="s">
        <v>556</v>
      </c>
      <c r="C38" s="328" t="s">
        <v>1701</v>
      </c>
      <c r="D38" s="295"/>
      <c r="E38" s="295"/>
      <c r="F38" s="295"/>
      <c r="G38" s="295"/>
      <c r="H38" s="295"/>
      <c r="I38" s="295"/>
      <c r="J38" s="295"/>
      <c r="K38" s="295"/>
      <c r="L38" s="295"/>
      <c r="M38" s="295"/>
      <c r="N38" s="295"/>
      <c r="O38" s="281"/>
      <c r="P38" s="432"/>
    </row>
    <row r="39" spans="1:16" ht="12" customHeight="1" x14ac:dyDescent="0.2">
      <c r="A39" s="282">
        <f t="shared" si="1"/>
        <v>36</v>
      </c>
      <c r="B39" s="298" t="s">
        <v>557</v>
      </c>
      <c r="C39" s="328" t="s">
        <v>1702</v>
      </c>
      <c r="D39" s="295"/>
      <c r="E39" s="295"/>
      <c r="F39" s="295"/>
      <c r="G39" s="295"/>
      <c r="H39" s="295"/>
      <c r="I39" s="295"/>
      <c r="J39" s="295"/>
      <c r="K39" s="295"/>
      <c r="L39" s="295"/>
      <c r="M39" s="295"/>
      <c r="N39" s="295"/>
      <c r="O39" s="281"/>
      <c r="P39" s="432"/>
    </row>
    <row r="40" spans="1:16" ht="12" customHeight="1" x14ac:dyDescent="0.2">
      <c r="A40" s="282">
        <f t="shared" si="1"/>
        <v>37</v>
      </c>
      <c r="B40" s="298" t="s">
        <v>558</v>
      </c>
      <c r="C40" s="328" t="s">
        <v>1703</v>
      </c>
      <c r="D40" s="295"/>
      <c r="E40" s="295"/>
      <c r="F40" s="295"/>
      <c r="G40" s="295"/>
      <c r="H40" s="295"/>
      <c r="I40" s="295"/>
      <c r="J40" s="295"/>
      <c r="K40" s="295"/>
      <c r="L40" s="295"/>
      <c r="M40" s="295"/>
      <c r="N40" s="295"/>
      <c r="O40" s="281"/>
      <c r="P40" s="432"/>
    </row>
    <row r="41" spans="1:16" ht="12" customHeight="1" x14ac:dyDescent="0.2">
      <c r="A41" s="282">
        <f t="shared" si="1"/>
        <v>38</v>
      </c>
      <c r="B41" s="298" t="s">
        <v>559</v>
      </c>
      <c r="C41" s="328" t="s">
        <v>1704</v>
      </c>
      <c r="D41" s="295"/>
      <c r="E41" s="295"/>
      <c r="F41" s="295"/>
      <c r="G41" s="295"/>
      <c r="H41" s="295"/>
      <c r="I41" s="295"/>
      <c r="J41" s="295"/>
      <c r="K41" s="295"/>
      <c r="L41" s="295"/>
      <c r="M41" s="295"/>
      <c r="N41" s="295"/>
      <c r="O41" s="281"/>
      <c r="P41" s="432"/>
    </row>
    <row r="42" spans="1:16" ht="12" customHeight="1" x14ac:dyDescent="0.2">
      <c r="A42" s="282">
        <f t="shared" si="1"/>
        <v>39</v>
      </c>
      <c r="B42" s="298" t="s">
        <v>560</v>
      </c>
      <c r="C42" s="328" t="s">
        <v>1705</v>
      </c>
      <c r="D42" s="295"/>
      <c r="E42" s="295"/>
      <c r="F42" s="295"/>
      <c r="G42" s="295"/>
      <c r="H42" s="295"/>
      <c r="I42" s="295"/>
      <c r="J42" s="295"/>
      <c r="K42" s="295"/>
      <c r="L42" s="295"/>
      <c r="M42" s="295"/>
      <c r="N42" s="295"/>
      <c r="O42" s="281"/>
      <c r="P42" s="432"/>
    </row>
    <row r="43" spans="1:16" ht="12" customHeight="1" x14ac:dyDescent="0.2">
      <c r="A43" s="282">
        <f t="shared" si="1"/>
        <v>40</v>
      </c>
      <c r="B43" s="298" t="s">
        <v>1563</v>
      </c>
      <c r="C43" s="328" t="s">
        <v>1562</v>
      </c>
      <c r="D43" s="295"/>
      <c r="E43" s="295"/>
      <c r="F43" s="295"/>
      <c r="G43" s="295"/>
      <c r="H43" s="295"/>
      <c r="I43" s="295"/>
      <c r="J43" s="295"/>
      <c r="K43" s="295"/>
      <c r="L43" s="295"/>
      <c r="M43" s="295"/>
      <c r="N43" s="295"/>
      <c r="O43" s="281"/>
      <c r="P43" s="432"/>
    </row>
    <row r="44" spans="1:16" ht="12" customHeight="1" x14ac:dyDescent="0.2">
      <c r="A44" s="282">
        <f t="shared" si="1"/>
        <v>41</v>
      </c>
      <c r="B44" s="298" t="s">
        <v>561</v>
      </c>
      <c r="C44" s="328" t="s">
        <v>1706</v>
      </c>
      <c r="D44" s="295"/>
      <c r="E44" s="295"/>
      <c r="F44" s="295"/>
      <c r="G44" s="295"/>
      <c r="H44" s="295"/>
      <c r="I44" s="295"/>
      <c r="J44" s="295"/>
      <c r="K44" s="295"/>
      <c r="L44" s="295"/>
      <c r="M44" s="295"/>
      <c r="N44" s="295"/>
      <c r="O44" s="281"/>
      <c r="P44" s="432"/>
    </row>
    <row r="45" spans="1:16" ht="12" customHeight="1" x14ac:dyDescent="0.2">
      <c r="A45" s="282">
        <f t="shared" si="1"/>
        <v>42</v>
      </c>
      <c r="B45" s="298" t="s">
        <v>562</v>
      </c>
      <c r="C45" s="328" t="s">
        <v>1707</v>
      </c>
      <c r="D45" s="295"/>
      <c r="E45" s="295"/>
      <c r="F45" s="295"/>
      <c r="G45" s="295"/>
      <c r="H45" s="295"/>
      <c r="I45" s="295"/>
      <c r="J45" s="295"/>
      <c r="K45" s="295"/>
      <c r="L45" s="295"/>
      <c r="M45" s="295"/>
      <c r="N45" s="295"/>
      <c r="O45" s="281"/>
      <c r="P45" s="432"/>
    </row>
    <row r="46" spans="1:16" ht="12" customHeight="1" x14ac:dyDescent="0.2">
      <c r="A46" s="282">
        <f t="shared" si="1"/>
        <v>43</v>
      </c>
      <c r="B46" s="298" t="s">
        <v>563</v>
      </c>
      <c r="C46" s="328" t="s">
        <v>1708</v>
      </c>
      <c r="D46" s="295"/>
      <c r="E46" s="295"/>
      <c r="F46" s="295"/>
      <c r="G46" s="295"/>
      <c r="H46" s="295"/>
      <c r="I46" s="295"/>
      <c r="J46" s="295"/>
      <c r="K46" s="295"/>
      <c r="L46" s="295"/>
      <c r="M46" s="295"/>
      <c r="N46" s="295"/>
      <c r="O46" s="281"/>
      <c r="P46" s="432"/>
    </row>
    <row r="47" spans="1:16" ht="12" customHeight="1" x14ac:dyDescent="0.2">
      <c r="A47" s="282">
        <f t="shared" si="1"/>
        <v>44</v>
      </c>
      <c r="B47" s="298" t="s">
        <v>564</v>
      </c>
      <c r="C47" s="328" t="s">
        <v>1709</v>
      </c>
      <c r="D47" s="295"/>
      <c r="E47" s="295"/>
      <c r="F47" s="295"/>
      <c r="G47" s="295"/>
      <c r="H47" s="295"/>
      <c r="I47" s="295"/>
      <c r="J47" s="295"/>
      <c r="K47" s="295"/>
      <c r="L47" s="295"/>
      <c r="M47" s="295"/>
      <c r="N47" s="295"/>
      <c r="O47" s="281"/>
      <c r="P47" s="432"/>
    </row>
    <row r="48" spans="1:16" ht="12" customHeight="1" x14ac:dyDescent="0.2">
      <c r="A48" s="282">
        <f t="shared" si="1"/>
        <v>45</v>
      </c>
      <c r="B48" s="298" t="s">
        <v>1565</v>
      </c>
      <c r="C48" s="328" t="s">
        <v>1564</v>
      </c>
      <c r="D48" s="295"/>
      <c r="E48" s="295"/>
      <c r="F48" s="295"/>
      <c r="G48" s="295"/>
      <c r="H48" s="295"/>
      <c r="I48" s="295"/>
      <c r="J48" s="295"/>
      <c r="K48" s="295"/>
      <c r="L48" s="295"/>
      <c r="M48" s="295"/>
      <c r="N48" s="295"/>
      <c r="O48" s="281"/>
      <c r="P48" s="432"/>
    </row>
    <row r="49" spans="1:16" ht="12" customHeight="1" x14ac:dyDescent="0.2">
      <c r="A49" s="282">
        <f t="shared" si="1"/>
        <v>46</v>
      </c>
      <c r="B49" s="298" t="s">
        <v>707</v>
      </c>
      <c r="C49" s="328" t="s">
        <v>958</v>
      </c>
      <c r="D49" s="295"/>
      <c r="E49" s="295"/>
      <c r="F49" s="295"/>
      <c r="G49" s="295"/>
      <c r="H49" s="295"/>
      <c r="I49" s="295"/>
      <c r="J49" s="295"/>
      <c r="K49" s="295"/>
      <c r="L49" s="295"/>
      <c r="M49" s="295"/>
      <c r="N49" s="295"/>
      <c r="O49" s="281"/>
      <c r="P49" s="432"/>
    </row>
    <row r="50" spans="1:16" ht="12" customHeight="1" x14ac:dyDescent="0.2">
      <c r="A50" s="282">
        <f t="shared" si="1"/>
        <v>47</v>
      </c>
      <c r="B50" s="298" t="s">
        <v>565</v>
      </c>
      <c r="C50" s="328" t="s">
        <v>959</v>
      </c>
      <c r="D50" s="295"/>
      <c r="E50" s="295"/>
      <c r="F50" s="295"/>
      <c r="G50" s="295"/>
      <c r="H50" s="295"/>
      <c r="I50" s="295"/>
      <c r="J50" s="295"/>
      <c r="K50" s="295"/>
      <c r="L50" s="295"/>
      <c r="M50" s="295"/>
      <c r="N50" s="295"/>
      <c r="O50" s="281"/>
      <c r="P50" s="432"/>
    </row>
    <row r="51" spans="1:16" ht="12" customHeight="1" x14ac:dyDescent="0.2">
      <c r="A51" s="282">
        <f t="shared" si="1"/>
        <v>48</v>
      </c>
      <c r="B51" s="298" t="s">
        <v>566</v>
      </c>
      <c r="C51" s="328" t="s">
        <v>1265</v>
      </c>
      <c r="D51" s="295"/>
      <c r="E51" s="295"/>
      <c r="F51" s="295"/>
      <c r="G51" s="295"/>
      <c r="H51" s="295"/>
      <c r="I51" s="295"/>
      <c r="J51" s="295"/>
      <c r="K51" s="295"/>
      <c r="L51" s="295"/>
      <c r="M51" s="295"/>
      <c r="N51" s="295"/>
      <c r="O51" s="281"/>
      <c r="P51" s="432"/>
    </row>
    <row r="52" spans="1:16" ht="12" customHeight="1" x14ac:dyDescent="0.2">
      <c r="A52" s="282">
        <f t="shared" si="1"/>
        <v>49</v>
      </c>
      <c r="B52" s="298" t="s">
        <v>567</v>
      </c>
      <c r="C52" s="328" t="s">
        <v>960</v>
      </c>
      <c r="D52" s="295"/>
      <c r="E52" s="295"/>
      <c r="F52" s="295"/>
      <c r="G52" s="295"/>
      <c r="H52" s="295"/>
      <c r="I52" s="295"/>
      <c r="J52" s="295"/>
      <c r="K52" s="295"/>
      <c r="L52" s="295"/>
      <c r="M52" s="295"/>
      <c r="N52" s="295"/>
      <c r="O52" s="281"/>
      <c r="P52" s="432"/>
    </row>
    <row r="53" spans="1:16" ht="12" customHeight="1" x14ac:dyDescent="0.2">
      <c r="A53" s="282">
        <f t="shared" si="1"/>
        <v>50</v>
      </c>
      <c r="B53" s="298" t="s">
        <v>568</v>
      </c>
      <c r="C53" s="328" t="s">
        <v>1266</v>
      </c>
      <c r="D53" s="295"/>
      <c r="E53" s="295"/>
      <c r="F53" s="295"/>
      <c r="G53" s="295"/>
      <c r="H53" s="295"/>
      <c r="I53" s="295"/>
      <c r="J53" s="295"/>
      <c r="K53" s="295"/>
      <c r="L53" s="295"/>
      <c r="M53" s="295"/>
      <c r="N53" s="295"/>
      <c r="O53" s="281"/>
      <c r="P53" s="432"/>
    </row>
    <row r="54" spans="1:16" ht="12" customHeight="1" x14ac:dyDescent="0.2">
      <c r="A54" s="282">
        <f t="shared" si="1"/>
        <v>51</v>
      </c>
      <c r="B54" s="298" t="s">
        <v>569</v>
      </c>
      <c r="C54" s="328" t="s">
        <v>1267</v>
      </c>
      <c r="D54" s="295"/>
      <c r="E54" s="295"/>
      <c r="F54" s="295"/>
      <c r="G54" s="295"/>
      <c r="H54" s="295"/>
      <c r="I54" s="295"/>
      <c r="J54" s="295"/>
      <c r="K54" s="295"/>
      <c r="L54" s="295"/>
      <c r="M54" s="295"/>
      <c r="N54" s="295"/>
      <c r="O54" s="281"/>
      <c r="P54" s="432"/>
    </row>
    <row r="55" spans="1:16" ht="12" customHeight="1" x14ac:dyDescent="0.2">
      <c r="A55" s="282">
        <f t="shared" si="1"/>
        <v>52</v>
      </c>
      <c r="B55" s="298" t="s">
        <v>570</v>
      </c>
      <c r="C55" s="328" t="s">
        <v>961</v>
      </c>
      <c r="D55" s="295"/>
      <c r="E55" s="295"/>
      <c r="F55" s="295"/>
      <c r="G55" s="295"/>
      <c r="H55" s="295"/>
      <c r="I55" s="295"/>
      <c r="J55" s="295"/>
      <c r="K55" s="295"/>
      <c r="L55" s="295"/>
      <c r="M55" s="295"/>
      <c r="N55" s="295"/>
      <c r="O55" s="281"/>
      <c r="P55" s="432"/>
    </row>
    <row r="56" spans="1:16" ht="12" customHeight="1" x14ac:dyDescent="0.2">
      <c r="A56" s="282">
        <f t="shared" si="1"/>
        <v>53</v>
      </c>
      <c r="B56" s="298" t="s">
        <v>571</v>
      </c>
      <c r="C56" s="328" t="s">
        <v>962</v>
      </c>
      <c r="D56" s="295"/>
      <c r="E56" s="295"/>
      <c r="F56" s="295"/>
      <c r="G56" s="295"/>
      <c r="H56" s="295"/>
      <c r="I56" s="295"/>
      <c r="J56" s="295"/>
      <c r="K56" s="295"/>
      <c r="L56" s="295"/>
      <c r="M56" s="295"/>
      <c r="N56" s="295"/>
      <c r="O56" s="281"/>
      <c r="P56" s="432"/>
    </row>
    <row r="57" spans="1:16" ht="12" customHeight="1" x14ac:dyDescent="0.2">
      <c r="A57" s="282">
        <f t="shared" si="1"/>
        <v>54</v>
      </c>
      <c r="B57" s="298" t="s">
        <v>572</v>
      </c>
      <c r="C57" s="328" t="s">
        <v>963</v>
      </c>
      <c r="D57" s="295"/>
      <c r="E57" s="295"/>
      <c r="F57" s="295"/>
      <c r="G57" s="295"/>
      <c r="H57" s="295"/>
      <c r="I57" s="295"/>
      <c r="J57" s="295"/>
      <c r="K57" s="295"/>
      <c r="L57" s="295"/>
      <c r="M57" s="295"/>
      <c r="N57" s="295"/>
      <c r="O57" s="281"/>
      <c r="P57" s="432"/>
    </row>
    <row r="58" spans="1:16" ht="12" customHeight="1" x14ac:dyDescent="0.2">
      <c r="A58" s="282">
        <f t="shared" si="1"/>
        <v>55</v>
      </c>
      <c r="B58" s="298" t="s">
        <v>573</v>
      </c>
      <c r="C58" s="328" t="s">
        <v>964</v>
      </c>
      <c r="D58" s="295"/>
      <c r="E58" s="295"/>
      <c r="F58" s="295"/>
      <c r="G58" s="295"/>
      <c r="H58" s="295"/>
      <c r="I58" s="295"/>
      <c r="J58" s="295"/>
      <c r="K58" s="295"/>
      <c r="L58" s="295"/>
      <c r="M58" s="295"/>
      <c r="N58" s="295"/>
      <c r="O58" s="281"/>
      <c r="P58" s="432"/>
    </row>
    <row r="59" spans="1:16" ht="12" customHeight="1" x14ac:dyDescent="0.2">
      <c r="A59" s="282">
        <f t="shared" si="1"/>
        <v>56</v>
      </c>
      <c r="B59" s="298" t="s">
        <v>574</v>
      </c>
      <c r="C59" s="328" t="s">
        <v>965</v>
      </c>
      <c r="D59" s="295"/>
      <c r="E59" s="295"/>
      <c r="F59" s="295"/>
      <c r="G59" s="295"/>
      <c r="H59" s="295"/>
      <c r="I59" s="295"/>
      <c r="J59" s="295"/>
      <c r="K59" s="295"/>
      <c r="L59" s="295"/>
      <c r="M59" s="295"/>
      <c r="N59" s="295"/>
      <c r="O59" s="281"/>
      <c r="P59" s="432"/>
    </row>
    <row r="60" spans="1:16" ht="12" customHeight="1" x14ac:dyDescent="0.2">
      <c r="A60" s="282">
        <f t="shared" si="1"/>
        <v>57</v>
      </c>
      <c r="B60" s="298" t="s">
        <v>575</v>
      </c>
      <c r="C60" s="328" t="s">
        <v>966</v>
      </c>
      <c r="D60" s="295"/>
      <c r="E60" s="295"/>
      <c r="F60" s="295"/>
      <c r="G60" s="295"/>
      <c r="H60" s="295"/>
      <c r="I60" s="295"/>
      <c r="J60" s="295"/>
      <c r="K60" s="295"/>
      <c r="L60" s="295"/>
      <c r="M60" s="295"/>
      <c r="N60" s="295"/>
      <c r="O60" s="281"/>
      <c r="P60" s="432"/>
    </row>
    <row r="61" spans="1:16" ht="12" customHeight="1" x14ac:dyDescent="0.2">
      <c r="A61" s="282">
        <f t="shared" si="1"/>
        <v>58</v>
      </c>
      <c r="B61" s="298" t="s">
        <v>576</v>
      </c>
      <c r="C61" s="328" t="s">
        <v>967</v>
      </c>
      <c r="D61" s="295"/>
      <c r="E61" s="295"/>
      <c r="F61" s="295"/>
      <c r="G61" s="295"/>
      <c r="H61" s="295"/>
      <c r="I61" s="295"/>
      <c r="J61" s="295"/>
      <c r="K61" s="295"/>
      <c r="L61" s="295"/>
      <c r="M61" s="295"/>
      <c r="N61" s="295"/>
      <c r="O61" s="281"/>
      <c r="P61" s="432"/>
    </row>
    <row r="62" spans="1:16" ht="12" customHeight="1" x14ac:dyDescent="0.2">
      <c r="A62" s="282">
        <f t="shared" si="1"/>
        <v>59</v>
      </c>
      <c r="B62" s="298" t="s">
        <v>524</v>
      </c>
      <c r="C62" s="328" t="s">
        <v>968</v>
      </c>
      <c r="D62" s="295"/>
      <c r="E62" s="295"/>
      <c r="F62" s="295"/>
      <c r="G62" s="295"/>
      <c r="H62" s="295"/>
      <c r="I62" s="295"/>
      <c r="J62" s="295"/>
      <c r="K62" s="295"/>
      <c r="L62" s="295"/>
      <c r="M62" s="295"/>
      <c r="N62" s="295"/>
      <c r="O62" s="281"/>
      <c r="P62" s="432"/>
    </row>
    <row r="63" spans="1:16" ht="12" customHeight="1" x14ac:dyDescent="0.2">
      <c r="A63" s="282">
        <f t="shared" si="1"/>
        <v>60</v>
      </c>
      <c r="B63" s="298" t="s">
        <v>577</v>
      </c>
      <c r="C63" s="328" t="s">
        <v>969</v>
      </c>
      <c r="D63" s="295"/>
      <c r="E63" s="295"/>
      <c r="F63" s="295"/>
      <c r="G63" s="295"/>
      <c r="H63" s="295"/>
      <c r="I63" s="295"/>
      <c r="J63" s="295"/>
      <c r="K63" s="295"/>
      <c r="L63" s="295"/>
      <c r="M63" s="295"/>
      <c r="N63" s="295"/>
      <c r="O63" s="281"/>
      <c r="P63" s="432"/>
    </row>
    <row r="64" spans="1:16" ht="12" customHeight="1" x14ac:dyDescent="0.2">
      <c r="A64" s="282">
        <f t="shared" si="1"/>
        <v>61</v>
      </c>
      <c r="B64" s="298" t="s">
        <v>1343</v>
      </c>
      <c r="C64" s="329" t="s">
        <v>1341</v>
      </c>
      <c r="D64" s="295"/>
      <c r="E64" s="295"/>
      <c r="F64" s="295"/>
      <c r="G64" s="295"/>
      <c r="H64" s="295"/>
      <c r="I64" s="295"/>
      <c r="J64" s="295"/>
      <c r="K64" s="295"/>
      <c r="L64" s="295"/>
      <c r="M64" s="295"/>
      <c r="N64" s="295"/>
      <c r="O64" s="281"/>
      <c r="P64" s="432"/>
    </row>
    <row r="65" spans="1:16" ht="12" customHeight="1" x14ac:dyDescent="0.2">
      <c r="A65" s="282">
        <f t="shared" si="1"/>
        <v>62</v>
      </c>
      <c r="B65" s="298" t="s">
        <v>578</v>
      </c>
      <c r="C65" s="329" t="s">
        <v>1342</v>
      </c>
      <c r="D65" s="295"/>
      <c r="E65" s="295"/>
      <c r="F65" s="295"/>
      <c r="G65" s="295"/>
      <c r="H65" s="295"/>
      <c r="I65" s="295"/>
      <c r="J65" s="295"/>
      <c r="K65" s="295"/>
      <c r="L65" s="295"/>
      <c r="M65" s="295"/>
      <c r="N65" s="295"/>
      <c r="O65" s="281"/>
      <c r="P65" s="432"/>
    </row>
    <row r="66" spans="1:16" s="587" customFormat="1" ht="12" customHeight="1" x14ac:dyDescent="0.2">
      <c r="A66" s="586">
        <f t="shared" si="1"/>
        <v>63</v>
      </c>
      <c r="B66" s="299" t="s">
        <v>156</v>
      </c>
      <c r="C66" s="330" t="s">
        <v>1744</v>
      </c>
      <c r="D66" s="297"/>
      <c r="E66" s="297"/>
      <c r="F66" s="297"/>
      <c r="G66" s="297"/>
      <c r="H66" s="297"/>
      <c r="I66" s="297"/>
      <c r="J66" s="297"/>
      <c r="K66" s="297"/>
      <c r="L66" s="297"/>
      <c r="M66" s="297"/>
      <c r="N66" s="297"/>
      <c r="O66" s="283"/>
      <c r="P66" s="433"/>
    </row>
    <row r="67" spans="1:16" ht="12" customHeight="1" x14ac:dyDescent="0.2">
      <c r="A67" s="282">
        <f t="shared" si="1"/>
        <v>64</v>
      </c>
      <c r="B67" s="298" t="s">
        <v>579</v>
      </c>
      <c r="C67" s="329" t="s">
        <v>970</v>
      </c>
      <c r="D67" s="296"/>
      <c r="E67" s="296"/>
      <c r="F67" s="296"/>
      <c r="G67" s="296"/>
      <c r="H67" s="296"/>
      <c r="I67" s="296"/>
      <c r="J67" s="296"/>
      <c r="K67" s="296"/>
      <c r="L67" s="296"/>
      <c r="M67" s="296"/>
      <c r="N67" s="296"/>
      <c r="O67" s="281"/>
      <c r="P67" s="432"/>
    </row>
    <row r="68" spans="1:16" ht="12" customHeight="1" x14ac:dyDescent="0.2">
      <c r="A68" s="282">
        <f t="shared" si="1"/>
        <v>65</v>
      </c>
      <c r="B68" s="298" t="s">
        <v>1350</v>
      </c>
      <c r="C68" s="329" t="s">
        <v>1344</v>
      </c>
      <c r="D68" s="296"/>
      <c r="E68" s="296"/>
      <c r="F68" s="296"/>
      <c r="G68" s="296"/>
      <c r="H68" s="296"/>
      <c r="I68" s="296"/>
      <c r="J68" s="296"/>
      <c r="K68" s="296"/>
      <c r="L68" s="296"/>
      <c r="M68" s="296"/>
      <c r="N68" s="296"/>
      <c r="O68" s="281"/>
      <c r="P68" s="432"/>
    </row>
    <row r="69" spans="1:16" ht="12" customHeight="1" x14ac:dyDescent="0.2">
      <c r="A69" s="282">
        <f t="shared" si="1"/>
        <v>66</v>
      </c>
      <c r="B69" s="298" t="s">
        <v>580</v>
      </c>
      <c r="C69" s="329" t="s">
        <v>971</v>
      </c>
      <c r="D69" s="296"/>
      <c r="E69" s="296"/>
      <c r="F69" s="296"/>
      <c r="G69" s="296"/>
      <c r="H69" s="296"/>
      <c r="I69" s="296"/>
      <c r="J69" s="296"/>
      <c r="K69" s="296"/>
      <c r="L69" s="296"/>
      <c r="M69" s="296"/>
      <c r="N69" s="296"/>
      <c r="O69" s="281"/>
      <c r="P69" s="432"/>
    </row>
    <row r="70" spans="1:16" ht="12" customHeight="1" x14ac:dyDescent="0.2">
      <c r="A70" s="282">
        <f t="shared" si="1"/>
        <v>67</v>
      </c>
      <c r="B70" s="298" t="s">
        <v>581</v>
      </c>
      <c r="C70" s="329" t="s">
        <v>972</v>
      </c>
      <c r="D70" s="296"/>
      <c r="E70" s="296"/>
      <c r="F70" s="296"/>
      <c r="G70" s="296"/>
      <c r="H70" s="296"/>
      <c r="I70" s="296"/>
      <c r="J70" s="296"/>
      <c r="K70" s="296"/>
      <c r="L70" s="296"/>
      <c r="M70" s="296"/>
      <c r="N70" s="296"/>
      <c r="O70" s="281"/>
      <c r="P70" s="432"/>
    </row>
    <row r="71" spans="1:16" ht="12" customHeight="1" x14ac:dyDescent="0.2">
      <c r="A71" s="282">
        <f t="shared" si="1"/>
        <v>68</v>
      </c>
      <c r="B71" s="298" t="s">
        <v>1351</v>
      </c>
      <c r="C71" s="329" t="s">
        <v>1345</v>
      </c>
      <c r="D71" s="296"/>
      <c r="E71" s="296"/>
      <c r="F71" s="296"/>
      <c r="G71" s="296"/>
      <c r="H71" s="296"/>
      <c r="I71" s="296"/>
      <c r="J71" s="296"/>
      <c r="K71" s="296"/>
      <c r="L71" s="296"/>
      <c r="M71" s="296"/>
      <c r="N71" s="296"/>
      <c r="O71" s="281"/>
      <c r="P71" s="432"/>
    </row>
    <row r="72" spans="1:16" ht="12" customHeight="1" x14ac:dyDescent="0.2">
      <c r="A72" s="282">
        <f t="shared" si="1"/>
        <v>69</v>
      </c>
      <c r="B72" s="298" t="s">
        <v>582</v>
      </c>
      <c r="C72" s="329" t="s">
        <v>973</v>
      </c>
      <c r="D72" s="296"/>
      <c r="E72" s="296"/>
      <c r="F72" s="296"/>
      <c r="G72" s="296"/>
      <c r="H72" s="296"/>
      <c r="I72" s="296"/>
      <c r="J72" s="296"/>
      <c r="K72" s="296"/>
      <c r="L72" s="296"/>
      <c r="M72" s="296"/>
      <c r="N72" s="296"/>
      <c r="O72" s="281"/>
      <c r="P72" s="432"/>
    </row>
    <row r="73" spans="1:16" ht="12" customHeight="1" x14ac:dyDescent="0.2">
      <c r="A73" s="282">
        <f t="shared" si="1"/>
        <v>70</v>
      </c>
      <c r="B73" s="298" t="s">
        <v>583</v>
      </c>
      <c r="C73" s="329" t="s">
        <v>974</v>
      </c>
      <c r="D73" s="296"/>
      <c r="E73" s="296"/>
      <c r="F73" s="296"/>
      <c r="G73" s="296"/>
      <c r="H73" s="296"/>
      <c r="I73" s="296"/>
      <c r="J73" s="296"/>
      <c r="K73" s="296"/>
      <c r="L73" s="296"/>
      <c r="M73" s="296"/>
      <c r="N73" s="296"/>
      <c r="O73" s="281"/>
      <c r="P73" s="432"/>
    </row>
    <row r="74" spans="1:16" ht="12" customHeight="1" x14ac:dyDescent="0.2">
      <c r="A74" s="282">
        <f t="shared" si="1"/>
        <v>71</v>
      </c>
      <c r="B74" s="298" t="s">
        <v>1352</v>
      </c>
      <c r="C74" s="329" t="s">
        <v>1346</v>
      </c>
      <c r="D74" s="296"/>
      <c r="E74" s="296"/>
      <c r="F74" s="296"/>
      <c r="G74" s="296"/>
      <c r="H74" s="296"/>
      <c r="I74" s="296"/>
      <c r="J74" s="296"/>
      <c r="K74" s="296"/>
      <c r="L74" s="296"/>
      <c r="M74" s="296"/>
      <c r="N74" s="296"/>
      <c r="O74" s="281"/>
      <c r="P74" s="432"/>
    </row>
    <row r="75" spans="1:16" ht="12" customHeight="1" x14ac:dyDescent="0.2">
      <c r="A75" s="282">
        <f t="shared" si="1"/>
        <v>72</v>
      </c>
      <c r="B75" s="298" t="s">
        <v>584</v>
      </c>
      <c r="C75" s="329" t="s">
        <v>975</v>
      </c>
      <c r="D75" s="296"/>
      <c r="E75" s="296"/>
      <c r="F75" s="296"/>
      <c r="G75" s="296"/>
      <c r="H75" s="296"/>
      <c r="I75" s="296"/>
      <c r="J75" s="296"/>
      <c r="K75" s="296"/>
      <c r="L75" s="296"/>
      <c r="M75" s="296"/>
      <c r="N75" s="296"/>
      <c r="O75" s="281"/>
      <c r="P75" s="432"/>
    </row>
    <row r="76" spans="1:16" ht="12" customHeight="1" x14ac:dyDescent="0.2">
      <c r="A76" s="282">
        <f t="shared" si="1"/>
        <v>73</v>
      </c>
      <c r="B76" s="298" t="s">
        <v>585</v>
      </c>
      <c r="C76" s="329" t="s">
        <v>976</v>
      </c>
      <c r="D76" s="296"/>
      <c r="E76" s="296"/>
      <c r="F76" s="296"/>
      <c r="G76" s="296"/>
      <c r="H76" s="296"/>
      <c r="I76" s="296"/>
      <c r="J76" s="296"/>
      <c r="K76" s="296"/>
      <c r="L76" s="296"/>
      <c r="M76" s="296"/>
      <c r="N76" s="296"/>
      <c r="O76" s="281"/>
      <c r="P76" s="432"/>
    </row>
    <row r="77" spans="1:16" ht="12" customHeight="1" x14ac:dyDescent="0.2">
      <c r="A77" s="282">
        <f t="shared" si="1"/>
        <v>74</v>
      </c>
      <c r="B77" s="298" t="s">
        <v>1353</v>
      </c>
      <c r="C77" s="329" t="s">
        <v>1347</v>
      </c>
      <c r="D77" s="296"/>
      <c r="E77" s="296"/>
      <c r="F77" s="296"/>
      <c r="G77" s="296"/>
      <c r="H77" s="296"/>
      <c r="I77" s="296"/>
      <c r="J77" s="296"/>
      <c r="K77" s="296"/>
      <c r="L77" s="296"/>
      <c r="M77" s="296"/>
      <c r="N77" s="296"/>
      <c r="O77" s="281"/>
      <c r="P77" s="432"/>
    </row>
    <row r="78" spans="1:16" ht="12" customHeight="1" x14ac:dyDescent="0.2">
      <c r="A78" s="282">
        <f t="shared" si="1"/>
        <v>75</v>
      </c>
      <c r="B78" s="298" t="s">
        <v>159</v>
      </c>
      <c r="C78" s="329" t="s">
        <v>977</v>
      </c>
      <c r="D78" s="296"/>
      <c r="E78" s="296"/>
      <c r="F78" s="296"/>
      <c r="G78" s="296"/>
      <c r="H78" s="296"/>
      <c r="I78" s="296"/>
      <c r="J78" s="296"/>
      <c r="K78" s="296"/>
      <c r="L78" s="296"/>
      <c r="M78" s="296"/>
      <c r="N78" s="296"/>
      <c r="O78" s="281"/>
      <c r="P78" s="432"/>
    </row>
    <row r="79" spans="1:16" ht="12" customHeight="1" x14ac:dyDescent="0.2">
      <c r="A79" s="282">
        <f t="shared" si="1"/>
        <v>76</v>
      </c>
      <c r="B79" s="298" t="s">
        <v>586</v>
      </c>
      <c r="C79" s="329" t="s">
        <v>978</v>
      </c>
      <c r="D79" s="296"/>
      <c r="E79" s="296"/>
      <c r="F79" s="296"/>
      <c r="G79" s="296"/>
      <c r="H79" s="296"/>
      <c r="I79" s="296"/>
      <c r="J79" s="296"/>
      <c r="K79" s="296"/>
      <c r="L79" s="296"/>
      <c r="M79" s="296"/>
      <c r="N79" s="296"/>
      <c r="O79" s="281"/>
      <c r="P79" s="432"/>
    </row>
    <row r="80" spans="1:16" ht="12" customHeight="1" x14ac:dyDescent="0.2">
      <c r="A80" s="282">
        <f t="shared" si="1"/>
        <v>77</v>
      </c>
      <c r="B80" s="298" t="s">
        <v>587</v>
      </c>
      <c r="C80" s="329" t="s">
        <v>979</v>
      </c>
      <c r="D80" s="296"/>
      <c r="E80" s="296"/>
      <c r="F80" s="296"/>
      <c r="G80" s="296"/>
      <c r="H80" s="296"/>
      <c r="I80" s="296"/>
      <c r="J80" s="296"/>
      <c r="K80" s="296"/>
      <c r="L80" s="296"/>
      <c r="M80" s="296"/>
      <c r="N80" s="296"/>
      <c r="O80" s="281"/>
      <c r="P80" s="432"/>
    </row>
    <row r="81" spans="1:16" ht="12" customHeight="1" x14ac:dyDescent="0.2">
      <c r="A81" s="282">
        <f t="shared" si="1"/>
        <v>78</v>
      </c>
      <c r="B81" s="298" t="s">
        <v>1354</v>
      </c>
      <c r="C81" s="329" t="s">
        <v>1348</v>
      </c>
      <c r="D81" s="296"/>
      <c r="E81" s="296"/>
      <c r="F81" s="296"/>
      <c r="G81" s="296"/>
      <c r="H81" s="296"/>
      <c r="I81" s="296"/>
      <c r="J81" s="296"/>
      <c r="K81" s="296"/>
      <c r="L81" s="296"/>
      <c r="M81" s="296"/>
      <c r="N81" s="296"/>
      <c r="O81" s="281"/>
      <c r="P81" s="432"/>
    </row>
    <row r="82" spans="1:16" ht="12" customHeight="1" x14ac:dyDescent="0.2">
      <c r="A82" s="282">
        <f t="shared" si="1"/>
        <v>79</v>
      </c>
      <c r="B82" s="298" t="s">
        <v>161</v>
      </c>
      <c r="C82" s="329" t="s">
        <v>980</v>
      </c>
      <c r="D82" s="296"/>
      <c r="E82" s="296"/>
      <c r="F82" s="296"/>
      <c r="G82" s="296"/>
      <c r="H82" s="296"/>
      <c r="I82" s="296"/>
      <c r="J82" s="296"/>
      <c r="K82" s="296"/>
      <c r="L82" s="296"/>
      <c r="M82" s="296"/>
      <c r="N82" s="296"/>
      <c r="O82" s="281"/>
      <c r="P82" s="432"/>
    </row>
    <row r="83" spans="1:16" ht="12" customHeight="1" x14ac:dyDescent="0.2">
      <c r="A83" s="282">
        <f t="shared" si="1"/>
        <v>80</v>
      </c>
      <c r="B83" s="298" t="s">
        <v>588</v>
      </c>
      <c r="C83" s="329" t="s">
        <v>981</v>
      </c>
      <c r="D83" s="296"/>
      <c r="E83" s="296"/>
      <c r="F83" s="296"/>
      <c r="G83" s="296"/>
      <c r="H83" s="296"/>
      <c r="I83" s="296"/>
      <c r="J83" s="296"/>
      <c r="K83" s="296"/>
      <c r="L83" s="296"/>
      <c r="M83" s="296"/>
      <c r="N83" s="296"/>
      <c r="O83" s="281"/>
      <c r="P83" s="432"/>
    </row>
    <row r="84" spans="1:16" ht="12" customHeight="1" x14ac:dyDescent="0.2">
      <c r="A84" s="282">
        <f t="shared" ref="A84:A147" si="2">A83+1</f>
        <v>81</v>
      </c>
      <c r="B84" s="298" t="s">
        <v>1355</v>
      </c>
      <c r="C84" s="329" t="s">
        <v>1349</v>
      </c>
      <c r="D84" s="296"/>
      <c r="E84" s="296"/>
      <c r="F84" s="296"/>
      <c r="G84" s="296"/>
      <c r="H84" s="296"/>
      <c r="I84" s="296"/>
      <c r="J84" s="296"/>
      <c r="K84" s="296"/>
      <c r="L84" s="296"/>
      <c r="M84" s="296"/>
      <c r="N84" s="296"/>
      <c r="O84" s="281"/>
      <c r="P84" s="432"/>
    </row>
    <row r="85" spans="1:16" ht="12" customHeight="1" x14ac:dyDescent="0.2">
      <c r="A85" s="282">
        <f t="shared" si="2"/>
        <v>82</v>
      </c>
      <c r="B85" s="298" t="s">
        <v>589</v>
      </c>
      <c r="C85" s="329" t="s">
        <v>982</v>
      </c>
      <c r="D85" s="296"/>
      <c r="E85" s="296"/>
      <c r="F85" s="296"/>
      <c r="G85" s="296"/>
      <c r="H85" s="296"/>
      <c r="I85" s="296"/>
      <c r="J85" s="296"/>
      <c r="K85" s="296"/>
      <c r="L85" s="296"/>
      <c r="M85" s="296"/>
      <c r="N85" s="296"/>
      <c r="O85" s="281"/>
      <c r="P85" s="432"/>
    </row>
    <row r="86" spans="1:16" ht="12" customHeight="1" x14ac:dyDescent="0.2">
      <c r="A86" s="282">
        <f t="shared" si="2"/>
        <v>83</v>
      </c>
      <c r="B86" s="298" t="s">
        <v>590</v>
      </c>
      <c r="C86" s="329" t="s">
        <v>983</v>
      </c>
      <c r="D86" s="296"/>
      <c r="E86" s="296"/>
      <c r="F86" s="296"/>
      <c r="G86" s="296"/>
      <c r="H86" s="296"/>
      <c r="I86" s="296"/>
      <c r="J86" s="296"/>
      <c r="K86" s="296"/>
      <c r="L86" s="296"/>
      <c r="M86" s="296"/>
      <c r="N86" s="296"/>
      <c r="O86" s="281"/>
      <c r="P86" s="432"/>
    </row>
    <row r="87" spans="1:16" ht="12" customHeight="1" x14ac:dyDescent="0.2">
      <c r="A87" s="282">
        <f t="shared" si="2"/>
        <v>84</v>
      </c>
      <c r="B87" s="298" t="s">
        <v>591</v>
      </c>
      <c r="C87" s="329" t="s">
        <v>1224</v>
      </c>
      <c r="D87" s="296"/>
      <c r="E87" s="296"/>
      <c r="F87" s="296"/>
      <c r="G87" s="296"/>
      <c r="H87" s="296"/>
      <c r="I87" s="296"/>
      <c r="J87" s="296"/>
      <c r="K87" s="296"/>
      <c r="L87" s="296"/>
      <c r="M87" s="296"/>
      <c r="N87" s="296"/>
      <c r="O87" s="281"/>
      <c r="P87" s="432"/>
    </row>
    <row r="88" spans="1:16" ht="12" customHeight="1" x14ac:dyDescent="0.2">
      <c r="A88" s="282">
        <f t="shared" si="2"/>
        <v>85</v>
      </c>
      <c r="B88" s="298" t="s">
        <v>592</v>
      </c>
      <c r="C88" s="329" t="s">
        <v>984</v>
      </c>
      <c r="D88" s="296"/>
      <c r="E88" s="296"/>
      <c r="F88" s="296"/>
      <c r="G88" s="296"/>
      <c r="H88" s="296"/>
      <c r="I88" s="296"/>
      <c r="J88" s="296"/>
      <c r="K88" s="296"/>
      <c r="L88" s="296"/>
      <c r="M88" s="296"/>
      <c r="N88" s="296"/>
      <c r="O88" s="281"/>
      <c r="P88" s="432"/>
    </row>
    <row r="89" spans="1:16" ht="12" customHeight="1" x14ac:dyDescent="0.2">
      <c r="A89" s="282">
        <f t="shared" si="2"/>
        <v>86</v>
      </c>
      <c r="B89" s="298" t="s">
        <v>593</v>
      </c>
      <c r="C89" s="329" t="s">
        <v>985</v>
      </c>
      <c r="D89" s="296"/>
      <c r="E89" s="296"/>
      <c r="F89" s="296"/>
      <c r="G89" s="296"/>
      <c r="H89" s="296"/>
      <c r="I89" s="296"/>
      <c r="J89" s="296"/>
      <c r="K89" s="296"/>
      <c r="L89" s="296"/>
      <c r="M89" s="296"/>
      <c r="N89" s="296"/>
      <c r="O89" s="281"/>
      <c r="P89" s="432"/>
    </row>
    <row r="90" spans="1:16" ht="12" customHeight="1" x14ac:dyDescent="0.2">
      <c r="A90" s="282">
        <f t="shared" si="2"/>
        <v>87</v>
      </c>
      <c r="B90" s="298" t="s">
        <v>1357</v>
      </c>
      <c r="C90" s="329" t="s">
        <v>1356</v>
      </c>
      <c r="D90" s="296"/>
      <c r="E90" s="296"/>
      <c r="F90" s="296"/>
      <c r="G90" s="296"/>
      <c r="H90" s="296"/>
      <c r="I90" s="296"/>
      <c r="J90" s="296"/>
      <c r="K90" s="296"/>
      <c r="L90" s="296"/>
      <c r="M90" s="296"/>
      <c r="N90" s="296"/>
      <c r="O90" s="281"/>
      <c r="P90" s="432"/>
    </row>
    <row r="91" spans="1:16" ht="12" customHeight="1" x14ac:dyDescent="0.2">
      <c r="A91" s="282">
        <f t="shared" si="2"/>
        <v>88</v>
      </c>
      <c r="B91" s="298" t="s">
        <v>594</v>
      </c>
      <c r="C91" s="329" t="s">
        <v>986</v>
      </c>
      <c r="D91" s="296"/>
      <c r="E91" s="296"/>
      <c r="F91" s="296"/>
      <c r="G91" s="296"/>
      <c r="H91" s="296"/>
      <c r="I91" s="296"/>
      <c r="J91" s="296"/>
      <c r="K91" s="296"/>
      <c r="L91" s="296"/>
      <c r="M91" s="296"/>
      <c r="N91" s="296"/>
      <c r="O91" s="281"/>
      <c r="P91" s="432"/>
    </row>
    <row r="92" spans="1:16" ht="12" customHeight="1" x14ac:dyDescent="0.2">
      <c r="A92" s="282">
        <f t="shared" si="2"/>
        <v>89</v>
      </c>
      <c r="B92" s="298" t="s">
        <v>595</v>
      </c>
      <c r="C92" s="329" t="s">
        <v>987</v>
      </c>
      <c r="D92" s="296"/>
      <c r="E92" s="296"/>
      <c r="F92" s="296"/>
      <c r="G92" s="296"/>
      <c r="H92" s="296"/>
      <c r="I92" s="296"/>
      <c r="J92" s="296"/>
      <c r="K92" s="296"/>
      <c r="L92" s="296"/>
      <c r="M92" s="296"/>
      <c r="N92" s="296"/>
      <c r="O92" s="281"/>
      <c r="P92" s="432"/>
    </row>
    <row r="93" spans="1:16" ht="12" customHeight="1" x14ac:dyDescent="0.2">
      <c r="A93" s="282">
        <f t="shared" si="2"/>
        <v>90</v>
      </c>
      <c r="B93" s="298" t="s">
        <v>1359</v>
      </c>
      <c r="C93" s="329" t="s">
        <v>1358</v>
      </c>
      <c r="D93" s="296"/>
      <c r="E93" s="296"/>
      <c r="F93" s="296"/>
      <c r="G93" s="296"/>
      <c r="H93" s="296"/>
      <c r="I93" s="296"/>
      <c r="J93" s="296"/>
      <c r="K93" s="296"/>
      <c r="L93" s="296"/>
      <c r="M93" s="296"/>
      <c r="N93" s="296"/>
      <c r="O93" s="281"/>
      <c r="P93" s="432"/>
    </row>
    <row r="94" spans="1:16" ht="12" customHeight="1" x14ac:dyDescent="0.2">
      <c r="A94" s="282">
        <f t="shared" si="2"/>
        <v>91</v>
      </c>
      <c r="B94" s="298" t="s">
        <v>596</v>
      </c>
      <c r="C94" s="329" t="s">
        <v>988</v>
      </c>
      <c r="D94" s="296"/>
      <c r="E94" s="296"/>
      <c r="F94" s="296"/>
      <c r="G94" s="296"/>
      <c r="H94" s="296"/>
      <c r="I94" s="296"/>
      <c r="J94" s="296"/>
      <c r="K94" s="296"/>
      <c r="L94" s="296"/>
      <c r="M94" s="296"/>
      <c r="N94" s="296"/>
      <c r="O94" s="281"/>
      <c r="P94" s="432"/>
    </row>
    <row r="95" spans="1:16" ht="12" customHeight="1" x14ac:dyDescent="0.2">
      <c r="A95" s="282">
        <f t="shared" si="2"/>
        <v>92</v>
      </c>
      <c r="B95" s="298" t="s">
        <v>597</v>
      </c>
      <c r="C95" s="329" t="s">
        <v>989</v>
      </c>
      <c r="D95" s="296"/>
      <c r="E95" s="296"/>
      <c r="F95" s="296"/>
      <c r="G95" s="296"/>
      <c r="H95" s="296"/>
      <c r="I95" s="296"/>
      <c r="J95" s="296"/>
      <c r="K95" s="296"/>
      <c r="L95" s="296"/>
      <c r="M95" s="296"/>
      <c r="N95" s="296"/>
      <c r="O95" s="281"/>
      <c r="P95" s="432"/>
    </row>
    <row r="96" spans="1:16" ht="12" customHeight="1" x14ac:dyDescent="0.2">
      <c r="A96" s="282">
        <f t="shared" si="2"/>
        <v>93</v>
      </c>
      <c r="B96" s="298" t="s">
        <v>1361</v>
      </c>
      <c r="C96" s="329" t="s">
        <v>1360</v>
      </c>
      <c r="D96" s="296"/>
      <c r="E96" s="296"/>
      <c r="F96" s="296"/>
      <c r="G96" s="296"/>
      <c r="H96" s="296"/>
      <c r="I96" s="296"/>
      <c r="J96" s="296"/>
      <c r="K96" s="296"/>
      <c r="L96" s="296"/>
      <c r="M96" s="296"/>
      <c r="N96" s="296"/>
      <c r="O96" s="281"/>
      <c r="P96" s="432"/>
    </row>
    <row r="97" spans="1:16" ht="12" customHeight="1" x14ac:dyDescent="0.2">
      <c r="A97" s="282">
        <f t="shared" si="2"/>
        <v>94</v>
      </c>
      <c r="B97" s="298" t="s">
        <v>598</v>
      </c>
      <c r="C97" s="329" t="s">
        <v>990</v>
      </c>
      <c r="D97" s="296"/>
      <c r="E97" s="296"/>
      <c r="F97" s="296"/>
      <c r="G97" s="296"/>
      <c r="H97" s="296"/>
      <c r="I97" s="296"/>
      <c r="J97" s="296"/>
      <c r="K97" s="296"/>
      <c r="L97" s="296"/>
      <c r="M97" s="296"/>
      <c r="N97" s="296"/>
      <c r="O97" s="281"/>
      <c r="P97" s="432"/>
    </row>
    <row r="98" spans="1:16" ht="12" customHeight="1" x14ac:dyDescent="0.2">
      <c r="A98" s="282">
        <f t="shared" si="2"/>
        <v>95</v>
      </c>
      <c r="B98" s="298" t="s">
        <v>599</v>
      </c>
      <c r="C98" s="329" t="s">
        <v>991</v>
      </c>
      <c r="D98" s="296"/>
      <c r="E98" s="296"/>
      <c r="F98" s="296"/>
      <c r="G98" s="296"/>
      <c r="H98" s="296"/>
      <c r="I98" s="296"/>
      <c r="J98" s="296"/>
      <c r="K98" s="296"/>
      <c r="L98" s="296"/>
      <c r="M98" s="296"/>
      <c r="N98" s="296"/>
      <c r="O98" s="281"/>
      <c r="P98" s="432"/>
    </row>
    <row r="99" spans="1:16" ht="12" customHeight="1" x14ac:dyDescent="0.2">
      <c r="A99" s="282">
        <f t="shared" si="2"/>
        <v>96</v>
      </c>
      <c r="B99" s="298" t="s">
        <v>1362</v>
      </c>
      <c r="C99" s="329" t="s">
        <v>1363</v>
      </c>
      <c r="D99" s="296"/>
      <c r="E99" s="296"/>
      <c r="F99" s="296"/>
      <c r="G99" s="296"/>
      <c r="H99" s="296"/>
      <c r="I99" s="296"/>
      <c r="J99" s="296"/>
      <c r="K99" s="296"/>
      <c r="L99" s="296"/>
      <c r="M99" s="296"/>
      <c r="N99" s="296"/>
      <c r="O99" s="281"/>
      <c r="P99" s="432"/>
    </row>
    <row r="100" spans="1:16" ht="12" customHeight="1" x14ac:dyDescent="0.2">
      <c r="A100" s="282">
        <f t="shared" si="2"/>
        <v>97</v>
      </c>
      <c r="B100" s="298" t="s">
        <v>600</v>
      </c>
      <c r="C100" s="329" t="s">
        <v>992</v>
      </c>
      <c r="D100" s="296"/>
      <c r="E100" s="296"/>
      <c r="F100" s="296"/>
      <c r="G100" s="296"/>
      <c r="H100" s="296"/>
      <c r="I100" s="296"/>
      <c r="J100" s="296"/>
      <c r="K100" s="296"/>
      <c r="L100" s="296"/>
      <c r="M100" s="296"/>
      <c r="N100" s="296"/>
      <c r="O100" s="281"/>
      <c r="P100" s="432"/>
    </row>
    <row r="101" spans="1:16" ht="12" customHeight="1" x14ac:dyDescent="0.2">
      <c r="A101" s="282">
        <f t="shared" si="2"/>
        <v>98</v>
      </c>
      <c r="B101" s="298" t="s">
        <v>601</v>
      </c>
      <c r="C101" s="329" t="s">
        <v>993</v>
      </c>
      <c r="D101" s="296"/>
      <c r="E101" s="296"/>
      <c r="F101" s="296"/>
      <c r="G101" s="296"/>
      <c r="H101" s="296"/>
      <c r="I101" s="296"/>
      <c r="J101" s="296"/>
      <c r="K101" s="296"/>
      <c r="L101" s="296"/>
      <c r="M101" s="296"/>
      <c r="N101" s="296"/>
      <c r="O101" s="281"/>
      <c r="P101" s="432"/>
    </row>
    <row r="102" spans="1:16" ht="12" customHeight="1" x14ac:dyDescent="0.2">
      <c r="A102" s="282">
        <f t="shared" si="2"/>
        <v>99</v>
      </c>
      <c r="B102" s="298" t="s">
        <v>1365</v>
      </c>
      <c r="C102" s="329" t="s">
        <v>1364</v>
      </c>
      <c r="D102" s="296"/>
      <c r="E102" s="296"/>
      <c r="F102" s="296"/>
      <c r="G102" s="296"/>
      <c r="H102" s="296"/>
      <c r="I102" s="296"/>
      <c r="J102" s="296"/>
      <c r="K102" s="296"/>
      <c r="L102" s="296"/>
      <c r="M102" s="296"/>
      <c r="N102" s="296"/>
      <c r="O102" s="281"/>
      <c r="P102" s="432"/>
    </row>
    <row r="103" spans="1:16" ht="12" customHeight="1" x14ac:dyDescent="0.2">
      <c r="A103" s="282">
        <f t="shared" si="2"/>
        <v>100</v>
      </c>
      <c r="B103" s="298" t="s">
        <v>602</v>
      </c>
      <c r="C103" s="329" t="s">
        <v>994</v>
      </c>
      <c r="D103" s="296"/>
      <c r="E103" s="296"/>
      <c r="F103" s="296"/>
      <c r="G103" s="296"/>
      <c r="H103" s="296"/>
      <c r="I103" s="296"/>
      <c r="J103" s="296"/>
      <c r="K103" s="296"/>
      <c r="L103" s="296"/>
      <c r="M103" s="296"/>
      <c r="N103" s="296"/>
      <c r="O103" s="281"/>
      <c r="P103" s="432"/>
    </row>
    <row r="104" spans="1:16" ht="12" customHeight="1" x14ac:dyDescent="0.2">
      <c r="A104" s="282">
        <f t="shared" si="2"/>
        <v>101</v>
      </c>
      <c r="B104" s="298" t="s">
        <v>603</v>
      </c>
      <c r="C104" s="329" t="s">
        <v>995</v>
      </c>
      <c r="D104" s="296"/>
      <c r="E104" s="296"/>
      <c r="F104" s="296"/>
      <c r="G104" s="296"/>
      <c r="H104" s="296"/>
      <c r="I104" s="296"/>
      <c r="J104" s="296"/>
      <c r="K104" s="296"/>
      <c r="L104" s="296"/>
      <c r="M104" s="296"/>
      <c r="N104" s="296"/>
      <c r="O104" s="281"/>
      <c r="P104" s="432"/>
    </row>
    <row r="105" spans="1:16" ht="12" customHeight="1" x14ac:dyDescent="0.2">
      <c r="A105" s="282">
        <f t="shared" si="2"/>
        <v>102</v>
      </c>
      <c r="B105" s="298" t="s">
        <v>1367</v>
      </c>
      <c r="C105" s="329" t="s">
        <v>1366</v>
      </c>
      <c r="D105" s="296"/>
      <c r="E105" s="296"/>
      <c r="F105" s="296"/>
      <c r="G105" s="296"/>
      <c r="H105" s="296"/>
      <c r="I105" s="296"/>
      <c r="J105" s="296"/>
      <c r="K105" s="296"/>
      <c r="L105" s="296"/>
      <c r="M105" s="296"/>
      <c r="N105" s="296"/>
      <c r="O105" s="281"/>
      <c r="P105" s="432"/>
    </row>
    <row r="106" spans="1:16" ht="12" customHeight="1" x14ac:dyDescent="0.2">
      <c r="A106" s="282">
        <f t="shared" si="2"/>
        <v>103</v>
      </c>
      <c r="B106" s="298" t="s">
        <v>604</v>
      </c>
      <c r="C106" s="329" t="s">
        <v>996</v>
      </c>
      <c r="D106" s="296"/>
      <c r="E106" s="296"/>
      <c r="F106" s="296"/>
      <c r="G106" s="296"/>
      <c r="H106" s="296"/>
      <c r="I106" s="296"/>
      <c r="J106" s="296"/>
      <c r="K106" s="296"/>
      <c r="L106" s="296"/>
      <c r="M106" s="296"/>
      <c r="N106" s="296"/>
      <c r="O106" s="281"/>
      <c r="P106" s="432"/>
    </row>
    <row r="107" spans="1:16" ht="12" customHeight="1" x14ac:dyDescent="0.2">
      <c r="A107" s="282">
        <f t="shared" si="2"/>
        <v>104</v>
      </c>
      <c r="B107" s="298" t="s">
        <v>605</v>
      </c>
      <c r="C107" s="329" t="s">
        <v>997</v>
      </c>
      <c r="D107" s="296"/>
      <c r="E107" s="296"/>
      <c r="F107" s="296"/>
      <c r="G107" s="296"/>
      <c r="H107" s="296"/>
      <c r="I107" s="296"/>
      <c r="J107" s="296"/>
      <c r="K107" s="296"/>
      <c r="L107" s="296"/>
      <c r="M107" s="296"/>
      <c r="N107" s="296"/>
      <c r="O107" s="281"/>
      <c r="P107" s="432"/>
    </row>
    <row r="108" spans="1:16" ht="12" customHeight="1" x14ac:dyDescent="0.2">
      <c r="A108" s="282">
        <f t="shared" si="2"/>
        <v>105</v>
      </c>
      <c r="B108" s="298" t="s">
        <v>1290</v>
      </c>
      <c r="C108" s="329" t="s">
        <v>1291</v>
      </c>
      <c r="D108" s="296"/>
      <c r="E108" s="296"/>
      <c r="F108" s="296"/>
      <c r="G108" s="296"/>
      <c r="H108" s="296"/>
      <c r="I108" s="296"/>
      <c r="J108" s="296"/>
      <c r="K108" s="296"/>
      <c r="L108" s="296"/>
      <c r="M108" s="296"/>
      <c r="N108" s="296"/>
      <c r="O108" s="281"/>
      <c r="P108" s="432"/>
    </row>
    <row r="109" spans="1:16" ht="12" customHeight="1" x14ac:dyDescent="0.2">
      <c r="A109" s="282">
        <f t="shared" si="2"/>
        <v>106</v>
      </c>
      <c r="B109" s="298" t="s">
        <v>606</v>
      </c>
      <c r="C109" s="329" t="s">
        <v>998</v>
      </c>
      <c r="D109" s="296"/>
      <c r="E109" s="296"/>
      <c r="F109" s="296"/>
      <c r="G109" s="296"/>
      <c r="H109" s="296"/>
      <c r="I109" s="296"/>
      <c r="J109" s="296"/>
      <c r="K109" s="296"/>
      <c r="L109" s="296"/>
      <c r="M109" s="296"/>
      <c r="N109" s="296"/>
      <c r="O109" s="281"/>
      <c r="P109" s="432"/>
    </row>
    <row r="110" spans="1:16" ht="12" customHeight="1" x14ac:dyDescent="0.2">
      <c r="A110" s="282">
        <f t="shared" si="2"/>
        <v>107</v>
      </c>
      <c r="B110" s="298" t="s">
        <v>607</v>
      </c>
      <c r="C110" s="329" t="s">
        <v>999</v>
      </c>
      <c r="D110" s="296"/>
      <c r="E110" s="296"/>
      <c r="F110" s="296"/>
      <c r="G110" s="296"/>
      <c r="H110" s="296"/>
      <c r="I110" s="296"/>
      <c r="J110" s="296"/>
      <c r="K110" s="296"/>
      <c r="L110" s="296"/>
      <c r="M110" s="296"/>
      <c r="N110" s="296"/>
      <c r="O110" s="281"/>
      <c r="P110" s="432"/>
    </row>
    <row r="111" spans="1:16" ht="12" customHeight="1" x14ac:dyDescent="0.2">
      <c r="A111" s="282">
        <f t="shared" si="2"/>
        <v>108</v>
      </c>
      <c r="B111" s="298" t="s">
        <v>1369</v>
      </c>
      <c r="C111" s="329" t="s">
        <v>1368</v>
      </c>
      <c r="D111" s="296"/>
      <c r="E111" s="296"/>
      <c r="F111" s="296"/>
      <c r="G111" s="296"/>
      <c r="H111" s="296"/>
      <c r="I111" s="296"/>
      <c r="J111" s="296"/>
      <c r="K111" s="296"/>
      <c r="L111" s="296"/>
      <c r="M111" s="296"/>
      <c r="N111" s="296"/>
      <c r="O111" s="281"/>
      <c r="P111" s="432"/>
    </row>
    <row r="112" spans="1:16" ht="12" customHeight="1" x14ac:dyDescent="0.2">
      <c r="A112" s="282">
        <f t="shared" si="2"/>
        <v>109</v>
      </c>
      <c r="B112" s="298" t="s">
        <v>608</v>
      </c>
      <c r="C112" s="329" t="s">
        <v>1000</v>
      </c>
      <c r="D112" s="296"/>
      <c r="E112" s="296"/>
      <c r="F112" s="296"/>
      <c r="G112" s="296"/>
      <c r="H112" s="296"/>
      <c r="I112" s="296"/>
      <c r="J112" s="296"/>
      <c r="K112" s="296"/>
      <c r="L112" s="296"/>
      <c r="M112" s="296"/>
      <c r="N112" s="296"/>
      <c r="O112" s="281"/>
      <c r="P112" s="432"/>
    </row>
    <row r="113" spans="1:16" ht="12" customHeight="1" x14ac:dyDescent="0.2">
      <c r="A113" s="282">
        <f t="shared" si="2"/>
        <v>110</v>
      </c>
      <c r="B113" s="298" t="s">
        <v>609</v>
      </c>
      <c r="C113" s="329" t="s">
        <v>1001</v>
      </c>
      <c r="D113" s="296"/>
      <c r="E113" s="296"/>
      <c r="F113" s="296"/>
      <c r="G113" s="296"/>
      <c r="H113" s="296"/>
      <c r="I113" s="296"/>
      <c r="J113" s="296"/>
      <c r="K113" s="296"/>
      <c r="L113" s="296"/>
      <c r="M113" s="296"/>
      <c r="N113" s="296"/>
      <c r="O113" s="281"/>
      <c r="P113" s="432"/>
    </row>
    <row r="114" spans="1:16" ht="12" customHeight="1" x14ac:dyDescent="0.2">
      <c r="A114" s="282">
        <f t="shared" si="2"/>
        <v>111</v>
      </c>
      <c r="B114" s="298" t="s">
        <v>1371</v>
      </c>
      <c r="C114" s="329" t="s">
        <v>1370</v>
      </c>
      <c r="D114" s="296"/>
      <c r="E114" s="296"/>
      <c r="F114" s="296"/>
      <c r="G114" s="296"/>
      <c r="H114" s="296"/>
      <c r="I114" s="296"/>
      <c r="J114" s="296"/>
      <c r="K114" s="296"/>
      <c r="L114" s="296"/>
      <c r="M114" s="296"/>
      <c r="N114" s="296"/>
      <c r="O114" s="281"/>
      <c r="P114" s="432"/>
    </row>
    <row r="115" spans="1:16" ht="12" customHeight="1" x14ac:dyDescent="0.2">
      <c r="A115" s="282">
        <f t="shared" si="2"/>
        <v>112</v>
      </c>
      <c r="B115" s="298" t="s">
        <v>610</v>
      </c>
      <c r="C115" s="329" t="s">
        <v>1002</v>
      </c>
      <c r="D115" s="296"/>
      <c r="E115" s="296"/>
      <c r="F115" s="296"/>
      <c r="G115" s="296"/>
      <c r="H115" s="296"/>
      <c r="I115" s="296"/>
      <c r="J115" s="296"/>
      <c r="K115" s="296"/>
      <c r="L115" s="296"/>
      <c r="M115" s="296"/>
      <c r="N115" s="296"/>
      <c r="O115" s="281"/>
      <c r="P115" s="432"/>
    </row>
    <row r="116" spans="1:16" ht="12" customHeight="1" x14ac:dyDescent="0.2">
      <c r="A116" s="282">
        <f t="shared" si="2"/>
        <v>113</v>
      </c>
      <c r="B116" s="298" t="s">
        <v>611</v>
      </c>
      <c r="C116" s="329" t="s">
        <v>1003</v>
      </c>
      <c r="D116" s="296"/>
      <c r="E116" s="296"/>
      <c r="F116" s="296"/>
      <c r="G116" s="296"/>
      <c r="H116" s="296"/>
      <c r="I116" s="296"/>
      <c r="J116" s="296"/>
      <c r="K116" s="296"/>
      <c r="L116" s="296"/>
      <c r="M116" s="296"/>
      <c r="N116" s="296"/>
      <c r="O116" s="281"/>
      <c r="P116" s="432"/>
    </row>
    <row r="117" spans="1:16" ht="12" customHeight="1" x14ac:dyDescent="0.2">
      <c r="A117" s="282">
        <f t="shared" si="2"/>
        <v>114</v>
      </c>
      <c r="B117" s="298" t="s">
        <v>1373</v>
      </c>
      <c r="C117" s="329" t="s">
        <v>1372</v>
      </c>
      <c r="D117" s="296"/>
      <c r="E117" s="296"/>
      <c r="F117" s="296"/>
      <c r="G117" s="296"/>
      <c r="H117" s="296"/>
      <c r="I117" s="296"/>
      <c r="J117" s="296"/>
      <c r="K117" s="296"/>
      <c r="L117" s="296"/>
      <c r="M117" s="296"/>
      <c r="N117" s="296"/>
      <c r="O117" s="281"/>
      <c r="P117" s="432"/>
    </row>
    <row r="118" spans="1:16" ht="12" customHeight="1" x14ac:dyDescent="0.2">
      <c r="A118" s="282">
        <f t="shared" si="2"/>
        <v>115</v>
      </c>
      <c r="B118" s="298" t="s">
        <v>612</v>
      </c>
      <c r="C118" s="329" t="s">
        <v>1004</v>
      </c>
      <c r="D118" s="296"/>
      <c r="E118" s="296"/>
      <c r="F118" s="296"/>
      <c r="G118" s="296"/>
      <c r="H118" s="296"/>
      <c r="I118" s="296"/>
      <c r="J118" s="296"/>
      <c r="K118" s="296"/>
      <c r="L118" s="296"/>
      <c r="M118" s="296"/>
      <c r="N118" s="296"/>
      <c r="O118" s="281"/>
      <c r="P118" s="432"/>
    </row>
    <row r="119" spans="1:16" ht="12" customHeight="1" x14ac:dyDescent="0.2">
      <c r="A119" s="282">
        <f t="shared" si="2"/>
        <v>116</v>
      </c>
      <c r="B119" s="298" t="s">
        <v>613</v>
      </c>
      <c r="C119" s="329" t="s">
        <v>1005</v>
      </c>
      <c r="D119" s="296"/>
      <c r="E119" s="296"/>
      <c r="F119" s="296"/>
      <c r="G119" s="296"/>
      <c r="H119" s="296"/>
      <c r="I119" s="296"/>
      <c r="J119" s="296"/>
      <c r="K119" s="296"/>
      <c r="L119" s="296"/>
      <c r="M119" s="296"/>
      <c r="N119" s="296"/>
      <c r="O119" s="281"/>
      <c r="P119" s="432"/>
    </row>
    <row r="120" spans="1:16" ht="12" customHeight="1" x14ac:dyDescent="0.2">
      <c r="A120" s="282">
        <f t="shared" si="2"/>
        <v>117</v>
      </c>
      <c r="B120" s="298" t="s">
        <v>1375</v>
      </c>
      <c r="C120" s="329" t="s">
        <v>1374</v>
      </c>
      <c r="D120" s="296"/>
      <c r="E120" s="296"/>
      <c r="F120" s="296"/>
      <c r="G120" s="296"/>
      <c r="H120" s="296"/>
      <c r="I120" s="296"/>
      <c r="J120" s="296"/>
      <c r="K120" s="296"/>
      <c r="L120" s="296"/>
      <c r="M120" s="296"/>
      <c r="N120" s="296"/>
      <c r="O120" s="281"/>
      <c r="P120" s="432"/>
    </row>
    <row r="121" spans="1:16" ht="12" customHeight="1" x14ac:dyDescent="0.2">
      <c r="A121" s="282">
        <f t="shared" si="2"/>
        <v>118</v>
      </c>
      <c r="B121" s="298" t="s">
        <v>614</v>
      </c>
      <c r="C121" s="329" t="s">
        <v>1006</v>
      </c>
      <c r="D121" s="296"/>
      <c r="E121" s="296"/>
      <c r="F121" s="296"/>
      <c r="G121" s="296"/>
      <c r="H121" s="296"/>
      <c r="I121" s="296"/>
      <c r="J121" s="296"/>
      <c r="K121" s="296"/>
      <c r="L121" s="296"/>
      <c r="M121" s="296"/>
      <c r="N121" s="296"/>
      <c r="O121" s="281"/>
      <c r="P121" s="432"/>
    </row>
    <row r="122" spans="1:16" ht="12" customHeight="1" x14ac:dyDescent="0.2">
      <c r="A122" s="282">
        <f t="shared" si="2"/>
        <v>119</v>
      </c>
      <c r="B122" s="298" t="s">
        <v>615</v>
      </c>
      <c r="C122" s="329" t="s">
        <v>1007</v>
      </c>
      <c r="D122" s="296"/>
      <c r="E122" s="296"/>
      <c r="F122" s="296"/>
      <c r="G122" s="296"/>
      <c r="H122" s="296"/>
      <c r="I122" s="296"/>
      <c r="J122" s="296"/>
      <c r="K122" s="296"/>
      <c r="L122" s="296"/>
      <c r="M122" s="296"/>
      <c r="N122" s="296"/>
      <c r="O122" s="281"/>
      <c r="P122" s="432"/>
    </row>
    <row r="123" spans="1:16" ht="12" customHeight="1" x14ac:dyDescent="0.2">
      <c r="A123" s="282">
        <f t="shared" si="2"/>
        <v>120</v>
      </c>
      <c r="B123" s="298" t="s">
        <v>1377</v>
      </c>
      <c r="C123" s="329" t="s">
        <v>1376</v>
      </c>
      <c r="D123" s="296"/>
      <c r="E123" s="296"/>
      <c r="F123" s="296"/>
      <c r="G123" s="296"/>
      <c r="H123" s="296"/>
      <c r="I123" s="296"/>
      <c r="J123" s="296"/>
      <c r="K123" s="296"/>
      <c r="L123" s="296"/>
      <c r="M123" s="296"/>
      <c r="N123" s="296"/>
      <c r="O123" s="281"/>
      <c r="P123" s="432"/>
    </row>
    <row r="124" spans="1:16" ht="12" customHeight="1" x14ac:dyDescent="0.2">
      <c r="A124" s="282">
        <f t="shared" si="2"/>
        <v>121</v>
      </c>
      <c r="B124" s="298" t="s">
        <v>616</v>
      </c>
      <c r="C124" s="329" t="s">
        <v>1008</v>
      </c>
      <c r="D124" s="296"/>
      <c r="E124" s="296"/>
      <c r="F124" s="296"/>
      <c r="G124" s="296"/>
      <c r="H124" s="296"/>
      <c r="I124" s="296"/>
      <c r="J124" s="296"/>
      <c r="K124" s="296"/>
      <c r="L124" s="296"/>
      <c r="M124" s="296"/>
      <c r="N124" s="296"/>
      <c r="O124" s="281"/>
      <c r="P124" s="432"/>
    </row>
    <row r="125" spans="1:16" ht="12" customHeight="1" x14ac:dyDescent="0.2">
      <c r="A125" s="282">
        <f t="shared" si="2"/>
        <v>122</v>
      </c>
      <c r="B125" s="298" t="s">
        <v>617</v>
      </c>
      <c r="C125" s="329" t="s">
        <v>1009</v>
      </c>
      <c r="D125" s="296"/>
      <c r="E125" s="296"/>
      <c r="F125" s="296"/>
      <c r="G125" s="296"/>
      <c r="H125" s="296"/>
      <c r="I125" s="296"/>
      <c r="J125" s="296"/>
      <c r="K125" s="296"/>
      <c r="L125" s="296"/>
      <c r="M125" s="296"/>
      <c r="N125" s="296"/>
      <c r="O125" s="281"/>
      <c r="P125" s="432"/>
    </row>
    <row r="126" spans="1:16" ht="12" customHeight="1" x14ac:dyDescent="0.2">
      <c r="A126" s="282">
        <f t="shared" si="2"/>
        <v>123</v>
      </c>
      <c r="B126" s="298" t="s">
        <v>1379</v>
      </c>
      <c r="C126" s="329" t="s">
        <v>1378</v>
      </c>
      <c r="D126" s="296"/>
      <c r="E126" s="296"/>
      <c r="F126" s="296"/>
      <c r="G126" s="296"/>
      <c r="H126" s="296"/>
      <c r="I126" s="296"/>
      <c r="J126" s="296"/>
      <c r="K126" s="296"/>
      <c r="L126" s="296"/>
      <c r="M126" s="296"/>
      <c r="N126" s="296"/>
      <c r="O126" s="281"/>
      <c r="P126" s="432"/>
    </row>
    <row r="127" spans="1:16" ht="12" customHeight="1" x14ac:dyDescent="0.2">
      <c r="A127" s="282">
        <f t="shared" si="2"/>
        <v>124</v>
      </c>
      <c r="B127" s="298" t="s">
        <v>618</v>
      </c>
      <c r="C127" s="329" t="s">
        <v>1010</v>
      </c>
      <c r="D127" s="296"/>
      <c r="E127" s="296"/>
      <c r="F127" s="296"/>
      <c r="G127" s="296"/>
      <c r="H127" s="296"/>
      <c r="I127" s="296"/>
      <c r="J127" s="296"/>
      <c r="K127" s="296"/>
      <c r="L127" s="296"/>
      <c r="M127" s="296"/>
      <c r="N127" s="296"/>
      <c r="O127" s="281"/>
      <c r="P127" s="432"/>
    </row>
    <row r="128" spans="1:16" ht="12" customHeight="1" x14ac:dyDescent="0.2">
      <c r="A128" s="282">
        <f t="shared" si="2"/>
        <v>125</v>
      </c>
      <c r="B128" s="298" t="s">
        <v>619</v>
      </c>
      <c r="C128" s="329" t="s">
        <v>1011</v>
      </c>
      <c r="D128" s="296"/>
      <c r="E128" s="296"/>
      <c r="F128" s="296"/>
      <c r="G128" s="296"/>
      <c r="H128" s="296"/>
      <c r="I128" s="296"/>
      <c r="J128" s="296"/>
      <c r="K128" s="296"/>
      <c r="L128" s="296"/>
      <c r="M128" s="296"/>
      <c r="N128" s="296"/>
      <c r="O128" s="281"/>
      <c r="P128" s="432"/>
    </row>
    <row r="129" spans="1:16" ht="12" customHeight="1" x14ac:dyDescent="0.2">
      <c r="A129" s="282">
        <f t="shared" si="2"/>
        <v>126</v>
      </c>
      <c r="B129" s="298" t="s">
        <v>1381</v>
      </c>
      <c r="C129" s="329" t="s">
        <v>1380</v>
      </c>
      <c r="D129" s="296"/>
      <c r="E129" s="296"/>
      <c r="F129" s="296"/>
      <c r="G129" s="296"/>
      <c r="H129" s="296"/>
      <c r="I129" s="296"/>
      <c r="J129" s="296"/>
      <c r="K129" s="296"/>
      <c r="L129" s="296"/>
      <c r="M129" s="296"/>
      <c r="N129" s="296"/>
      <c r="O129" s="281"/>
      <c r="P129" s="432"/>
    </row>
    <row r="130" spans="1:16" ht="12" customHeight="1" x14ac:dyDescent="0.2">
      <c r="A130" s="282">
        <f t="shared" si="2"/>
        <v>127</v>
      </c>
      <c r="B130" s="298" t="s">
        <v>1559</v>
      </c>
      <c r="C130" s="329" t="s">
        <v>1558</v>
      </c>
      <c r="D130" s="296"/>
      <c r="E130" s="296"/>
      <c r="F130" s="296"/>
      <c r="G130" s="296"/>
      <c r="H130" s="296"/>
      <c r="I130" s="296"/>
      <c r="J130" s="296"/>
      <c r="K130" s="296"/>
      <c r="L130" s="296"/>
      <c r="M130" s="296"/>
      <c r="N130" s="296"/>
      <c r="O130" s="281"/>
      <c r="P130" s="432"/>
    </row>
    <row r="131" spans="1:16" s="587" customFormat="1" ht="12" customHeight="1" x14ac:dyDescent="0.2">
      <c r="A131" s="586">
        <f t="shared" si="2"/>
        <v>128</v>
      </c>
      <c r="B131" s="299" t="s">
        <v>166</v>
      </c>
      <c r="C131" s="330" t="s">
        <v>1745</v>
      </c>
      <c r="D131" s="297"/>
      <c r="E131" s="297"/>
      <c r="F131" s="297"/>
      <c r="G131" s="297"/>
      <c r="H131" s="297"/>
      <c r="I131" s="297"/>
      <c r="J131" s="297"/>
      <c r="K131" s="297"/>
      <c r="L131" s="297"/>
      <c r="M131" s="297"/>
      <c r="N131" s="297"/>
      <c r="O131" s="283"/>
      <c r="P131" s="433"/>
    </row>
    <row r="132" spans="1:16" ht="12" customHeight="1" x14ac:dyDescent="0.2">
      <c r="A132" s="282">
        <f t="shared" si="2"/>
        <v>129</v>
      </c>
      <c r="B132" s="298" t="s">
        <v>620</v>
      </c>
      <c r="C132" s="329" t="s">
        <v>1713</v>
      </c>
      <c r="D132" s="296"/>
      <c r="E132" s="296"/>
      <c r="F132" s="296"/>
      <c r="G132" s="296"/>
      <c r="H132" s="296"/>
      <c r="I132" s="296"/>
      <c r="J132" s="296"/>
      <c r="K132" s="296"/>
      <c r="L132" s="296"/>
      <c r="M132" s="296"/>
      <c r="N132" s="296"/>
      <c r="O132" s="281"/>
      <c r="P132" s="432"/>
    </row>
    <row r="133" spans="1:16" ht="12" customHeight="1" x14ac:dyDescent="0.2">
      <c r="A133" s="282">
        <f t="shared" si="2"/>
        <v>130</v>
      </c>
      <c r="B133" s="298" t="s">
        <v>1382</v>
      </c>
      <c r="C133" s="329" t="s">
        <v>1712</v>
      </c>
      <c r="D133" s="296"/>
      <c r="E133" s="296"/>
      <c r="F133" s="296"/>
      <c r="G133" s="296"/>
      <c r="H133" s="296"/>
      <c r="I133" s="296"/>
      <c r="J133" s="296"/>
      <c r="K133" s="296"/>
      <c r="L133" s="296"/>
      <c r="M133" s="296"/>
      <c r="N133" s="296"/>
      <c r="O133" s="281"/>
      <c r="P133" s="432"/>
    </row>
    <row r="134" spans="1:16" ht="12" customHeight="1" x14ac:dyDescent="0.2">
      <c r="A134" s="282">
        <f t="shared" si="2"/>
        <v>131</v>
      </c>
      <c r="B134" s="298" t="s">
        <v>621</v>
      </c>
      <c r="C134" s="329" t="s">
        <v>1711</v>
      </c>
      <c r="D134" s="296"/>
      <c r="E134" s="296"/>
      <c r="F134" s="296"/>
      <c r="G134" s="296"/>
      <c r="H134" s="296"/>
      <c r="I134" s="296"/>
      <c r="J134" s="296"/>
      <c r="K134" s="296"/>
      <c r="L134" s="296"/>
      <c r="M134" s="296"/>
      <c r="N134" s="296"/>
      <c r="O134" s="281"/>
      <c r="P134" s="432"/>
    </row>
    <row r="135" spans="1:16" ht="12" customHeight="1" x14ac:dyDescent="0.2">
      <c r="A135" s="282">
        <f t="shared" si="2"/>
        <v>132</v>
      </c>
      <c r="B135" s="298" t="s">
        <v>1383</v>
      </c>
      <c r="C135" s="329" t="s">
        <v>1710</v>
      </c>
      <c r="D135" s="296"/>
      <c r="E135" s="296"/>
      <c r="F135" s="296"/>
      <c r="G135" s="296"/>
      <c r="H135" s="296"/>
      <c r="I135" s="296"/>
      <c r="J135" s="296"/>
      <c r="K135" s="296"/>
      <c r="L135" s="296"/>
      <c r="M135" s="296"/>
      <c r="N135" s="296"/>
      <c r="O135" s="281"/>
      <c r="P135" s="432"/>
    </row>
    <row r="136" spans="1:16" ht="12" customHeight="1" x14ac:dyDescent="0.2">
      <c r="A136" s="282">
        <f t="shared" si="2"/>
        <v>133</v>
      </c>
      <c r="B136" s="298" t="s">
        <v>622</v>
      </c>
      <c r="C136" s="329" t="s">
        <v>1714</v>
      </c>
      <c r="D136" s="296"/>
      <c r="E136" s="296"/>
      <c r="F136" s="296"/>
      <c r="G136" s="296"/>
      <c r="H136" s="296"/>
      <c r="I136" s="296"/>
      <c r="J136" s="296"/>
      <c r="K136" s="296"/>
      <c r="L136" s="296"/>
      <c r="M136" s="296"/>
      <c r="N136" s="296"/>
      <c r="O136" s="281"/>
      <c r="P136" s="432"/>
    </row>
    <row r="137" spans="1:16" ht="12" customHeight="1" x14ac:dyDescent="0.2">
      <c r="A137" s="282">
        <f t="shared" si="2"/>
        <v>134</v>
      </c>
      <c r="B137" s="298" t="s">
        <v>1384</v>
      </c>
      <c r="C137" s="329" t="s">
        <v>1715</v>
      </c>
      <c r="D137" s="296"/>
      <c r="E137" s="296"/>
      <c r="F137" s="296"/>
      <c r="G137" s="296"/>
      <c r="H137" s="296"/>
      <c r="I137" s="296"/>
      <c r="J137" s="296"/>
      <c r="K137" s="296"/>
      <c r="L137" s="296"/>
      <c r="M137" s="296"/>
      <c r="N137" s="296"/>
      <c r="O137" s="281"/>
      <c r="P137" s="432"/>
    </row>
    <row r="138" spans="1:16" ht="12" customHeight="1" x14ac:dyDescent="0.2">
      <c r="A138" s="282">
        <f t="shared" si="2"/>
        <v>135</v>
      </c>
      <c r="B138" s="298" t="s">
        <v>623</v>
      </c>
      <c r="C138" s="329" t="s">
        <v>1716</v>
      </c>
      <c r="D138" s="296"/>
      <c r="E138" s="296"/>
      <c r="F138" s="296"/>
      <c r="G138" s="296"/>
      <c r="H138" s="296"/>
      <c r="I138" s="296"/>
      <c r="J138" s="296"/>
      <c r="K138" s="296"/>
      <c r="L138" s="296"/>
      <c r="M138" s="296"/>
      <c r="N138" s="296"/>
      <c r="O138" s="281"/>
      <c r="P138" s="432"/>
    </row>
    <row r="139" spans="1:16" ht="12" customHeight="1" x14ac:dyDescent="0.2">
      <c r="A139" s="282">
        <f t="shared" si="2"/>
        <v>136</v>
      </c>
      <c r="B139" s="298" t="s">
        <v>1385</v>
      </c>
      <c r="C139" s="329" t="s">
        <v>1717</v>
      </c>
      <c r="D139" s="296"/>
      <c r="E139" s="296"/>
      <c r="F139" s="296"/>
      <c r="G139" s="296"/>
      <c r="H139" s="296"/>
      <c r="I139" s="296"/>
      <c r="J139" s="296"/>
      <c r="K139" s="296"/>
      <c r="L139" s="296"/>
      <c r="M139" s="296"/>
      <c r="N139" s="296"/>
      <c r="O139" s="281"/>
      <c r="P139" s="432"/>
    </row>
    <row r="140" spans="1:16" ht="12" customHeight="1" x14ac:dyDescent="0.2">
      <c r="A140" s="282">
        <f t="shared" si="2"/>
        <v>137</v>
      </c>
      <c r="B140" s="298" t="s">
        <v>624</v>
      </c>
      <c r="C140" s="329" t="s">
        <v>1012</v>
      </c>
      <c r="D140" s="296"/>
      <c r="E140" s="296"/>
      <c r="F140" s="296"/>
      <c r="G140" s="296"/>
      <c r="H140" s="296"/>
      <c r="I140" s="296"/>
      <c r="J140" s="296"/>
      <c r="K140" s="296"/>
      <c r="L140" s="296"/>
      <c r="M140" s="296"/>
      <c r="N140" s="296"/>
      <c r="O140" s="281"/>
      <c r="P140" s="432"/>
    </row>
    <row r="141" spans="1:16" ht="12" customHeight="1" x14ac:dyDescent="0.2">
      <c r="A141" s="282">
        <f t="shared" si="2"/>
        <v>138</v>
      </c>
      <c r="B141" s="298" t="s">
        <v>1386</v>
      </c>
      <c r="C141" s="329" t="s">
        <v>1718</v>
      </c>
      <c r="D141" s="296"/>
      <c r="E141" s="296"/>
      <c r="F141" s="296"/>
      <c r="G141" s="296"/>
      <c r="H141" s="296"/>
      <c r="I141" s="296"/>
      <c r="J141" s="296"/>
      <c r="K141" s="296"/>
      <c r="L141" s="296"/>
      <c r="M141" s="296"/>
      <c r="N141" s="296"/>
      <c r="O141" s="281"/>
      <c r="P141" s="432"/>
    </row>
    <row r="142" spans="1:16" ht="12" customHeight="1" x14ac:dyDescent="0.2">
      <c r="A142" s="282">
        <f t="shared" si="2"/>
        <v>139</v>
      </c>
      <c r="B142" s="298" t="s">
        <v>625</v>
      </c>
      <c r="C142" s="329" t="s">
        <v>1013</v>
      </c>
      <c r="D142" s="296"/>
      <c r="E142" s="296"/>
      <c r="F142" s="296"/>
      <c r="G142" s="296"/>
      <c r="H142" s="296"/>
      <c r="I142" s="296"/>
      <c r="J142" s="296"/>
      <c r="K142" s="296"/>
      <c r="L142" s="296"/>
      <c r="M142" s="296"/>
      <c r="N142" s="296"/>
      <c r="O142" s="281"/>
      <c r="P142" s="432"/>
    </row>
    <row r="143" spans="1:16" ht="12" customHeight="1" x14ac:dyDescent="0.2">
      <c r="A143" s="282">
        <f t="shared" si="2"/>
        <v>140</v>
      </c>
      <c r="B143" s="298" t="s">
        <v>1387</v>
      </c>
      <c r="C143" s="329" t="s">
        <v>1388</v>
      </c>
      <c r="D143" s="296"/>
      <c r="E143" s="296"/>
      <c r="F143" s="296"/>
      <c r="G143" s="296"/>
      <c r="H143" s="296"/>
      <c r="I143" s="296"/>
      <c r="J143" s="296"/>
      <c r="K143" s="296"/>
      <c r="L143" s="296"/>
      <c r="M143" s="296"/>
      <c r="N143" s="296"/>
      <c r="O143" s="281"/>
      <c r="P143" s="432"/>
    </row>
    <row r="144" spans="1:16" ht="12" customHeight="1" x14ac:dyDescent="0.2">
      <c r="A144" s="282">
        <f t="shared" si="2"/>
        <v>141</v>
      </c>
      <c r="B144" s="298" t="s">
        <v>626</v>
      </c>
      <c r="C144" s="329" t="s">
        <v>1014</v>
      </c>
      <c r="D144" s="296"/>
      <c r="E144" s="296"/>
      <c r="F144" s="296"/>
      <c r="G144" s="296"/>
      <c r="H144" s="296"/>
      <c r="I144" s="296"/>
      <c r="J144" s="296"/>
      <c r="K144" s="296"/>
      <c r="L144" s="296"/>
      <c r="M144" s="296"/>
      <c r="N144" s="296"/>
      <c r="O144" s="281"/>
      <c r="P144" s="432"/>
    </row>
    <row r="145" spans="1:16" ht="12" customHeight="1" x14ac:dyDescent="0.2">
      <c r="A145" s="282">
        <f t="shared" si="2"/>
        <v>142</v>
      </c>
      <c r="B145" s="298" t="s">
        <v>1389</v>
      </c>
      <c r="C145" s="329" t="s">
        <v>1390</v>
      </c>
      <c r="D145" s="296"/>
      <c r="E145" s="296"/>
      <c r="F145" s="296"/>
      <c r="G145" s="296"/>
      <c r="H145" s="296"/>
      <c r="I145" s="296"/>
      <c r="J145" s="296"/>
      <c r="K145" s="296"/>
      <c r="L145" s="296"/>
      <c r="M145" s="296"/>
      <c r="N145" s="296"/>
      <c r="O145" s="281"/>
      <c r="P145" s="432"/>
    </row>
    <row r="146" spans="1:16" ht="12" customHeight="1" x14ac:dyDescent="0.2">
      <c r="A146" s="282">
        <f t="shared" si="2"/>
        <v>143</v>
      </c>
      <c r="B146" s="298" t="s">
        <v>627</v>
      </c>
      <c r="C146" s="329" t="s">
        <v>1015</v>
      </c>
      <c r="D146" s="296"/>
      <c r="E146" s="296"/>
      <c r="F146" s="296"/>
      <c r="G146" s="296"/>
      <c r="H146" s="296"/>
      <c r="I146" s="296"/>
      <c r="J146" s="296"/>
      <c r="K146" s="296"/>
      <c r="L146" s="296"/>
      <c r="M146" s="296"/>
      <c r="N146" s="296"/>
      <c r="O146" s="281"/>
      <c r="P146" s="432"/>
    </row>
    <row r="147" spans="1:16" ht="12" customHeight="1" x14ac:dyDescent="0.2">
      <c r="A147" s="282">
        <f t="shared" si="2"/>
        <v>144</v>
      </c>
      <c r="B147" s="298" t="s">
        <v>704</v>
      </c>
      <c r="C147" s="329" t="s">
        <v>1391</v>
      </c>
      <c r="D147" s="296"/>
      <c r="E147" s="296"/>
      <c r="F147" s="296"/>
      <c r="G147" s="296"/>
      <c r="H147" s="296"/>
      <c r="I147" s="296"/>
      <c r="J147" s="296"/>
      <c r="K147" s="296"/>
      <c r="L147" s="296"/>
      <c r="M147" s="296"/>
      <c r="N147" s="296"/>
      <c r="O147" s="281"/>
      <c r="P147" s="432"/>
    </row>
    <row r="148" spans="1:16" ht="12" customHeight="1" x14ac:dyDescent="0.2">
      <c r="A148" s="282">
        <f t="shared" ref="A148:A211" si="3">A147+1</f>
        <v>145</v>
      </c>
      <c r="B148" s="298" t="s">
        <v>628</v>
      </c>
      <c r="C148" s="329" t="s">
        <v>1016</v>
      </c>
      <c r="D148" s="296"/>
      <c r="E148" s="296"/>
      <c r="F148" s="296"/>
      <c r="G148" s="296"/>
      <c r="H148" s="296"/>
      <c r="I148" s="296"/>
      <c r="J148" s="296"/>
      <c r="K148" s="296"/>
      <c r="L148" s="296"/>
      <c r="M148" s="296"/>
      <c r="N148" s="296"/>
      <c r="O148" s="281"/>
      <c r="P148" s="432"/>
    </row>
    <row r="149" spans="1:16" ht="12" customHeight="1" x14ac:dyDescent="0.2">
      <c r="A149" s="282">
        <f t="shared" si="3"/>
        <v>146</v>
      </c>
      <c r="B149" s="298" t="s">
        <v>705</v>
      </c>
      <c r="C149" s="329" t="s">
        <v>1392</v>
      </c>
      <c r="D149" s="296"/>
      <c r="E149" s="296"/>
      <c r="F149" s="296"/>
      <c r="G149" s="296"/>
      <c r="H149" s="296"/>
      <c r="I149" s="296"/>
      <c r="J149" s="296"/>
      <c r="K149" s="296"/>
      <c r="L149" s="296"/>
      <c r="M149" s="296"/>
      <c r="N149" s="296"/>
      <c r="O149" s="281"/>
      <c r="P149" s="432"/>
    </row>
    <row r="150" spans="1:16" ht="12" customHeight="1" x14ac:dyDescent="0.2">
      <c r="A150" s="282">
        <f t="shared" si="3"/>
        <v>147</v>
      </c>
      <c r="B150" s="298" t="s">
        <v>629</v>
      </c>
      <c r="C150" s="329" t="s">
        <v>1017</v>
      </c>
      <c r="D150" s="296"/>
      <c r="E150" s="296"/>
      <c r="F150" s="296"/>
      <c r="G150" s="296"/>
      <c r="H150" s="296"/>
      <c r="I150" s="296"/>
      <c r="J150" s="296"/>
      <c r="K150" s="296"/>
      <c r="L150" s="296"/>
      <c r="M150" s="296"/>
      <c r="N150" s="296"/>
      <c r="O150" s="281"/>
      <c r="P150" s="432"/>
    </row>
    <row r="151" spans="1:16" ht="12" customHeight="1" x14ac:dyDescent="0.2">
      <c r="A151" s="282">
        <f t="shared" si="3"/>
        <v>148</v>
      </c>
      <c r="B151" s="298" t="s">
        <v>1393</v>
      </c>
      <c r="C151" s="329" t="s">
        <v>1394</v>
      </c>
      <c r="D151" s="296"/>
      <c r="E151" s="296"/>
      <c r="F151" s="296"/>
      <c r="G151" s="296"/>
      <c r="H151" s="296"/>
      <c r="I151" s="296"/>
      <c r="J151" s="296"/>
      <c r="K151" s="296"/>
      <c r="L151" s="296"/>
      <c r="M151" s="296"/>
      <c r="N151" s="296"/>
      <c r="O151" s="281"/>
      <c r="P151" s="432"/>
    </row>
    <row r="152" spans="1:16" ht="12" customHeight="1" x14ac:dyDescent="0.2">
      <c r="A152" s="282">
        <f t="shared" si="3"/>
        <v>149</v>
      </c>
      <c r="B152" s="298" t="s">
        <v>630</v>
      </c>
      <c r="C152" s="329" t="s">
        <v>1018</v>
      </c>
      <c r="D152" s="296"/>
      <c r="E152" s="296"/>
      <c r="F152" s="296"/>
      <c r="G152" s="296"/>
      <c r="H152" s="296"/>
      <c r="I152" s="296"/>
      <c r="J152" s="296"/>
      <c r="K152" s="296"/>
      <c r="L152" s="296"/>
      <c r="M152" s="296"/>
      <c r="N152" s="296"/>
      <c r="O152" s="281"/>
      <c r="P152" s="432"/>
    </row>
    <row r="153" spans="1:16" ht="12" customHeight="1" x14ac:dyDescent="0.2">
      <c r="A153" s="282">
        <f t="shared" si="3"/>
        <v>150</v>
      </c>
      <c r="B153" s="298" t="s">
        <v>1566</v>
      </c>
      <c r="C153" s="329" t="s">
        <v>1607</v>
      </c>
      <c r="D153" s="296"/>
      <c r="E153" s="296"/>
      <c r="F153" s="296"/>
      <c r="G153" s="296"/>
      <c r="H153" s="296"/>
      <c r="I153" s="296"/>
      <c r="J153" s="296"/>
      <c r="K153" s="296"/>
      <c r="L153" s="296"/>
      <c r="M153" s="296"/>
      <c r="N153" s="296"/>
      <c r="O153" s="281"/>
      <c r="P153" s="432"/>
    </row>
    <row r="154" spans="1:16" ht="12" customHeight="1" x14ac:dyDescent="0.2">
      <c r="A154" s="282">
        <f t="shared" si="3"/>
        <v>151</v>
      </c>
      <c r="B154" s="298" t="s">
        <v>1567</v>
      </c>
      <c r="C154" s="329" t="s">
        <v>1568</v>
      </c>
      <c r="D154" s="296"/>
      <c r="E154" s="296"/>
      <c r="F154" s="296"/>
      <c r="G154" s="296"/>
      <c r="H154" s="296"/>
      <c r="I154" s="296"/>
      <c r="J154" s="296"/>
      <c r="K154" s="296"/>
      <c r="L154" s="296"/>
      <c r="M154" s="296"/>
      <c r="N154" s="296"/>
      <c r="O154" s="281"/>
      <c r="P154" s="432"/>
    </row>
    <row r="155" spans="1:16" ht="12" customHeight="1" x14ac:dyDescent="0.2">
      <c r="A155" s="282">
        <f t="shared" si="3"/>
        <v>152</v>
      </c>
      <c r="B155" s="298" t="s">
        <v>1569</v>
      </c>
      <c r="C155" s="329" t="s">
        <v>1719</v>
      </c>
      <c r="D155" s="296"/>
      <c r="E155" s="296"/>
      <c r="F155" s="296"/>
      <c r="G155" s="296"/>
      <c r="H155" s="296"/>
      <c r="I155" s="296"/>
      <c r="J155" s="296"/>
      <c r="K155" s="296"/>
      <c r="L155" s="296"/>
      <c r="M155" s="296"/>
      <c r="N155" s="296"/>
      <c r="O155" s="281"/>
      <c r="P155" s="432"/>
    </row>
    <row r="156" spans="1:16" ht="12" customHeight="1" x14ac:dyDescent="0.2">
      <c r="A156" s="282">
        <f t="shared" si="3"/>
        <v>153</v>
      </c>
      <c r="B156" s="298" t="s">
        <v>1570</v>
      </c>
      <c r="C156" s="329" t="s">
        <v>1571</v>
      </c>
      <c r="D156" s="296"/>
      <c r="E156" s="296"/>
      <c r="F156" s="296"/>
      <c r="G156" s="296"/>
      <c r="H156" s="296"/>
      <c r="I156" s="296"/>
      <c r="J156" s="296"/>
      <c r="K156" s="296"/>
      <c r="L156" s="296"/>
      <c r="M156" s="296"/>
      <c r="N156" s="296"/>
      <c r="O156" s="281"/>
      <c r="P156" s="432"/>
    </row>
    <row r="157" spans="1:16" ht="12" customHeight="1" x14ac:dyDescent="0.2">
      <c r="A157" s="282">
        <f t="shared" si="3"/>
        <v>154</v>
      </c>
      <c r="B157" s="298" t="s">
        <v>1572</v>
      </c>
      <c r="C157" s="329" t="s">
        <v>1720</v>
      </c>
      <c r="D157" s="296"/>
      <c r="E157" s="296"/>
      <c r="F157" s="296"/>
      <c r="G157" s="296"/>
      <c r="H157" s="296"/>
      <c r="I157" s="296"/>
      <c r="J157" s="296"/>
      <c r="K157" s="296"/>
      <c r="L157" s="296"/>
      <c r="M157" s="296"/>
      <c r="N157" s="296"/>
      <c r="O157" s="281"/>
      <c r="P157" s="432"/>
    </row>
    <row r="158" spans="1:16" ht="12" customHeight="1" x14ac:dyDescent="0.2">
      <c r="A158" s="282">
        <f t="shared" si="3"/>
        <v>155</v>
      </c>
      <c r="B158" s="298" t="s">
        <v>1573</v>
      </c>
      <c r="C158" s="329" t="s">
        <v>1574</v>
      </c>
      <c r="D158" s="296"/>
      <c r="E158" s="296"/>
      <c r="F158" s="296"/>
      <c r="G158" s="296"/>
      <c r="H158" s="296"/>
      <c r="I158" s="296"/>
      <c r="J158" s="296"/>
      <c r="K158" s="296"/>
      <c r="L158" s="296"/>
      <c r="M158" s="296"/>
      <c r="N158" s="296"/>
      <c r="O158" s="281"/>
      <c r="P158" s="432"/>
    </row>
    <row r="159" spans="1:16" ht="12" customHeight="1" x14ac:dyDescent="0.2">
      <c r="A159" s="282">
        <f t="shared" si="3"/>
        <v>156</v>
      </c>
      <c r="B159" s="298" t="s">
        <v>631</v>
      </c>
      <c r="C159" s="329" t="s">
        <v>1721</v>
      </c>
      <c r="D159" s="296"/>
      <c r="E159" s="296"/>
      <c r="F159" s="296"/>
      <c r="G159" s="296"/>
      <c r="H159" s="296"/>
      <c r="I159" s="296"/>
      <c r="J159" s="296"/>
      <c r="K159" s="296"/>
      <c r="L159" s="296"/>
      <c r="M159" s="296"/>
      <c r="N159" s="296"/>
      <c r="O159" s="281"/>
      <c r="P159" s="432"/>
    </row>
    <row r="160" spans="1:16" ht="12" customHeight="1" x14ac:dyDescent="0.2">
      <c r="A160" s="282">
        <f t="shared" si="3"/>
        <v>157</v>
      </c>
      <c r="B160" s="298" t="s">
        <v>1575</v>
      </c>
      <c r="C160" s="329" t="s">
        <v>1309</v>
      </c>
      <c r="D160" s="296"/>
      <c r="E160" s="296"/>
      <c r="F160" s="296"/>
      <c r="G160" s="296"/>
      <c r="H160" s="296"/>
      <c r="I160" s="296"/>
      <c r="J160" s="296"/>
      <c r="K160" s="296"/>
      <c r="L160" s="296"/>
      <c r="M160" s="296"/>
      <c r="N160" s="296"/>
      <c r="O160" s="281"/>
      <c r="P160" s="432"/>
    </row>
    <row r="161" spans="1:16" ht="12" customHeight="1" x14ac:dyDescent="0.2">
      <c r="A161" s="282">
        <f t="shared" si="3"/>
        <v>158</v>
      </c>
      <c r="B161" s="298" t="s">
        <v>171</v>
      </c>
      <c r="C161" s="329" t="s">
        <v>1019</v>
      </c>
      <c r="D161" s="296"/>
      <c r="E161" s="296"/>
      <c r="F161" s="296"/>
      <c r="G161" s="296"/>
      <c r="H161" s="296"/>
      <c r="I161" s="296"/>
      <c r="J161" s="296"/>
      <c r="K161" s="296"/>
      <c r="L161" s="296"/>
      <c r="M161" s="296"/>
      <c r="N161" s="296"/>
      <c r="O161" s="281"/>
      <c r="P161" s="432"/>
    </row>
    <row r="162" spans="1:16" ht="12" customHeight="1" x14ac:dyDescent="0.2">
      <c r="A162" s="282">
        <f t="shared" si="3"/>
        <v>159</v>
      </c>
      <c r="B162" s="298" t="s">
        <v>172</v>
      </c>
      <c r="C162" s="329" t="s">
        <v>1020</v>
      </c>
      <c r="D162" s="296"/>
      <c r="E162" s="296"/>
      <c r="F162" s="296"/>
      <c r="G162" s="296"/>
      <c r="H162" s="296"/>
      <c r="I162" s="296"/>
      <c r="J162" s="296"/>
      <c r="K162" s="296"/>
      <c r="L162" s="296"/>
      <c r="M162" s="296"/>
      <c r="N162" s="296"/>
      <c r="O162" s="281"/>
      <c r="P162" s="432"/>
    </row>
    <row r="163" spans="1:16" s="587" customFormat="1" ht="12" customHeight="1" x14ac:dyDescent="0.2">
      <c r="A163" s="586">
        <f t="shared" si="3"/>
        <v>160</v>
      </c>
      <c r="B163" s="299" t="s">
        <v>174</v>
      </c>
      <c r="C163" s="330" t="s">
        <v>1746</v>
      </c>
      <c r="D163" s="297"/>
      <c r="E163" s="297"/>
      <c r="F163" s="297"/>
      <c r="G163" s="297"/>
      <c r="H163" s="297"/>
      <c r="I163" s="297"/>
      <c r="J163" s="297"/>
      <c r="K163" s="297"/>
      <c r="L163" s="297"/>
      <c r="M163" s="297"/>
      <c r="N163" s="297"/>
      <c r="O163" s="283"/>
      <c r="P163" s="433"/>
    </row>
    <row r="164" spans="1:16" s="587" customFormat="1" ht="12" customHeight="1" x14ac:dyDescent="0.2">
      <c r="A164" s="586">
        <f t="shared" si="3"/>
        <v>161</v>
      </c>
      <c r="B164" s="299" t="s">
        <v>175</v>
      </c>
      <c r="C164" s="330" t="s">
        <v>1747</v>
      </c>
      <c r="D164" s="297"/>
      <c r="E164" s="297"/>
      <c r="F164" s="297"/>
      <c r="G164" s="297"/>
      <c r="H164" s="297"/>
      <c r="I164" s="297"/>
      <c r="J164" s="297"/>
      <c r="K164" s="297"/>
      <c r="L164" s="297"/>
      <c r="M164" s="297"/>
      <c r="N164" s="297"/>
      <c r="O164" s="283"/>
      <c r="P164" s="585"/>
    </row>
    <row r="165" spans="1:16" ht="12" customHeight="1" x14ac:dyDescent="0.2">
      <c r="A165" s="282">
        <f t="shared" si="3"/>
        <v>162</v>
      </c>
      <c r="B165" s="298" t="s">
        <v>632</v>
      </c>
      <c r="C165" s="329" t="s">
        <v>1722</v>
      </c>
      <c r="D165" s="296"/>
      <c r="E165" s="296"/>
      <c r="F165" s="296"/>
      <c r="G165" s="296"/>
      <c r="H165" s="296"/>
      <c r="I165" s="296"/>
      <c r="J165" s="296"/>
      <c r="K165" s="296"/>
      <c r="L165" s="296"/>
      <c r="M165" s="296"/>
      <c r="N165" s="296"/>
      <c r="O165" s="281"/>
      <c r="P165" s="432"/>
    </row>
    <row r="166" spans="1:16" ht="12" customHeight="1" x14ac:dyDescent="0.2">
      <c r="A166" s="282">
        <f t="shared" si="3"/>
        <v>163</v>
      </c>
      <c r="B166" s="298" t="s">
        <v>525</v>
      </c>
      <c r="C166" s="329" t="s">
        <v>1723</v>
      </c>
      <c r="D166" s="296"/>
      <c r="E166" s="296"/>
      <c r="F166" s="296"/>
      <c r="G166" s="296"/>
      <c r="H166" s="296"/>
      <c r="I166" s="296"/>
      <c r="J166" s="296"/>
      <c r="K166" s="296"/>
      <c r="L166" s="296"/>
      <c r="M166" s="296"/>
      <c r="N166" s="296"/>
      <c r="O166" s="281"/>
      <c r="P166" s="432"/>
    </row>
    <row r="167" spans="1:16" ht="12" customHeight="1" x14ac:dyDescent="0.2">
      <c r="A167" s="282">
        <f t="shared" si="3"/>
        <v>164</v>
      </c>
      <c r="B167" s="298" t="s">
        <v>633</v>
      </c>
      <c r="C167" s="329" t="s">
        <v>1622</v>
      </c>
      <c r="D167" s="296"/>
      <c r="E167" s="296"/>
      <c r="F167" s="296"/>
      <c r="G167" s="296"/>
      <c r="H167" s="296"/>
      <c r="I167" s="296"/>
      <c r="J167" s="296"/>
      <c r="K167" s="296"/>
      <c r="L167" s="296"/>
      <c r="M167" s="296"/>
      <c r="N167" s="296"/>
      <c r="O167" s="281"/>
      <c r="P167" s="432"/>
    </row>
    <row r="168" spans="1:16" ht="12" customHeight="1" x14ac:dyDescent="0.2">
      <c r="A168" s="282">
        <f t="shared" si="3"/>
        <v>165</v>
      </c>
      <c r="B168" s="298" t="s">
        <v>634</v>
      </c>
      <c r="C168" s="329" t="s">
        <v>1623</v>
      </c>
      <c r="D168" s="296"/>
      <c r="E168" s="296"/>
      <c r="F168" s="296"/>
      <c r="G168" s="296"/>
      <c r="H168" s="296"/>
      <c r="I168" s="296"/>
      <c r="J168" s="296"/>
      <c r="K168" s="296"/>
      <c r="L168" s="296"/>
      <c r="M168" s="296"/>
      <c r="N168" s="296"/>
      <c r="O168" s="281"/>
      <c r="P168" s="432"/>
    </row>
    <row r="169" spans="1:16" ht="12" customHeight="1" x14ac:dyDescent="0.2">
      <c r="A169" s="282">
        <f t="shared" si="3"/>
        <v>166</v>
      </c>
      <c r="B169" s="298" t="s">
        <v>635</v>
      </c>
      <c r="C169" s="329" t="s">
        <v>1624</v>
      </c>
      <c r="D169" s="296"/>
      <c r="E169" s="296"/>
      <c r="F169" s="296"/>
      <c r="G169" s="296"/>
      <c r="H169" s="296"/>
      <c r="I169" s="296"/>
      <c r="J169" s="296"/>
      <c r="K169" s="296"/>
      <c r="L169" s="296"/>
      <c r="M169" s="296"/>
      <c r="N169" s="296"/>
      <c r="O169" s="281"/>
      <c r="P169" s="432"/>
    </row>
    <row r="170" spans="1:16" ht="12" customHeight="1" x14ac:dyDescent="0.2">
      <c r="A170" s="282">
        <f t="shared" si="3"/>
        <v>167</v>
      </c>
      <c r="B170" s="298" t="s">
        <v>636</v>
      </c>
      <c r="C170" s="329" t="s">
        <v>1576</v>
      </c>
      <c r="D170" s="296"/>
      <c r="E170" s="296"/>
      <c r="F170" s="296"/>
      <c r="G170" s="296"/>
      <c r="H170" s="296"/>
      <c r="I170" s="296"/>
      <c r="J170" s="296"/>
      <c r="K170" s="296"/>
      <c r="L170" s="296"/>
      <c r="M170" s="296"/>
      <c r="N170" s="296"/>
      <c r="O170" s="281"/>
      <c r="P170" s="432"/>
    </row>
    <row r="171" spans="1:16" ht="12" customHeight="1" x14ac:dyDescent="0.2">
      <c r="A171" s="282">
        <f t="shared" si="3"/>
        <v>168</v>
      </c>
      <c r="B171" s="298" t="s">
        <v>1578</v>
      </c>
      <c r="C171" s="329" t="s">
        <v>1577</v>
      </c>
      <c r="D171" s="296"/>
      <c r="E171" s="296"/>
      <c r="F171" s="296"/>
      <c r="G171" s="296"/>
      <c r="H171" s="296"/>
      <c r="I171" s="296"/>
      <c r="J171" s="296"/>
      <c r="K171" s="296"/>
      <c r="L171" s="296"/>
      <c r="M171" s="296"/>
      <c r="N171" s="296"/>
      <c r="O171" s="281"/>
      <c r="P171" s="432"/>
    </row>
    <row r="172" spans="1:16" ht="12" customHeight="1" x14ac:dyDescent="0.2">
      <c r="A172" s="282">
        <f t="shared" si="3"/>
        <v>169</v>
      </c>
      <c r="B172" s="298" t="s">
        <v>1395</v>
      </c>
      <c r="C172" s="329" t="s">
        <v>1021</v>
      </c>
      <c r="D172" s="296"/>
      <c r="E172" s="296"/>
      <c r="F172" s="296"/>
      <c r="G172" s="296"/>
      <c r="H172" s="296"/>
      <c r="I172" s="296"/>
      <c r="J172" s="296"/>
      <c r="K172" s="296"/>
      <c r="L172" s="296"/>
      <c r="M172" s="296"/>
      <c r="N172" s="296"/>
      <c r="O172" s="281"/>
      <c r="P172" s="432"/>
    </row>
    <row r="173" spans="1:16" ht="12" customHeight="1" x14ac:dyDescent="0.2">
      <c r="A173" s="282">
        <f t="shared" si="3"/>
        <v>170</v>
      </c>
      <c r="B173" s="298" t="s">
        <v>637</v>
      </c>
      <c r="C173" s="329" t="s">
        <v>1022</v>
      </c>
      <c r="D173" s="296"/>
      <c r="E173" s="296"/>
      <c r="F173" s="296"/>
      <c r="G173" s="296"/>
      <c r="H173" s="296"/>
      <c r="I173" s="296"/>
      <c r="J173" s="296"/>
      <c r="K173" s="296"/>
      <c r="L173" s="296"/>
      <c r="M173" s="296"/>
      <c r="N173" s="296"/>
      <c r="O173" s="281"/>
      <c r="P173" s="432"/>
    </row>
    <row r="174" spans="1:16" ht="12" customHeight="1" x14ac:dyDescent="0.2">
      <c r="A174" s="282">
        <f t="shared" si="3"/>
        <v>171</v>
      </c>
      <c r="B174" s="298" t="s">
        <v>638</v>
      </c>
      <c r="C174" s="329" t="s">
        <v>1724</v>
      </c>
      <c r="D174" s="296"/>
      <c r="E174" s="296"/>
      <c r="F174" s="296"/>
      <c r="G174" s="296"/>
      <c r="H174" s="296"/>
      <c r="I174" s="296"/>
      <c r="J174" s="296"/>
      <c r="K174" s="296"/>
      <c r="L174" s="296"/>
      <c r="M174" s="296"/>
      <c r="N174" s="296"/>
      <c r="O174" s="281"/>
      <c r="P174" s="432"/>
    </row>
    <row r="175" spans="1:16" ht="12" customHeight="1" x14ac:dyDescent="0.2">
      <c r="A175" s="282">
        <f t="shared" si="3"/>
        <v>172</v>
      </c>
      <c r="B175" s="298" t="s">
        <v>642</v>
      </c>
      <c r="C175" s="329" t="s">
        <v>1725</v>
      </c>
      <c r="D175" s="296"/>
      <c r="E175" s="296"/>
      <c r="F175" s="296"/>
      <c r="G175" s="296"/>
      <c r="H175" s="296"/>
      <c r="I175" s="296"/>
      <c r="J175" s="296"/>
      <c r="K175" s="296"/>
      <c r="L175" s="296"/>
      <c r="M175" s="296"/>
      <c r="N175" s="296"/>
      <c r="O175" s="281"/>
      <c r="P175" s="432"/>
    </row>
    <row r="176" spans="1:16" ht="12" customHeight="1" x14ac:dyDescent="0.2">
      <c r="A176" s="282">
        <f t="shared" si="3"/>
        <v>173</v>
      </c>
      <c r="B176" s="298" t="s">
        <v>643</v>
      </c>
      <c r="C176" s="329" t="s">
        <v>1726</v>
      </c>
      <c r="D176" s="296"/>
      <c r="E176" s="296"/>
      <c r="F176" s="296"/>
      <c r="G176" s="296"/>
      <c r="H176" s="296"/>
      <c r="I176" s="296"/>
      <c r="J176" s="296"/>
      <c r="K176" s="296"/>
      <c r="L176" s="296"/>
      <c r="M176" s="296"/>
      <c r="N176" s="296"/>
      <c r="O176" s="281"/>
      <c r="P176" s="432"/>
    </row>
    <row r="177" spans="1:16" ht="12" customHeight="1" x14ac:dyDescent="0.2">
      <c r="A177" s="282">
        <f t="shared" si="3"/>
        <v>174</v>
      </c>
      <c r="B177" s="298" t="s">
        <v>644</v>
      </c>
      <c r="C177" s="329" t="s">
        <v>1727</v>
      </c>
      <c r="D177" s="296"/>
      <c r="E177" s="296"/>
      <c r="F177" s="296"/>
      <c r="G177" s="296"/>
      <c r="H177" s="296"/>
      <c r="I177" s="296"/>
      <c r="J177" s="296"/>
      <c r="K177" s="296"/>
      <c r="L177" s="296"/>
      <c r="M177" s="296"/>
      <c r="N177" s="296"/>
      <c r="O177" s="281"/>
      <c r="P177" s="432"/>
    </row>
    <row r="178" spans="1:16" ht="12" customHeight="1" x14ac:dyDescent="0.2">
      <c r="A178" s="282">
        <f t="shared" si="3"/>
        <v>175</v>
      </c>
      <c r="B178" s="298" t="s">
        <v>639</v>
      </c>
      <c r="C178" s="329" t="s">
        <v>1728</v>
      </c>
      <c r="D178" s="296"/>
      <c r="E178" s="296"/>
      <c r="F178" s="296"/>
      <c r="G178" s="296"/>
      <c r="H178" s="296"/>
      <c r="I178" s="296"/>
      <c r="J178" s="296"/>
      <c r="K178" s="296"/>
      <c r="L178" s="296"/>
      <c r="M178" s="296"/>
      <c r="N178" s="296"/>
      <c r="O178" s="281"/>
      <c r="P178" s="432"/>
    </row>
    <row r="179" spans="1:16" ht="12" customHeight="1" x14ac:dyDescent="0.2">
      <c r="A179" s="282">
        <f t="shared" si="3"/>
        <v>176</v>
      </c>
      <c r="B179" s="298" t="s">
        <v>640</v>
      </c>
      <c r="C179" s="329" t="s">
        <v>1729</v>
      </c>
      <c r="D179" s="296"/>
      <c r="E179" s="296"/>
      <c r="F179" s="296"/>
      <c r="G179" s="296"/>
      <c r="H179" s="296"/>
      <c r="I179" s="296"/>
      <c r="J179" s="296"/>
      <c r="K179" s="296"/>
      <c r="L179" s="296"/>
      <c r="M179" s="296"/>
      <c r="N179" s="296"/>
      <c r="O179" s="281"/>
      <c r="P179" s="432"/>
    </row>
    <row r="180" spans="1:16" ht="12" customHeight="1" x14ac:dyDescent="0.2">
      <c r="A180" s="282">
        <f t="shared" si="3"/>
        <v>177</v>
      </c>
      <c r="B180" s="298" t="s">
        <v>641</v>
      </c>
      <c r="C180" s="329" t="s">
        <v>1730</v>
      </c>
      <c r="D180" s="296"/>
      <c r="E180" s="296"/>
      <c r="F180" s="296"/>
      <c r="G180" s="296"/>
      <c r="H180" s="296"/>
      <c r="I180" s="296"/>
      <c r="J180" s="296"/>
      <c r="K180" s="296"/>
      <c r="L180" s="296"/>
      <c r="M180" s="296"/>
      <c r="N180" s="296"/>
      <c r="O180" s="281"/>
      <c r="P180" s="432"/>
    </row>
    <row r="181" spans="1:16" ht="12" customHeight="1" x14ac:dyDescent="0.2">
      <c r="A181" s="282">
        <f t="shared" si="3"/>
        <v>178</v>
      </c>
      <c r="B181" s="298" t="s">
        <v>645</v>
      </c>
      <c r="C181" s="329" t="s">
        <v>1731</v>
      </c>
      <c r="D181" s="296"/>
      <c r="E181" s="296"/>
      <c r="F181" s="296"/>
      <c r="G181" s="296"/>
      <c r="H181" s="296"/>
      <c r="I181" s="296"/>
      <c r="J181" s="296"/>
      <c r="K181" s="296"/>
      <c r="L181" s="296"/>
      <c r="M181" s="296"/>
      <c r="N181" s="296"/>
      <c r="O181" s="281"/>
      <c r="P181" s="432"/>
    </row>
    <row r="182" spans="1:16" ht="12" customHeight="1" x14ac:dyDescent="0.2">
      <c r="A182" s="282">
        <f t="shared" si="3"/>
        <v>179</v>
      </c>
      <c r="B182" s="298" t="s">
        <v>646</v>
      </c>
      <c r="C182" s="329" t="s">
        <v>1732</v>
      </c>
      <c r="D182" s="296"/>
      <c r="E182" s="296"/>
      <c r="F182" s="296"/>
      <c r="G182" s="296"/>
      <c r="H182" s="296"/>
      <c r="I182" s="296"/>
      <c r="J182" s="296"/>
      <c r="K182" s="296"/>
      <c r="L182" s="296"/>
      <c r="M182" s="296"/>
      <c r="N182" s="296"/>
      <c r="O182" s="281"/>
      <c r="P182" s="432"/>
    </row>
    <row r="183" spans="1:16" ht="12" customHeight="1" x14ac:dyDescent="0.2">
      <c r="A183" s="282">
        <f t="shared" si="3"/>
        <v>180</v>
      </c>
      <c r="B183" s="298" t="s">
        <v>647</v>
      </c>
      <c r="C183" s="329" t="s">
        <v>1733</v>
      </c>
      <c r="D183" s="296"/>
      <c r="E183" s="296"/>
      <c r="F183" s="296"/>
      <c r="G183" s="296"/>
      <c r="H183" s="296"/>
      <c r="I183" s="296"/>
      <c r="J183" s="296"/>
      <c r="K183" s="296"/>
      <c r="L183" s="296"/>
      <c r="M183" s="296"/>
      <c r="N183" s="296"/>
      <c r="O183" s="281"/>
      <c r="P183" s="432"/>
    </row>
    <row r="184" spans="1:16" ht="12" customHeight="1" x14ac:dyDescent="0.2">
      <c r="A184" s="282">
        <f t="shared" si="3"/>
        <v>181</v>
      </c>
      <c r="B184" s="298" t="s">
        <v>648</v>
      </c>
      <c r="C184" s="329" t="s">
        <v>1734</v>
      </c>
      <c r="D184" s="296"/>
      <c r="E184" s="296"/>
      <c r="F184" s="296"/>
      <c r="G184" s="296"/>
      <c r="H184" s="296"/>
      <c r="I184" s="296"/>
      <c r="J184" s="296"/>
      <c r="K184" s="296"/>
      <c r="L184" s="296"/>
      <c r="M184" s="296"/>
      <c r="N184" s="296"/>
      <c r="O184" s="281"/>
      <c r="P184" s="432"/>
    </row>
    <row r="185" spans="1:16" ht="12" customHeight="1" x14ac:dyDescent="0.2">
      <c r="A185" s="282">
        <f t="shared" si="3"/>
        <v>182</v>
      </c>
      <c r="B185" s="298" t="s">
        <v>649</v>
      </c>
      <c r="C185" s="329" t="s">
        <v>1735</v>
      </c>
      <c r="D185" s="296"/>
      <c r="E185" s="296"/>
      <c r="F185" s="296"/>
      <c r="G185" s="296"/>
      <c r="H185" s="296"/>
      <c r="I185" s="296"/>
      <c r="J185" s="296"/>
      <c r="K185" s="296"/>
      <c r="L185" s="296"/>
      <c r="M185" s="296"/>
      <c r="N185" s="296"/>
      <c r="O185" s="281"/>
      <c r="P185" s="432"/>
    </row>
    <row r="186" spans="1:16" ht="12" customHeight="1" x14ac:dyDescent="0.2">
      <c r="A186" s="282">
        <f t="shared" si="3"/>
        <v>183</v>
      </c>
      <c r="B186" s="298" t="s">
        <v>650</v>
      </c>
      <c r="C186" s="329" t="s">
        <v>1736</v>
      </c>
      <c r="D186" s="296"/>
      <c r="E186" s="296"/>
      <c r="F186" s="296"/>
      <c r="G186" s="296"/>
      <c r="H186" s="296"/>
      <c r="I186" s="296"/>
      <c r="J186" s="296"/>
      <c r="K186" s="296"/>
      <c r="L186" s="296"/>
      <c r="M186" s="296"/>
      <c r="N186" s="296"/>
      <c r="O186" s="281"/>
      <c r="P186" s="432"/>
    </row>
    <row r="187" spans="1:16" ht="12" customHeight="1" x14ac:dyDescent="0.2">
      <c r="A187" s="282">
        <f t="shared" si="3"/>
        <v>184</v>
      </c>
      <c r="B187" s="298" t="s">
        <v>651</v>
      </c>
      <c r="C187" s="329" t="s">
        <v>1737</v>
      </c>
      <c r="D187" s="296"/>
      <c r="E187" s="296"/>
      <c r="F187" s="296"/>
      <c r="G187" s="296"/>
      <c r="H187" s="296"/>
      <c r="I187" s="296"/>
      <c r="J187" s="296"/>
      <c r="K187" s="296"/>
      <c r="L187" s="296"/>
      <c r="M187" s="296"/>
      <c r="N187" s="296"/>
      <c r="O187" s="281"/>
      <c r="P187" s="432"/>
    </row>
    <row r="188" spans="1:16" ht="12" customHeight="1" x14ac:dyDescent="0.2">
      <c r="A188" s="282">
        <f t="shared" si="3"/>
        <v>185</v>
      </c>
      <c r="B188" s="298" t="s">
        <v>652</v>
      </c>
      <c r="C188" s="329" t="s">
        <v>1738</v>
      </c>
      <c r="D188" s="296"/>
      <c r="E188" s="296"/>
      <c r="F188" s="296"/>
      <c r="G188" s="296"/>
      <c r="H188" s="296"/>
      <c r="I188" s="296"/>
      <c r="J188" s="296"/>
      <c r="K188" s="296"/>
      <c r="L188" s="296"/>
      <c r="M188" s="296"/>
      <c r="N188" s="296"/>
      <c r="O188" s="281"/>
      <c r="P188" s="432"/>
    </row>
    <row r="189" spans="1:16" ht="12" customHeight="1" x14ac:dyDescent="0.2">
      <c r="A189" s="282">
        <f t="shared" si="3"/>
        <v>186</v>
      </c>
      <c r="B189" s="298" t="s">
        <v>526</v>
      </c>
      <c r="C189" s="329" t="s">
        <v>1023</v>
      </c>
      <c r="D189" s="296"/>
      <c r="E189" s="296"/>
      <c r="F189" s="296"/>
      <c r="G189" s="296"/>
      <c r="H189" s="296"/>
      <c r="I189" s="296"/>
      <c r="J189" s="296"/>
      <c r="K189" s="296"/>
      <c r="L189" s="296"/>
      <c r="M189" s="296"/>
      <c r="N189" s="296"/>
      <c r="O189" s="281"/>
      <c r="P189" s="432"/>
    </row>
    <row r="190" spans="1:16" ht="12" customHeight="1" x14ac:dyDescent="0.2">
      <c r="A190" s="282">
        <f t="shared" si="3"/>
        <v>187</v>
      </c>
      <c r="B190" s="298" t="s">
        <v>708</v>
      </c>
      <c r="C190" s="329" t="s">
        <v>1024</v>
      </c>
      <c r="D190" s="296"/>
      <c r="E190" s="296"/>
      <c r="F190" s="296"/>
      <c r="G190" s="296"/>
      <c r="H190" s="296"/>
      <c r="I190" s="296"/>
      <c r="J190" s="296"/>
      <c r="K190" s="296"/>
      <c r="L190" s="296"/>
      <c r="M190" s="296"/>
      <c r="N190" s="296"/>
      <c r="O190" s="281"/>
      <c r="P190" s="432"/>
    </row>
    <row r="191" spans="1:16" ht="12" customHeight="1" x14ac:dyDescent="0.2">
      <c r="A191" s="282">
        <f t="shared" si="3"/>
        <v>188</v>
      </c>
      <c r="B191" s="298" t="s">
        <v>654</v>
      </c>
      <c r="C191" s="329" t="s">
        <v>1025</v>
      </c>
      <c r="D191" s="296"/>
      <c r="E191" s="296"/>
      <c r="F191" s="296"/>
      <c r="G191" s="296"/>
      <c r="H191" s="296"/>
      <c r="I191" s="296"/>
      <c r="J191" s="296"/>
      <c r="K191" s="296"/>
      <c r="L191" s="296"/>
      <c r="M191" s="296"/>
      <c r="N191" s="296"/>
      <c r="O191" s="281"/>
      <c r="P191" s="432"/>
    </row>
    <row r="192" spans="1:16" ht="12" customHeight="1" x14ac:dyDescent="0.2">
      <c r="A192" s="282">
        <f t="shared" si="3"/>
        <v>189</v>
      </c>
      <c r="B192" s="298" t="s">
        <v>655</v>
      </c>
      <c r="C192" s="329" t="s">
        <v>1026</v>
      </c>
      <c r="D192" s="296"/>
      <c r="E192" s="296"/>
      <c r="F192" s="296"/>
      <c r="G192" s="296"/>
      <c r="H192" s="296"/>
      <c r="I192" s="296"/>
      <c r="J192" s="296"/>
      <c r="K192" s="296"/>
      <c r="L192" s="296"/>
      <c r="M192" s="296"/>
      <c r="N192" s="296"/>
      <c r="O192" s="281"/>
      <c r="P192" s="432"/>
    </row>
    <row r="193" spans="1:16" ht="12" customHeight="1" x14ac:dyDescent="0.2">
      <c r="A193" s="282">
        <f t="shared" si="3"/>
        <v>190</v>
      </c>
      <c r="B193" s="298" t="s">
        <v>656</v>
      </c>
      <c r="C193" s="329" t="s">
        <v>1027</v>
      </c>
      <c r="D193" s="296"/>
      <c r="E193" s="296"/>
      <c r="F193" s="296"/>
      <c r="G193" s="296"/>
      <c r="H193" s="296"/>
      <c r="I193" s="296"/>
      <c r="J193" s="296"/>
      <c r="K193" s="296"/>
      <c r="L193" s="296"/>
      <c r="M193" s="296"/>
      <c r="N193" s="296"/>
      <c r="O193" s="281"/>
      <c r="P193" s="432"/>
    </row>
    <row r="194" spans="1:16" ht="12" customHeight="1" x14ac:dyDescent="0.2">
      <c r="A194" s="282">
        <f t="shared" si="3"/>
        <v>191</v>
      </c>
      <c r="B194" s="298" t="s">
        <v>657</v>
      </c>
      <c r="C194" s="329" t="s">
        <v>1028</v>
      </c>
      <c r="D194" s="296"/>
      <c r="E194" s="296"/>
      <c r="F194" s="296"/>
      <c r="G194" s="296"/>
      <c r="H194" s="296"/>
      <c r="I194" s="296"/>
      <c r="J194" s="296"/>
      <c r="K194" s="296"/>
      <c r="L194" s="296"/>
      <c r="M194" s="296"/>
      <c r="N194" s="296"/>
      <c r="O194" s="281"/>
      <c r="P194" s="432"/>
    </row>
    <row r="195" spans="1:16" ht="12" customHeight="1" x14ac:dyDescent="0.2">
      <c r="A195" s="282">
        <f t="shared" si="3"/>
        <v>192</v>
      </c>
      <c r="B195" s="298" t="s">
        <v>658</v>
      </c>
      <c r="C195" s="329" t="s">
        <v>1029</v>
      </c>
      <c r="D195" s="296"/>
      <c r="E195" s="296"/>
      <c r="F195" s="296"/>
      <c r="G195" s="296"/>
      <c r="H195" s="296"/>
      <c r="I195" s="296"/>
      <c r="J195" s="296"/>
      <c r="K195" s="296"/>
      <c r="L195" s="296"/>
      <c r="M195" s="296"/>
      <c r="N195" s="296"/>
      <c r="O195" s="281"/>
      <c r="P195" s="432"/>
    </row>
    <row r="196" spans="1:16" ht="12" customHeight="1" x14ac:dyDescent="0.2">
      <c r="A196" s="282">
        <f t="shared" si="3"/>
        <v>193</v>
      </c>
      <c r="B196" s="298" t="s">
        <v>659</v>
      </c>
      <c r="C196" s="329" t="s">
        <v>1030</v>
      </c>
      <c r="D196" s="296"/>
      <c r="E196" s="296"/>
      <c r="F196" s="296"/>
      <c r="G196" s="296"/>
      <c r="H196" s="296"/>
      <c r="I196" s="296"/>
      <c r="J196" s="296"/>
      <c r="K196" s="296"/>
      <c r="L196" s="296"/>
      <c r="M196" s="296"/>
      <c r="N196" s="296"/>
      <c r="O196" s="281"/>
      <c r="P196" s="432"/>
    </row>
    <row r="197" spans="1:16" ht="12" customHeight="1" x14ac:dyDescent="0.2">
      <c r="A197" s="282">
        <f t="shared" si="3"/>
        <v>194</v>
      </c>
      <c r="B197" s="298" t="s">
        <v>660</v>
      </c>
      <c r="C197" s="329" t="s">
        <v>1031</v>
      </c>
      <c r="D197" s="296"/>
      <c r="E197" s="296"/>
      <c r="F197" s="296"/>
      <c r="G197" s="296"/>
      <c r="H197" s="296"/>
      <c r="I197" s="296"/>
      <c r="J197" s="296"/>
      <c r="K197" s="296"/>
      <c r="L197" s="296"/>
      <c r="M197" s="296"/>
      <c r="N197" s="296"/>
      <c r="O197" s="281"/>
      <c r="P197" s="432"/>
    </row>
    <row r="198" spans="1:16" ht="12" customHeight="1" x14ac:dyDescent="0.2">
      <c r="A198" s="282">
        <f t="shared" si="3"/>
        <v>195</v>
      </c>
      <c r="B198" s="298" t="s">
        <v>661</v>
      </c>
      <c r="C198" s="329" t="s">
        <v>1032</v>
      </c>
      <c r="D198" s="296"/>
      <c r="E198" s="296"/>
      <c r="F198" s="296"/>
      <c r="G198" s="296"/>
      <c r="H198" s="296"/>
      <c r="I198" s="296"/>
      <c r="J198" s="296"/>
      <c r="K198" s="296"/>
      <c r="L198" s="296"/>
      <c r="M198" s="296"/>
      <c r="N198" s="296"/>
      <c r="O198" s="281"/>
      <c r="P198" s="432"/>
    </row>
    <row r="199" spans="1:16" ht="12" customHeight="1" x14ac:dyDescent="0.2">
      <c r="A199" s="282">
        <f t="shared" si="3"/>
        <v>196</v>
      </c>
      <c r="B199" s="298" t="s">
        <v>662</v>
      </c>
      <c r="C199" s="329" t="s">
        <v>1033</v>
      </c>
      <c r="D199" s="296"/>
      <c r="E199" s="296"/>
      <c r="F199" s="296"/>
      <c r="G199" s="296"/>
      <c r="H199" s="296"/>
      <c r="I199" s="296"/>
      <c r="J199" s="296"/>
      <c r="K199" s="296"/>
      <c r="L199" s="296"/>
      <c r="M199" s="296"/>
      <c r="N199" s="296"/>
      <c r="O199" s="281"/>
      <c r="P199" s="432"/>
    </row>
    <row r="200" spans="1:16" ht="12" customHeight="1" x14ac:dyDescent="0.2">
      <c r="A200" s="282">
        <f t="shared" si="3"/>
        <v>197</v>
      </c>
      <c r="B200" s="298" t="s">
        <v>663</v>
      </c>
      <c r="C200" s="329" t="s">
        <v>1034</v>
      </c>
      <c r="D200" s="296"/>
      <c r="E200" s="296"/>
      <c r="F200" s="296"/>
      <c r="G200" s="296"/>
      <c r="H200" s="296"/>
      <c r="I200" s="296"/>
      <c r="J200" s="296"/>
      <c r="K200" s="296"/>
      <c r="L200" s="296"/>
      <c r="M200" s="296"/>
      <c r="N200" s="296"/>
      <c r="O200" s="281"/>
      <c r="P200" s="432"/>
    </row>
    <row r="201" spans="1:16" ht="12" customHeight="1" x14ac:dyDescent="0.2">
      <c r="A201" s="282">
        <f t="shared" si="3"/>
        <v>198</v>
      </c>
      <c r="B201" s="298" t="s">
        <v>664</v>
      </c>
      <c r="C201" s="329" t="s">
        <v>1035</v>
      </c>
      <c r="D201" s="296"/>
      <c r="E201" s="296"/>
      <c r="F201" s="296"/>
      <c r="G201" s="296"/>
      <c r="H201" s="296"/>
      <c r="I201" s="296"/>
      <c r="J201" s="296"/>
      <c r="K201" s="296"/>
      <c r="L201" s="296"/>
      <c r="M201" s="296"/>
      <c r="N201" s="296"/>
      <c r="O201" s="281"/>
      <c r="P201" s="432"/>
    </row>
    <row r="202" spans="1:16" ht="12" customHeight="1" x14ac:dyDescent="0.2">
      <c r="A202" s="282">
        <f t="shared" si="3"/>
        <v>199</v>
      </c>
      <c r="B202" s="298" t="s">
        <v>665</v>
      </c>
      <c r="C202" s="329" t="s">
        <v>1036</v>
      </c>
      <c r="D202" s="296"/>
      <c r="E202" s="296"/>
      <c r="F202" s="296"/>
      <c r="G202" s="296"/>
      <c r="H202" s="296"/>
      <c r="I202" s="296"/>
      <c r="J202" s="296"/>
      <c r="K202" s="296"/>
      <c r="L202" s="296"/>
      <c r="M202" s="296"/>
      <c r="N202" s="296"/>
      <c r="O202" s="281"/>
      <c r="P202" s="432"/>
    </row>
    <row r="203" spans="1:16" ht="12" customHeight="1" x14ac:dyDescent="0.2">
      <c r="A203" s="282">
        <f t="shared" si="3"/>
        <v>200</v>
      </c>
      <c r="B203" s="298" t="s">
        <v>666</v>
      </c>
      <c r="C203" s="329" t="s">
        <v>1037</v>
      </c>
      <c r="D203" s="296"/>
      <c r="E203" s="296"/>
      <c r="F203" s="296"/>
      <c r="G203" s="296"/>
      <c r="H203" s="296"/>
      <c r="I203" s="296"/>
      <c r="J203" s="296"/>
      <c r="K203" s="296"/>
      <c r="L203" s="296"/>
      <c r="M203" s="296"/>
      <c r="N203" s="296"/>
      <c r="O203" s="281"/>
      <c r="P203" s="432"/>
    </row>
    <row r="204" spans="1:16" ht="12" customHeight="1" x14ac:dyDescent="0.2">
      <c r="A204" s="282">
        <f t="shared" si="3"/>
        <v>201</v>
      </c>
      <c r="B204" s="298" t="s">
        <v>667</v>
      </c>
      <c r="C204" s="329" t="s">
        <v>1038</v>
      </c>
      <c r="D204" s="296"/>
      <c r="E204" s="296"/>
      <c r="F204" s="296"/>
      <c r="G204" s="296"/>
      <c r="H204" s="296"/>
      <c r="I204" s="296"/>
      <c r="J204" s="296"/>
      <c r="K204" s="296"/>
      <c r="L204" s="296"/>
      <c r="M204" s="296"/>
      <c r="N204" s="296"/>
      <c r="O204" s="281"/>
      <c r="P204" s="432"/>
    </row>
    <row r="205" spans="1:16" ht="12" customHeight="1" x14ac:dyDescent="0.2">
      <c r="A205" s="282">
        <f t="shared" si="3"/>
        <v>202</v>
      </c>
      <c r="B205" s="298" t="s">
        <v>1397</v>
      </c>
      <c r="C205" s="329" t="s">
        <v>1396</v>
      </c>
      <c r="D205" s="296"/>
      <c r="E205" s="296"/>
      <c r="F205" s="296"/>
      <c r="G205" s="296"/>
      <c r="H205" s="296"/>
      <c r="I205" s="296"/>
      <c r="J205" s="296"/>
      <c r="K205" s="296"/>
      <c r="L205" s="296"/>
      <c r="M205" s="296"/>
      <c r="N205" s="296"/>
      <c r="O205" s="281"/>
      <c r="P205" s="432"/>
    </row>
    <row r="206" spans="1:16" ht="12" customHeight="1" x14ac:dyDescent="0.2">
      <c r="A206" s="282">
        <f t="shared" si="3"/>
        <v>203</v>
      </c>
      <c r="B206" s="298" t="s">
        <v>1830</v>
      </c>
      <c r="C206" s="329" t="s">
        <v>1831</v>
      </c>
      <c r="D206" s="296"/>
      <c r="E206" s="296"/>
      <c r="F206" s="296"/>
      <c r="G206" s="296"/>
      <c r="H206" s="296"/>
      <c r="I206" s="296"/>
      <c r="J206" s="296"/>
      <c r="K206" s="296"/>
      <c r="L206" s="296"/>
      <c r="M206" s="296"/>
      <c r="N206" s="296"/>
      <c r="O206" s="281"/>
      <c r="P206" s="432"/>
    </row>
    <row r="207" spans="1:16" ht="12" customHeight="1" x14ac:dyDescent="0.2">
      <c r="A207" s="282">
        <f t="shared" si="3"/>
        <v>204</v>
      </c>
      <c r="B207" s="298" t="s">
        <v>668</v>
      </c>
      <c r="C207" s="329" t="s">
        <v>1039</v>
      </c>
      <c r="D207" s="296"/>
      <c r="E207" s="296"/>
      <c r="F207" s="296"/>
      <c r="G207" s="296"/>
      <c r="H207" s="296"/>
      <c r="I207" s="296"/>
      <c r="J207" s="296"/>
      <c r="K207" s="296"/>
      <c r="L207" s="296"/>
      <c r="M207" s="296"/>
      <c r="N207" s="296"/>
      <c r="O207" s="281"/>
      <c r="P207" s="432"/>
    </row>
    <row r="208" spans="1:16" ht="12" customHeight="1" x14ac:dyDescent="0.2">
      <c r="A208" s="282">
        <f t="shared" si="3"/>
        <v>205</v>
      </c>
      <c r="B208" s="298" t="s">
        <v>669</v>
      </c>
      <c r="C208" s="329" t="s">
        <v>1040</v>
      </c>
      <c r="D208" s="296"/>
      <c r="E208" s="296"/>
      <c r="F208" s="296"/>
      <c r="G208" s="296"/>
      <c r="H208" s="296"/>
      <c r="I208" s="296"/>
      <c r="J208" s="296"/>
      <c r="K208" s="296"/>
      <c r="L208" s="296"/>
      <c r="M208" s="296"/>
      <c r="N208" s="296"/>
      <c r="O208" s="281"/>
      <c r="P208" s="432"/>
    </row>
    <row r="209" spans="1:16" ht="12" customHeight="1" x14ac:dyDescent="0.2">
      <c r="A209" s="282">
        <f t="shared" si="3"/>
        <v>206</v>
      </c>
      <c r="B209" s="298" t="s">
        <v>670</v>
      </c>
      <c r="C209" s="329" t="s">
        <v>1041</v>
      </c>
      <c r="D209" s="296"/>
      <c r="E209" s="296"/>
      <c r="F209" s="296"/>
      <c r="G209" s="296"/>
      <c r="H209" s="296"/>
      <c r="I209" s="296"/>
      <c r="J209" s="296"/>
      <c r="K209" s="296"/>
      <c r="L209" s="296"/>
      <c r="M209" s="296"/>
      <c r="N209" s="296"/>
      <c r="O209" s="281"/>
      <c r="P209" s="432"/>
    </row>
    <row r="210" spans="1:16" ht="12" customHeight="1" x14ac:dyDescent="0.2">
      <c r="A210" s="282">
        <f t="shared" si="3"/>
        <v>207</v>
      </c>
      <c r="B210" s="298" t="s">
        <v>671</v>
      </c>
      <c r="C210" s="329" t="s">
        <v>1042</v>
      </c>
      <c r="D210" s="296"/>
      <c r="E210" s="296"/>
      <c r="F210" s="296"/>
      <c r="G210" s="296"/>
      <c r="H210" s="296"/>
      <c r="I210" s="296"/>
      <c r="J210" s="296"/>
      <c r="K210" s="296"/>
      <c r="L210" s="296"/>
      <c r="M210" s="296"/>
      <c r="N210" s="296"/>
      <c r="O210" s="281"/>
      <c r="P210" s="432"/>
    </row>
    <row r="211" spans="1:16" ht="12" customHeight="1" x14ac:dyDescent="0.2">
      <c r="A211" s="282">
        <f t="shared" si="3"/>
        <v>208</v>
      </c>
      <c r="B211" s="298" t="s">
        <v>672</v>
      </c>
      <c r="C211" s="329" t="s">
        <v>1043</v>
      </c>
      <c r="D211" s="296"/>
      <c r="E211" s="296"/>
      <c r="F211" s="296"/>
      <c r="G211" s="296"/>
      <c r="H211" s="296"/>
      <c r="I211" s="296"/>
      <c r="J211" s="296"/>
      <c r="K211" s="296"/>
      <c r="L211" s="296"/>
      <c r="M211" s="296"/>
      <c r="N211" s="296"/>
      <c r="O211" s="281"/>
      <c r="P211" s="432"/>
    </row>
    <row r="212" spans="1:16" ht="12" customHeight="1" x14ac:dyDescent="0.2">
      <c r="A212" s="282">
        <f t="shared" ref="A212:A253" si="4">A211+1</f>
        <v>209</v>
      </c>
      <c r="B212" s="298" t="s">
        <v>673</v>
      </c>
      <c r="C212" s="329" t="s">
        <v>1044</v>
      </c>
      <c r="D212" s="296"/>
      <c r="E212" s="296"/>
      <c r="F212" s="296"/>
      <c r="G212" s="296"/>
      <c r="H212" s="296"/>
      <c r="I212" s="296"/>
      <c r="J212" s="296"/>
      <c r="K212" s="296"/>
      <c r="L212" s="296"/>
      <c r="M212" s="296"/>
      <c r="N212" s="296"/>
      <c r="O212" s="281"/>
      <c r="P212" s="432"/>
    </row>
    <row r="213" spans="1:16" ht="12" customHeight="1" x14ac:dyDescent="0.2">
      <c r="A213" s="282">
        <f t="shared" si="4"/>
        <v>210</v>
      </c>
      <c r="B213" s="298" t="s">
        <v>674</v>
      </c>
      <c r="C213" s="329" t="s">
        <v>1045</v>
      </c>
      <c r="D213" s="296"/>
      <c r="E213" s="296"/>
      <c r="F213" s="296"/>
      <c r="G213" s="296"/>
      <c r="H213" s="296"/>
      <c r="I213" s="296"/>
      <c r="J213" s="296"/>
      <c r="K213" s="296"/>
      <c r="L213" s="296"/>
      <c r="M213" s="296"/>
      <c r="N213" s="296"/>
      <c r="O213" s="281"/>
      <c r="P213" s="432"/>
    </row>
    <row r="214" spans="1:16" ht="12" customHeight="1" x14ac:dyDescent="0.2">
      <c r="A214" s="282">
        <f t="shared" si="4"/>
        <v>211</v>
      </c>
      <c r="B214" s="298" t="s">
        <v>675</v>
      </c>
      <c r="C214" s="329" t="s">
        <v>1052</v>
      </c>
      <c r="D214" s="296"/>
      <c r="E214" s="296"/>
      <c r="F214" s="296"/>
      <c r="G214" s="296"/>
      <c r="H214" s="296"/>
      <c r="I214" s="296"/>
      <c r="J214" s="296"/>
      <c r="K214" s="296"/>
      <c r="L214" s="296"/>
      <c r="M214" s="296"/>
      <c r="N214" s="296"/>
      <c r="O214" s="281"/>
      <c r="P214" s="432"/>
    </row>
    <row r="215" spans="1:16" ht="12" customHeight="1" x14ac:dyDescent="0.2">
      <c r="A215" s="282">
        <f t="shared" si="4"/>
        <v>212</v>
      </c>
      <c r="B215" s="298" t="s">
        <v>676</v>
      </c>
      <c r="C215" s="329" t="s">
        <v>1046</v>
      </c>
      <c r="D215" s="296"/>
      <c r="E215" s="296"/>
      <c r="F215" s="296"/>
      <c r="G215" s="296"/>
      <c r="H215" s="296"/>
      <c r="I215" s="296"/>
      <c r="J215" s="296"/>
      <c r="K215" s="296"/>
      <c r="L215" s="296"/>
      <c r="M215" s="296"/>
      <c r="N215" s="296"/>
      <c r="O215" s="281"/>
      <c r="P215" s="432"/>
    </row>
    <row r="216" spans="1:16" ht="12" customHeight="1" x14ac:dyDescent="0.2">
      <c r="A216" s="282">
        <f t="shared" si="4"/>
        <v>213</v>
      </c>
      <c r="B216" s="298" t="s">
        <v>677</v>
      </c>
      <c r="C216" s="329" t="s">
        <v>1047</v>
      </c>
      <c r="D216" s="296"/>
      <c r="E216" s="296"/>
      <c r="F216" s="296"/>
      <c r="G216" s="296"/>
      <c r="H216" s="296"/>
      <c r="I216" s="296"/>
      <c r="J216" s="296"/>
      <c r="K216" s="296"/>
      <c r="L216" s="296"/>
      <c r="M216" s="296"/>
      <c r="N216" s="296"/>
      <c r="O216" s="281"/>
      <c r="P216" s="432"/>
    </row>
    <row r="217" spans="1:16" ht="12" customHeight="1" x14ac:dyDescent="0.2">
      <c r="A217" s="282">
        <f t="shared" si="4"/>
        <v>214</v>
      </c>
      <c r="B217" s="298" t="s">
        <v>678</v>
      </c>
      <c r="C217" s="329" t="s">
        <v>1048</v>
      </c>
      <c r="D217" s="296"/>
      <c r="E217" s="296"/>
      <c r="F217" s="296"/>
      <c r="G217" s="296"/>
      <c r="H217" s="296"/>
      <c r="I217" s="296"/>
      <c r="J217" s="296"/>
      <c r="K217" s="296"/>
      <c r="L217" s="296"/>
      <c r="M217" s="296"/>
      <c r="N217" s="296"/>
      <c r="O217" s="281"/>
      <c r="P217" s="432"/>
    </row>
    <row r="218" spans="1:16" ht="12" customHeight="1" x14ac:dyDescent="0.2">
      <c r="A218" s="282">
        <f t="shared" si="4"/>
        <v>215</v>
      </c>
      <c r="B218" s="298" t="s">
        <v>527</v>
      </c>
      <c r="C218" s="329" t="s">
        <v>1049</v>
      </c>
      <c r="D218" s="296"/>
      <c r="E218" s="296"/>
      <c r="F218" s="296"/>
      <c r="G218" s="296"/>
      <c r="H218" s="296"/>
      <c r="I218" s="296"/>
      <c r="J218" s="296"/>
      <c r="K218" s="296"/>
      <c r="L218" s="296"/>
      <c r="M218" s="296"/>
      <c r="N218" s="296"/>
      <c r="O218" s="281"/>
      <c r="P218" s="432"/>
    </row>
    <row r="219" spans="1:16" ht="12" customHeight="1" x14ac:dyDescent="0.2">
      <c r="A219" s="282">
        <f t="shared" si="4"/>
        <v>216</v>
      </c>
      <c r="B219" s="298" t="s">
        <v>679</v>
      </c>
      <c r="C219" s="329" t="s">
        <v>1050</v>
      </c>
      <c r="D219" s="296"/>
      <c r="E219" s="296"/>
      <c r="F219" s="296"/>
      <c r="G219" s="296"/>
      <c r="H219" s="296"/>
      <c r="I219" s="296"/>
      <c r="J219" s="296"/>
      <c r="K219" s="296"/>
      <c r="L219" s="296"/>
      <c r="M219" s="296"/>
      <c r="N219" s="296"/>
      <c r="O219" s="281"/>
      <c r="P219" s="432"/>
    </row>
    <row r="220" spans="1:16" ht="12" customHeight="1" x14ac:dyDescent="0.2">
      <c r="A220" s="282">
        <f t="shared" si="4"/>
        <v>217</v>
      </c>
      <c r="B220" s="298" t="s">
        <v>680</v>
      </c>
      <c r="C220" s="329" t="s">
        <v>1051</v>
      </c>
      <c r="D220" s="296"/>
      <c r="E220" s="296"/>
      <c r="F220" s="296"/>
      <c r="G220" s="296"/>
      <c r="H220" s="296"/>
      <c r="I220" s="296"/>
      <c r="J220" s="296"/>
      <c r="K220" s="296"/>
      <c r="L220" s="296"/>
      <c r="M220" s="296"/>
      <c r="N220" s="296"/>
      <c r="O220" s="281"/>
      <c r="P220" s="432"/>
    </row>
    <row r="221" spans="1:16" s="587" customFormat="1" ht="12" customHeight="1" x14ac:dyDescent="0.2">
      <c r="A221" s="586">
        <f t="shared" si="4"/>
        <v>218</v>
      </c>
      <c r="B221" s="299" t="s">
        <v>186</v>
      </c>
      <c r="C221" s="330" t="s">
        <v>1748</v>
      </c>
      <c r="D221" s="297"/>
      <c r="E221" s="297"/>
      <c r="F221" s="297"/>
      <c r="G221" s="297"/>
      <c r="H221" s="297"/>
      <c r="I221" s="297"/>
      <c r="J221" s="297"/>
      <c r="K221" s="297"/>
      <c r="L221" s="297"/>
      <c r="M221" s="297"/>
      <c r="N221" s="297"/>
      <c r="O221" s="283"/>
      <c r="P221" s="433"/>
    </row>
    <row r="222" spans="1:16" ht="12" customHeight="1" x14ac:dyDescent="0.2">
      <c r="A222" s="282">
        <f t="shared" si="4"/>
        <v>219</v>
      </c>
      <c r="B222" s="298" t="s">
        <v>681</v>
      </c>
      <c r="C222" s="329" t="s">
        <v>1630</v>
      </c>
      <c r="D222" s="296"/>
      <c r="E222" s="296"/>
      <c r="F222" s="296"/>
      <c r="G222" s="296"/>
      <c r="H222" s="296"/>
      <c r="I222" s="296"/>
      <c r="J222" s="296"/>
      <c r="K222" s="296"/>
      <c r="L222" s="296"/>
      <c r="M222" s="296"/>
      <c r="N222" s="296"/>
      <c r="O222" s="281"/>
      <c r="P222" s="432"/>
    </row>
    <row r="223" spans="1:16" ht="12" customHeight="1" x14ac:dyDescent="0.2">
      <c r="A223" s="282">
        <f t="shared" si="4"/>
        <v>220</v>
      </c>
      <c r="B223" s="298" t="s">
        <v>682</v>
      </c>
      <c r="C223" s="329" t="s">
        <v>1631</v>
      </c>
      <c r="D223" s="296"/>
      <c r="E223" s="296"/>
      <c r="F223" s="296"/>
      <c r="G223" s="296"/>
      <c r="H223" s="296"/>
      <c r="I223" s="296"/>
      <c r="J223" s="296"/>
      <c r="K223" s="296"/>
      <c r="L223" s="296"/>
      <c r="M223" s="296"/>
      <c r="N223" s="296"/>
      <c r="O223" s="281"/>
      <c r="P223" s="432"/>
    </row>
    <row r="224" spans="1:16" ht="12" customHeight="1" x14ac:dyDescent="0.2">
      <c r="A224" s="282">
        <f t="shared" si="4"/>
        <v>221</v>
      </c>
      <c r="B224" s="298" t="s">
        <v>644</v>
      </c>
      <c r="C224" s="329" t="s">
        <v>1633</v>
      </c>
      <c r="D224" s="296"/>
      <c r="E224" s="296"/>
      <c r="F224" s="296"/>
      <c r="G224" s="296"/>
      <c r="H224" s="296"/>
      <c r="I224" s="296"/>
      <c r="J224" s="296"/>
      <c r="K224" s="296"/>
      <c r="L224" s="296"/>
      <c r="M224" s="296"/>
      <c r="N224" s="296"/>
      <c r="O224" s="281"/>
      <c r="P224" s="432"/>
    </row>
    <row r="225" spans="1:16" ht="12" customHeight="1" x14ac:dyDescent="0.2">
      <c r="A225" s="282">
        <f t="shared" si="4"/>
        <v>222</v>
      </c>
      <c r="B225" s="298" t="s">
        <v>647</v>
      </c>
      <c r="C225" s="329" t="s">
        <v>1739</v>
      </c>
      <c r="D225" s="296"/>
      <c r="E225" s="296"/>
      <c r="F225" s="296"/>
      <c r="G225" s="296"/>
      <c r="H225" s="296"/>
      <c r="I225" s="296"/>
      <c r="J225" s="296"/>
      <c r="K225" s="296"/>
      <c r="L225" s="296"/>
      <c r="M225" s="296"/>
      <c r="N225" s="296"/>
      <c r="O225" s="281"/>
      <c r="P225" s="432"/>
    </row>
    <row r="226" spans="1:16" ht="12" customHeight="1" x14ac:dyDescent="0.2">
      <c r="A226" s="282">
        <f t="shared" si="4"/>
        <v>223</v>
      </c>
      <c r="B226" s="298" t="s">
        <v>683</v>
      </c>
      <c r="C226" s="329" t="s">
        <v>1740</v>
      </c>
      <c r="D226" s="296"/>
      <c r="E226" s="296"/>
      <c r="F226" s="296"/>
      <c r="G226" s="296"/>
      <c r="H226" s="296"/>
      <c r="I226" s="296"/>
      <c r="J226" s="296"/>
      <c r="K226" s="296"/>
      <c r="L226" s="296"/>
      <c r="M226" s="296"/>
      <c r="N226" s="296"/>
      <c r="O226" s="281"/>
      <c r="P226" s="432"/>
    </row>
    <row r="227" spans="1:16" ht="12" customHeight="1" x14ac:dyDescent="0.2">
      <c r="A227" s="282">
        <f t="shared" si="4"/>
        <v>224</v>
      </c>
      <c r="B227" s="298" t="s">
        <v>684</v>
      </c>
      <c r="C227" s="329" t="s">
        <v>1741</v>
      </c>
      <c r="D227" s="296"/>
      <c r="E227" s="296"/>
      <c r="F227" s="296"/>
      <c r="G227" s="296"/>
      <c r="H227" s="296"/>
      <c r="I227" s="296"/>
      <c r="J227" s="296"/>
      <c r="K227" s="296"/>
      <c r="L227" s="296"/>
      <c r="M227" s="296"/>
      <c r="N227" s="296"/>
      <c r="O227" s="281"/>
      <c r="P227" s="432"/>
    </row>
    <row r="228" spans="1:16" ht="12" customHeight="1" x14ac:dyDescent="0.2">
      <c r="A228" s="282">
        <f t="shared" si="4"/>
        <v>225</v>
      </c>
      <c r="B228" s="298" t="s">
        <v>526</v>
      </c>
      <c r="C228" s="329" t="s">
        <v>1742</v>
      </c>
      <c r="D228" s="296"/>
      <c r="E228" s="296"/>
      <c r="F228" s="296"/>
      <c r="G228" s="296"/>
      <c r="H228" s="296"/>
      <c r="I228" s="296"/>
      <c r="J228" s="296"/>
      <c r="K228" s="296"/>
      <c r="L228" s="296"/>
      <c r="M228" s="296"/>
      <c r="N228" s="296"/>
      <c r="O228" s="281"/>
      <c r="P228" s="432"/>
    </row>
    <row r="229" spans="1:16" ht="12" customHeight="1" x14ac:dyDescent="0.2">
      <c r="A229" s="282">
        <f t="shared" si="4"/>
        <v>226</v>
      </c>
      <c r="B229" s="298" t="s">
        <v>653</v>
      </c>
      <c r="C229" s="329" t="s">
        <v>1636</v>
      </c>
      <c r="D229" s="296"/>
      <c r="E229" s="296"/>
      <c r="F229" s="296"/>
      <c r="G229" s="296"/>
      <c r="H229" s="296"/>
      <c r="I229" s="296"/>
      <c r="J229" s="296"/>
      <c r="K229" s="296"/>
      <c r="L229" s="296"/>
      <c r="M229" s="296"/>
      <c r="N229" s="296"/>
      <c r="O229" s="281"/>
      <c r="P229" s="432"/>
    </row>
    <row r="230" spans="1:16" ht="12" customHeight="1" x14ac:dyDescent="0.2">
      <c r="A230" s="282">
        <f t="shared" si="4"/>
        <v>227</v>
      </c>
      <c r="B230" s="298" t="s">
        <v>189</v>
      </c>
      <c r="C230" s="329" t="s">
        <v>1053</v>
      </c>
      <c r="D230" s="296"/>
      <c r="E230" s="296"/>
      <c r="F230" s="296"/>
      <c r="G230" s="296"/>
      <c r="H230" s="296"/>
      <c r="I230" s="296"/>
      <c r="J230" s="296"/>
      <c r="K230" s="296"/>
      <c r="L230" s="296"/>
      <c r="M230" s="296"/>
      <c r="N230" s="296"/>
      <c r="O230" s="281"/>
      <c r="P230" s="432"/>
    </row>
    <row r="231" spans="1:16" ht="12" customHeight="1" x14ac:dyDescent="0.2">
      <c r="A231" s="282">
        <f t="shared" si="4"/>
        <v>228</v>
      </c>
      <c r="B231" s="298" t="s">
        <v>1579</v>
      </c>
      <c r="C231" s="329" t="s">
        <v>1301</v>
      </c>
      <c r="D231" s="296"/>
      <c r="E231" s="296"/>
      <c r="F231" s="296"/>
      <c r="G231" s="296"/>
      <c r="H231" s="296"/>
      <c r="I231" s="296"/>
      <c r="J231" s="296"/>
      <c r="K231" s="296"/>
      <c r="L231" s="296"/>
      <c r="M231" s="296"/>
      <c r="N231" s="296"/>
      <c r="O231" s="281"/>
      <c r="P231" s="432"/>
    </row>
    <row r="232" spans="1:16" s="587" customFormat="1" ht="12" customHeight="1" x14ac:dyDescent="0.2">
      <c r="A232" s="586">
        <f t="shared" si="4"/>
        <v>229</v>
      </c>
      <c r="B232" s="299" t="s">
        <v>190</v>
      </c>
      <c r="C232" s="330" t="s">
        <v>1749</v>
      </c>
      <c r="D232" s="297"/>
      <c r="E232" s="297"/>
      <c r="F232" s="297"/>
      <c r="G232" s="297"/>
      <c r="H232" s="297"/>
      <c r="I232" s="297"/>
      <c r="J232" s="297"/>
      <c r="K232" s="297"/>
      <c r="L232" s="297"/>
      <c r="M232" s="297"/>
      <c r="N232" s="297"/>
      <c r="O232" s="283"/>
      <c r="P232" s="433"/>
    </row>
    <row r="233" spans="1:16" s="587" customFormat="1" ht="12" customHeight="1" x14ac:dyDescent="0.2">
      <c r="A233" s="586">
        <f t="shared" si="4"/>
        <v>230</v>
      </c>
      <c r="B233" s="299" t="s">
        <v>191</v>
      </c>
      <c r="C233" s="330" t="s">
        <v>1750</v>
      </c>
      <c r="D233" s="297"/>
      <c r="E233" s="297"/>
      <c r="F233" s="297"/>
      <c r="G233" s="297"/>
      <c r="H233" s="297"/>
      <c r="I233" s="297"/>
      <c r="J233" s="297"/>
      <c r="K233" s="297"/>
      <c r="L233" s="297"/>
      <c r="M233" s="297"/>
      <c r="N233" s="297"/>
      <c r="O233" s="283"/>
      <c r="P233" s="585"/>
    </row>
    <row r="234" spans="1:16" ht="12" customHeight="1" x14ac:dyDescent="0.2">
      <c r="A234" s="282">
        <f t="shared" si="4"/>
        <v>231</v>
      </c>
      <c r="B234" s="298" t="s">
        <v>528</v>
      </c>
      <c r="C234" s="329" t="s">
        <v>1054</v>
      </c>
      <c r="D234" s="296"/>
      <c r="E234" s="296"/>
      <c r="F234" s="296"/>
      <c r="G234" s="296"/>
      <c r="H234" s="296"/>
      <c r="I234" s="296"/>
      <c r="J234" s="296"/>
      <c r="K234" s="296"/>
      <c r="L234" s="296"/>
      <c r="M234" s="296"/>
      <c r="N234" s="296"/>
      <c r="O234" s="281"/>
      <c r="P234" s="432"/>
    </row>
    <row r="235" spans="1:16" ht="12" customHeight="1" x14ac:dyDescent="0.2">
      <c r="A235" s="282">
        <f t="shared" si="4"/>
        <v>232</v>
      </c>
      <c r="B235" s="298" t="s">
        <v>685</v>
      </c>
      <c r="C235" s="329" t="s">
        <v>1055</v>
      </c>
      <c r="D235" s="296"/>
      <c r="E235" s="296"/>
      <c r="F235" s="296"/>
      <c r="G235" s="296"/>
      <c r="H235" s="296"/>
      <c r="I235" s="296"/>
      <c r="J235" s="296"/>
      <c r="K235" s="296"/>
      <c r="L235" s="296"/>
      <c r="M235" s="296"/>
      <c r="N235" s="296"/>
      <c r="O235" s="281"/>
      <c r="P235" s="432"/>
    </row>
    <row r="236" spans="1:16" ht="12" customHeight="1" x14ac:dyDescent="0.2">
      <c r="A236" s="282">
        <f t="shared" si="4"/>
        <v>233</v>
      </c>
      <c r="B236" s="298" t="s">
        <v>529</v>
      </c>
      <c r="C236" s="329" t="s">
        <v>1080</v>
      </c>
      <c r="D236" s="296"/>
      <c r="E236" s="296"/>
      <c r="F236" s="296"/>
      <c r="G236" s="296"/>
      <c r="H236" s="296"/>
      <c r="I236" s="296"/>
      <c r="J236" s="296"/>
      <c r="K236" s="296"/>
      <c r="L236" s="296"/>
      <c r="M236" s="296"/>
      <c r="N236" s="296"/>
      <c r="O236" s="281"/>
      <c r="P236" s="432"/>
    </row>
    <row r="237" spans="1:16" ht="12" customHeight="1" x14ac:dyDescent="0.2">
      <c r="A237" s="282">
        <f t="shared" si="4"/>
        <v>234</v>
      </c>
      <c r="B237" s="298" t="s">
        <v>192</v>
      </c>
      <c r="C237" s="329" t="s">
        <v>1056</v>
      </c>
      <c r="D237" s="296"/>
      <c r="E237" s="296"/>
      <c r="F237" s="296"/>
      <c r="G237" s="296"/>
      <c r="H237" s="296"/>
      <c r="I237" s="296"/>
      <c r="J237" s="296"/>
      <c r="K237" s="296"/>
      <c r="L237" s="296"/>
      <c r="M237" s="296"/>
      <c r="N237" s="296"/>
      <c r="O237" s="281"/>
      <c r="P237" s="432"/>
    </row>
    <row r="238" spans="1:16" ht="12" customHeight="1" x14ac:dyDescent="0.2">
      <c r="A238" s="282">
        <f t="shared" si="4"/>
        <v>235</v>
      </c>
      <c r="B238" s="298" t="s">
        <v>686</v>
      </c>
      <c r="C238" s="329" t="s">
        <v>1057</v>
      </c>
      <c r="D238" s="296"/>
      <c r="E238" s="296"/>
      <c r="F238" s="296"/>
      <c r="G238" s="296"/>
      <c r="H238" s="296"/>
      <c r="I238" s="296"/>
      <c r="J238" s="296"/>
      <c r="K238" s="296"/>
      <c r="L238" s="296"/>
      <c r="M238" s="296"/>
      <c r="N238" s="296"/>
      <c r="O238" s="281"/>
      <c r="P238" s="432"/>
    </row>
    <row r="239" spans="1:16" ht="12" customHeight="1" x14ac:dyDescent="0.2">
      <c r="A239" s="282">
        <f t="shared" si="4"/>
        <v>236</v>
      </c>
      <c r="B239" s="298" t="s">
        <v>193</v>
      </c>
      <c r="C239" s="329" t="s">
        <v>1743</v>
      </c>
      <c r="D239" s="296"/>
      <c r="E239" s="296"/>
      <c r="F239" s="296"/>
      <c r="G239" s="296"/>
      <c r="H239" s="296"/>
      <c r="I239" s="296"/>
      <c r="J239" s="296"/>
      <c r="K239" s="296"/>
      <c r="L239" s="296"/>
      <c r="M239" s="296"/>
      <c r="N239" s="296"/>
      <c r="O239" s="281"/>
      <c r="P239" s="432"/>
    </row>
    <row r="240" spans="1:16" ht="12" customHeight="1" x14ac:dyDescent="0.2">
      <c r="A240" s="282">
        <f t="shared" si="4"/>
        <v>237</v>
      </c>
      <c r="B240" s="298" t="s">
        <v>687</v>
      </c>
      <c r="C240" s="329" t="s">
        <v>1058</v>
      </c>
      <c r="D240" s="296"/>
      <c r="E240" s="296"/>
      <c r="F240" s="296"/>
      <c r="G240" s="296"/>
      <c r="H240" s="296"/>
      <c r="I240" s="296"/>
      <c r="J240" s="296"/>
      <c r="K240" s="296"/>
      <c r="L240" s="296"/>
      <c r="M240" s="296"/>
      <c r="N240" s="296"/>
      <c r="O240" s="281"/>
      <c r="P240" s="432"/>
    </row>
    <row r="241" spans="1:16" ht="12" customHeight="1" x14ac:dyDescent="0.2">
      <c r="A241" s="282">
        <f t="shared" si="4"/>
        <v>238</v>
      </c>
      <c r="B241" s="298" t="s">
        <v>688</v>
      </c>
      <c r="C241" s="329" t="s">
        <v>1059</v>
      </c>
      <c r="D241" s="296"/>
      <c r="E241" s="296"/>
      <c r="F241" s="296"/>
      <c r="G241" s="296"/>
      <c r="H241" s="296"/>
      <c r="I241" s="296"/>
      <c r="J241" s="296"/>
      <c r="K241" s="296"/>
      <c r="L241" s="296"/>
      <c r="M241" s="296"/>
      <c r="N241" s="296"/>
      <c r="O241" s="281"/>
      <c r="P241" s="432"/>
    </row>
    <row r="242" spans="1:16" ht="12" customHeight="1" x14ac:dyDescent="0.2">
      <c r="A242" s="282">
        <f t="shared" si="4"/>
        <v>239</v>
      </c>
      <c r="B242" s="298" t="s">
        <v>689</v>
      </c>
      <c r="C242" s="329" t="s">
        <v>1060</v>
      </c>
      <c r="D242" s="296"/>
      <c r="E242" s="296"/>
      <c r="F242" s="296"/>
      <c r="G242" s="296"/>
      <c r="H242" s="296"/>
      <c r="I242" s="296"/>
      <c r="J242" s="296"/>
      <c r="K242" s="296"/>
      <c r="L242" s="296"/>
      <c r="M242" s="296"/>
      <c r="N242" s="296"/>
      <c r="O242" s="281"/>
      <c r="P242" s="432"/>
    </row>
    <row r="243" spans="1:16" ht="12" customHeight="1" x14ac:dyDescent="0.2">
      <c r="A243" s="282">
        <f t="shared" si="4"/>
        <v>240</v>
      </c>
      <c r="B243" s="298" t="s">
        <v>690</v>
      </c>
      <c r="C243" s="329" t="s">
        <v>1061</v>
      </c>
      <c r="D243" s="296"/>
      <c r="E243" s="296"/>
      <c r="F243" s="296"/>
      <c r="G243" s="296"/>
      <c r="H243" s="296"/>
      <c r="I243" s="296"/>
      <c r="J243" s="296"/>
      <c r="K243" s="296"/>
      <c r="L243" s="296"/>
      <c r="M243" s="296"/>
      <c r="N243" s="296"/>
      <c r="O243" s="281"/>
      <c r="P243" s="432"/>
    </row>
    <row r="244" spans="1:16" ht="12" customHeight="1" x14ac:dyDescent="0.2">
      <c r="A244" s="282">
        <f t="shared" si="4"/>
        <v>241</v>
      </c>
      <c r="B244" s="298" t="s">
        <v>691</v>
      </c>
      <c r="C244" s="329" t="s">
        <v>1062</v>
      </c>
      <c r="D244" s="296"/>
      <c r="E244" s="296"/>
      <c r="F244" s="296"/>
      <c r="G244" s="296"/>
      <c r="H244" s="296"/>
      <c r="I244" s="296"/>
      <c r="J244" s="296"/>
      <c r="K244" s="296"/>
      <c r="L244" s="296"/>
      <c r="M244" s="296"/>
      <c r="N244" s="296"/>
      <c r="O244" s="281"/>
      <c r="P244" s="432"/>
    </row>
    <row r="245" spans="1:16" ht="12" customHeight="1" x14ac:dyDescent="0.2">
      <c r="A245" s="282">
        <f t="shared" si="4"/>
        <v>242</v>
      </c>
      <c r="B245" s="298" t="s">
        <v>692</v>
      </c>
      <c r="C245" s="329" t="s">
        <v>1063</v>
      </c>
      <c r="D245" s="296"/>
      <c r="E245" s="296"/>
      <c r="F245" s="296"/>
      <c r="G245" s="296"/>
      <c r="H245" s="296"/>
      <c r="I245" s="296"/>
      <c r="J245" s="296"/>
      <c r="K245" s="296"/>
      <c r="L245" s="296"/>
      <c r="M245" s="296"/>
      <c r="N245" s="296"/>
      <c r="O245" s="281"/>
      <c r="P245" s="432"/>
    </row>
    <row r="246" spans="1:16" ht="12" customHeight="1" x14ac:dyDescent="0.2">
      <c r="A246" s="282">
        <f t="shared" si="4"/>
        <v>243</v>
      </c>
      <c r="B246" s="298" t="s">
        <v>693</v>
      </c>
      <c r="C246" s="329" t="s">
        <v>1064</v>
      </c>
      <c r="D246" s="296"/>
      <c r="E246" s="296"/>
      <c r="F246" s="296"/>
      <c r="G246" s="296"/>
      <c r="H246" s="296"/>
      <c r="I246" s="296"/>
      <c r="J246" s="296"/>
      <c r="K246" s="296"/>
      <c r="L246" s="296"/>
      <c r="M246" s="296"/>
      <c r="N246" s="296"/>
      <c r="O246" s="281"/>
      <c r="P246" s="432"/>
    </row>
    <row r="247" spans="1:16" ht="12" customHeight="1" x14ac:dyDescent="0.2">
      <c r="A247" s="282">
        <f t="shared" si="4"/>
        <v>244</v>
      </c>
      <c r="B247" s="298" t="s">
        <v>694</v>
      </c>
      <c r="C247" s="329" t="s">
        <v>1065</v>
      </c>
      <c r="D247" s="296"/>
      <c r="E247" s="296"/>
      <c r="F247" s="296"/>
      <c r="G247" s="296"/>
      <c r="H247" s="296"/>
      <c r="I247" s="296"/>
      <c r="J247" s="296"/>
      <c r="K247" s="296"/>
      <c r="L247" s="296"/>
      <c r="M247" s="296"/>
      <c r="N247" s="296"/>
      <c r="O247" s="281"/>
      <c r="P247" s="432"/>
    </row>
    <row r="248" spans="1:16" ht="12" customHeight="1" x14ac:dyDescent="0.2">
      <c r="A248" s="282">
        <f t="shared" si="4"/>
        <v>245</v>
      </c>
      <c r="B248" s="298" t="s">
        <v>695</v>
      </c>
      <c r="C248" s="329" t="s">
        <v>1580</v>
      </c>
      <c r="D248" s="296"/>
      <c r="E248" s="296"/>
      <c r="F248" s="296"/>
      <c r="G248" s="296"/>
      <c r="H248" s="296"/>
      <c r="I248" s="296"/>
      <c r="J248" s="296"/>
      <c r="K248" s="296"/>
      <c r="L248" s="296"/>
      <c r="M248" s="296"/>
      <c r="N248" s="296"/>
      <c r="O248" s="281"/>
      <c r="P248" s="432"/>
    </row>
    <row r="249" spans="1:16" ht="12" customHeight="1" x14ac:dyDescent="0.2">
      <c r="A249" s="282">
        <f t="shared" si="4"/>
        <v>246</v>
      </c>
      <c r="B249" s="298" t="s">
        <v>1399</v>
      </c>
      <c r="C249" s="329" t="s">
        <v>1398</v>
      </c>
      <c r="D249" s="296"/>
      <c r="E249" s="296"/>
      <c r="F249" s="296"/>
      <c r="G249" s="296"/>
      <c r="H249" s="296"/>
      <c r="I249" s="296"/>
      <c r="J249" s="296"/>
      <c r="K249" s="296"/>
      <c r="L249" s="296"/>
      <c r="M249" s="296"/>
      <c r="N249" s="296"/>
      <c r="O249" s="281"/>
      <c r="P249" s="432"/>
    </row>
    <row r="250" spans="1:16" ht="12" customHeight="1" x14ac:dyDescent="0.2">
      <c r="A250" s="282">
        <f t="shared" si="4"/>
        <v>247</v>
      </c>
      <c r="B250" s="298" t="s">
        <v>196</v>
      </c>
      <c r="C250" s="329" t="s">
        <v>1066</v>
      </c>
      <c r="D250" s="296"/>
      <c r="E250" s="296"/>
      <c r="F250" s="296"/>
      <c r="G250" s="296"/>
      <c r="H250" s="296"/>
      <c r="I250" s="296"/>
      <c r="J250" s="296"/>
      <c r="K250" s="296"/>
      <c r="L250" s="296"/>
      <c r="M250" s="296"/>
      <c r="N250" s="296"/>
      <c r="O250" s="281"/>
      <c r="P250" s="432"/>
    </row>
    <row r="251" spans="1:16" ht="12" customHeight="1" x14ac:dyDescent="0.2">
      <c r="A251" s="282">
        <f t="shared" si="4"/>
        <v>248</v>
      </c>
      <c r="B251" s="298" t="s">
        <v>696</v>
      </c>
      <c r="C251" s="329" t="s">
        <v>1067</v>
      </c>
      <c r="D251" s="296"/>
      <c r="E251" s="296"/>
      <c r="F251" s="296"/>
      <c r="G251" s="296"/>
      <c r="H251" s="296"/>
      <c r="I251" s="296"/>
      <c r="J251" s="296"/>
      <c r="K251" s="296"/>
      <c r="L251" s="296"/>
      <c r="M251" s="296"/>
      <c r="N251" s="296"/>
      <c r="O251" s="281"/>
      <c r="P251" s="432"/>
    </row>
    <row r="252" spans="1:16" s="587" customFormat="1" x14ac:dyDescent="0.2">
      <c r="A252" s="588">
        <f t="shared" si="4"/>
        <v>249</v>
      </c>
      <c r="B252" s="299" t="s">
        <v>198</v>
      </c>
      <c r="C252" s="330" t="s">
        <v>1751</v>
      </c>
      <c r="D252" s="297"/>
      <c r="E252" s="297"/>
      <c r="F252" s="297"/>
      <c r="G252" s="297"/>
      <c r="H252" s="297"/>
      <c r="I252" s="297"/>
      <c r="J252" s="297"/>
      <c r="K252" s="297"/>
      <c r="L252" s="297"/>
      <c r="M252" s="297"/>
      <c r="N252" s="297"/>
      <c r="O252" s="283"/>
      <c r="P252" s="433"/>
    </row>
    <row r="253" spans="1:16" s="587" customFormat="1" x14ac:dyDescent="0.2">
      <c r="A253" s="586">
        <f t="shared" si="4"/>
        <v>250</v>
      </c>
      <c r="B253" s="299" t="s">
        <v>199</v>
      </c>
      <c r="C253" s="330" t="s">
        <v>1752</v>
      </c>
      <c r="D253" s="297"/>
      <c r="E253" s="297"/>
      <c r="F253" s="297"/>
      <c r="G253" s="297"/>
      <c r="H253" s="297"/>
      <c r="I253" s="297"/>
      <c r="J253" s="297"/>
      <c r="K253" s="297"/>
      <c r="L253" s="297"/>
      <c r="M253" s="297"/>
      <c r="N253" s="297"/>
      <c r="O253" s="283"/>
      <c r="P253" s="585"/>
    </row>
    <row r="254" spans="1:16" x14ac:dyDescent="0.2">
      <c r="D254" s="489"/>
      <c r="E254" s="489"/>
      <c r="F254" s="489"/>
      <c r="G254" s="489"/>
      <c r="H254" s="489"/>
      <c r="I254" s="489"/>
      <c r="J254" s="489"/>
      <c r="K254" s="489"/>
      <c r="L254" s="489"/>
      <c r="M254" s="489"/>
      <c r="N254" s="489"/>
    </row>
  </sheetData>
  <mergeCells count="3">
    <mergeCell ref="D1:M1"/>
    <mergeCell ref="N1:P1"/>
    <mergeCell ref="D2:P2"/>
  </mergeCells>
  <printOptions gridLines="1"/>
  <pageMargins left="1.299212598425197" right="0.70866141732283472" top="0.74803149606299213" bottom="0.55118110236220474" header="0.31496062992125984" footer="0.31496062992125984"/>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C30"/>
  <sheetViews>
    <sheetView topLeftCell="A10" zoomScaleNormal="100" workbookViewId="0">
      <selection activeCell="F27" sqref="F27"/>
    </sheetView>
  </sheetViews>
  <sheetFormatPr defaultRowHeight="12.75" x14ac:dyDescent="0.2"/>
  <cols>
    <col min="1" max="1" width="2.85546875" customWidth="1"/>
    <col min="2" max="2" width="29.85546875" bestFit="1" customWidth="1"/>
    <col min="3" max="3" width="84" bestFit="1" customWidth="1"/>
  </cols>
  <sheetData>
    <row r="1" spans="1:3" x14ac:dyDescent="0.2">
      <c r="A1" s="609" t="s">
        <v>1427</v>
      </c>
    </row>
    <row r="2" spans="1:3" x14ac:dyDescent="0.2">
      <c r="A2">
        <v>1</v>
      </c>
      <c r="B2" t="s">
        <v>13</v>
      </c>
      <c r="C2" t="s">
        <v>1428</v>
      </c>
    </row>
    <row r="3" spans="1:3" x14ac:dyDescent="0.2">
      <c r="A3">
        <v>2</v>
      </c>
      <c r="B3" t="s">
        <v>1435</v>
      </c>
      <c r="C3" t="s">
        <v>1429</v>
      </c>
    </row>
    <row r="4" spans="1:3" x14ac:dyDescent="0.2">
      <c r="A4">
        <v>3</v>
      </c>
      <c r="B4" t="s">
        <v>1436</v>
      </c>
      <c r="C4" t="s">
        <v>1430</v>
      </c>
    </row>
    <row r="5" spans="1:3" x14ac:dyDescent="0.2">
      <c r="A5">
        <v>4</v>
      </c>
      <c r="B5" t="s">
        <v>1437</v>
      </c>
      <c r="C5" t="s">
        <v>1431</v>
      </c>
    </row>
    <row r="6" spans="1:3" x14ac:dyDescent="0.2">
      <c r="A6">
        <v>5</v>
      </c>
      <c r="B6" t="s">
        <v>6</v>
      </c>
      <c r="C6" t="s">
        <v>1432</v>
      </c>
    </row>
    <row r="7" spans="1:3" x14ac:dyDescent="0.2">
      <c r="A7">
        <v>6</v>
      </c>
      <c r="B7" t="s">
        <v>5</v>
      </c>
      <c r="C7" t="s">
        <v>1433</v>
      </c>
    </row>
    <row r="8" spans="1:3" x14ac:dyDescent="0.2">
      <c r="A8">
        <v>7</v>
      </c>
      <c r="B8" t="s">
        <v>4</v>
      </c>
      <c r="C8" t="s">
        <v>1434</v>
      </c>
    </row>
    <row r="9" spans="1:3" x14ac:dyDescent="0.2">
      <c r="A9">
        <v>8</v>
      </c>
      <c r="B9" t="s">
        <v>0</v>
      </c>
      <c r="C9" t="s">
        <v>1438</v>
      </c>
    </row>
    <row r="11" spans="1:3" x14ac:dyDescent="0.2">
      <c r="A11" s="609" t="s">
        <v>1426</v>
      </c>
    </row>
    <row r="12" spans="1:3" x14ac:dyDescent="0.2">
      <c r="A12">
        <v>1</v>
      </c>
      <c r="B12" t="s">
        <v>1411</v>
      </c>
      <c r="C12" t="s">
        <v>1439</v>
      </c>
    </row>
    <row r="13" spans="1:3" x14ac:dyDescent="0.2">
      <c r="A13">
        <v>2</v>
      </c>
      <c r="B13" t="s">
        <v>1412</v>
      </c>
      <c r="C13" t="s">
        <v>1440</v>
      </c>
    </row>
    <row r="14" spans="1:3" x14ac:dyDescent="0.2">
      <c r="A14">
        <v>3</v>
      </c>
      <c r="B14" t="s">
        <v>1413</v>
      </c>
      <c r="C14" t="s">
        <v>1441</v>
      </c>
    </row>
    <row r="15" spans="1:3" x14ac:dyDescent="0.2">
      <c r="A15">
        <v>4</v>
      </c>
      <c r="B15" t="s">
        <v>1414</v>
      </c>
      <c r="C15" t="s">
        <v>1442</v>
      </c>
    </row>
    <row r="16" spans="1:3" x14ac:dyDescent="0.2">
      <c r="A16">
        <v>5</v>
      </c>
      <c r="B16" t="s">
        <v>1415</v>
      </c>
      <c r="C16" t="s">
        <v>1443</v>
      </c>
    </row>
    <row r="17" spans="1:3" x14ac:dyDescent="0.2">
      <c r="A17">
        <v>6</v>
      </c>
      <c r="B17" t="s">
        <v>1416</v>
      </c>
      <c r="C17" t="s">
        <v>1444</v>
      </c>
    </row>
    <row r="18" spans="1:3" x14ac:dyDescent="0.2">
      <c r="A18">
        <v>7</v>
      </c>
      <c r="B18" t="s">
        <v>1417</v>
      </c>
      <c r="C18" t="s">
        <v>1445</v>
      </c>
    </row>
    <row r="19" spans="1:3" x14ac:dyDescent="0.2">
      <c r="A19">
        <v>8</v>
      </c>
      <c r="B19" t="s">
        <v>1418</v>
      </c>
      <c r="C19" t="s">
        <v>1446</v>
      </c>
    </row>
    <row r="20" spans="1:3" x14ac:dyDescent="0.2">
      <c r="A20">
        <v>9</v>
      </c>
      <c r="B20" t="s">
        <v>1419</v>
      </c>
      <c r="C20" t="s">
        <v>1447</v>
      </c>
    </row>
    <row r="22" spans="1:3" x14ac:dyDescent="0.2">
      <c r="A22" s="609" t="s">
        <v>80</v>
      </c>
    </row>
    <row r="23" spans="1:3" x14ac:dyDescent="0.2">
      <c r="A23">
        <v>1</v>
      </c>
      <c r="B23" t="s">
        <v>200</v>
      </c>
      <c r="C23" t="s">
        <v>1076</v>
      </c>
    </row>
    <row r="24" spans="1:3" x14ac:dyDescent="0.2">
      <c r="A24">
        <v>2</v>
      </c>
      <c r="B24" t="s">
        <v>201</v>
      </c>
      <c r="C24" t="s">
        <v>1077</v>
      </c>
    </row>
    <row r="25" spans="1:3" x14ac:dyDescent="0.2">
      <c r="A25">
        <v>3</v>
      </c>
      <c r="B25" t="s">
        <v>1231</v>
      </c>
      <c r="C25" t="s">
        <v>1232</v>
      </c>
    </row>
    <row r="26" spans="1:3" x14ac:dyDescent="0.2">
      <c r="A26">
        <v>4</v>
      </c>
      <c r="B26" t="s">
        <v>202</v>
      </c>
      <c r="C26" t="s">
        <v>1078</v>
      </c>
    </row>
    <row r="27" spans="1:3" ht="38.25" x14ac:dyDescent="0.2">
      <c r="A27" s="608">
        <v>5</v>
      </c>
      <c r="B27" s="608" t="s">
        <v>203</v>
      </c>
      <c r="C27" s="607" t="s">
        <v>1079</v>
      </c>
    </row>
    <row r="28" spans="1:3" x14ac:dyDescent="0.2">
      <c r="A28">
        <v>6</v>
      </c>
      <c r="B28" t="s">
        <v>204</v>
      </c>
      <c r="C28" t="s">
        <v>1222</v>
      </c>
    </row>
    <row r="29" spans="1:3" x14ac:dyDescent="0.2">
      <c r="A29">
        <v>7</v>
      </c>
      <c r="B29" t="s">
        <v>205</v>
      </c>
      <c r="C29" t="s">
        <v>1223</v>
      </c>
    </row>
    <row r="30" spans="1:3" x14ac:dyDescent="0.2">
      <c r="A30">
        <v>8</v>
      </c>
      <c r="B30" t="s">
        <v>206</v>
      </c>
      <c r="C30" t="s">
        <v>1224</v>
      </c>
    </row>
  </sheetData>
  <pageMargins left="0.7" right="0.7" top="0.75" bottom="0.75" header="0.3" footer="0.3"/>
  <pageSetup paperSize="9" scale="76"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V25"/>
  <sheetViews>
    <sheetView topLeftCell="A16" workbookViewId="0">
      <selection activeCell="AW27" sqref="AW27"/>
    </sheetView>
  </sheetViews>
  <sheetFormatPr defaultRowHeight="12.75" x14ac:dyDescent="0.2"/>
  <cols>
    <col min="1" max="1" width="9.140625" style="614"/>
    <col min="2" max="4" width="2.28515625" style="614" customWidth="1"/>
    <col min="5" max="5" width="4.28515625" style="614" customWidth="1"/>
    <col min="6" max="8" width="2.28515625" style="614" customWidth="1"/>
    <col min="9" max="9" width="4.28515625" style="614" customWidth="1"/>
    <col min="10" max="12" width="2.28515625" style="614" customWidth="1"/>
    <col min="13" max="13" width="4.28515625" style="614" customWidth="1"/>
    <col min="14" max="16" width="2.28515625" style="614" customWidth="1"/>
    <col min="17" max="17" width="4.28515625" style="614" customWidth="1"/>
    <col min="18" max="20" width="2.28515625" style="614" customWidth="1"/>
    <col min="21" max="21" width="4.28515625" style="614" customWidth="1"/>
    <col min="22" max="24" width="2.28515625" style="614" customWidth="1"/>
    <col min="25" max="25" width="9.140625" style="614"/>
    <col min="26" max="28" width="2.28515625" style="614" customWidth="1"/>
    <col min="29" max="29" width="4.28515625" style="614" customWidth="1"/>
    <col min="30" max="32" width="2.28515625" style="614" customWidth="1"/>
    <col min="33" max="33" width="4.28515625" style="614" customWidth="1"/>
    <col min="34" max="36" width="2.28515625" style="614" customWidth="1"/>
    <col min="37" max="37" width="4.28515625" style="614" customWidth="1"/>
    <col min="38" max="40" width="2.28515625" style="614" customWidth="1"/>
    <col min="41" max="41" width="4.28515625" style="614" customWidth="1"/>
    <col min="42" max="44" width="2.28515625" style="614" customWidth="1"/>
    <col min="45" max="45" width="4.28515625" style="614" customWidth="1"/>
    <col min="46" max="48" width="2.28515625" style="614" customWidth="1"/>
    <col min="49" max="50" width="9.140625" style="614"/>
    <col min="51" max="51" width="5.5703125" style="614" customWidth="1"/>
    <col min="52" max="16384" width="9.140625" style="614"/>
  </cols>
  <sheetData>
    <row r="2" spans="2:48" ht="15" x14ac:dyDescent="0.25">
      <c r="J2" s="946" t="s">
        <v>1457</v>
      </c>
      <c r="K2" s="946"/>
      <c r="L2" s="946"/>
      <c r="M2" s="946"/>
      <c r="N2" s="946"/>
      <c r="O2" s="946"/>
      <c r="P2" s="946"/>
      <c r="AF2" s="946" t="s">
        <v>1466</v>
      </c>
      <c r="AG2" s="946"/>
      <c r="AH2" s="946"/>
      <c r="AI2" s="946"/>
      <c r="AJ2" s="946"/>
      <c r="AK2" s="946"/>
      <c r="AL2" s="946"/>
      <c r="AM2" s="946"/>
      <c r="AN2" s="946"/>
      <c r="AO2" s="946"/>
      <c r="AP2" s="946"/>
      <c r="AQ2" s="946"/>
    </row>
    <row r="3" spans="2:48" ht="15" x14ac:dyDescent="0.25">
      <c r="J3" s="615"/>
      <c r="K3" s="615"/>
      <c r="L3" s="615"/>
      <c r="M3" s="615"/>
      <c r="N3" s="615"/>
      <c r="O3" s="615"/>
      <c r="P3" s="615"/>
      <c r="AH3" s="615"/>
      <c r="AI3" s="615"/>
      <c r="AJ3" s="615"/>
      <c r="AK3" s="615"/>
      <c r="AL3" s="615"/>
      <c r="AM3" s="615"/>
      <c r="AN3" s="615"/>
    </row>
    <row r="4" spans="2:48" x14ac:dyDescent="0.2">
      <c r="C4" s="616"/>
      <c r="G4" s="616"/>
      <c r="H4" s="612"/>
      <c r="J4" s="613"/>
      <c r="K4" s="616"/>
      <c r="S4" s="616"/>
      <c r="T4" s="612"/>
    </row>
    <row r="5" spans="2:48" x14ac:dyDescent="0.2">
      <c r="B5" s="613"/>
      <c r="C5" s="616"/>
      <c r="D5" s="612"/>
      <c r="F5" s="613"/>
      <c r="G5" s="616"/>
      <c r="H5" s="612"/>
      <c r="J5" s="613"/>
      <c r="K5" s="616"/>
      <c r="L5" s="612"/>
      <c r="O5" s="616"/>
      <c r="P5" s="612"/>
      <c r="R5" s="613"/>
      <c r="S5" s="616"/>
      <c r="T5" s="612"/>
      <c r="W5" s="616"/>
      <c r="AA5" s="616"/>
      <c r="AE5" s="616"/>
      <c r="AH5" s="613"/>
      <c r="AQ5" s="616"/>
      <c r="AR5" s="612"/>
    </row>
    <row r="6" spans="2:48" x14ac:dyDescent="0.2">
      <c r="B6" s="613"/>
      <c r="C6" s="616"/>
      <c r="D6" s="612"/>
      <c r="F6" s="613"/>
      <c r="G6" s="616"/>
      <c r="H6" s="612"/>
      <c r="J6" s="613"/>
      <c r="K6" s="616"/>
      <c r="L6" s="612"/>
      <c r="N6" s="613"/>
      <c r="O6" s="616"/>
      <c r="P6" s="612"/>
      <c r="R6" s="613"/>
      <c r="S6" s="616"/>
      <c r="T6" s="612"/>
      <c r="W6" s="616"/>
      <c r="X6" s="612"/>
      <c r="AA6" s="616"/>
      <c r="AB6" s="612"/>
      <c r="AD6" s="613"/>
      <c r="AE6" s="616"/>
      <c r="AF6" s="612"/>
      <c r="AH6" s="613"/>
      <c r="AI6" s="616"/>
      <c r="AJ6" s="612"/>
      <c r="AM6" s="616"/>
      <c r="AN6" s="612"/>
      <c r="AP6" s="613"/>
      <c r="AQ6" s="616"/>
      <c r="AR6" s="612"/>
      <c r="AU6" s="616"/>
    </row>
    <row r="7" spans="2:48" x14ac:dyDescent="0.2">
      <c r="B7" s="613"/>
      <c r="C7" s="616"/>
      <c r="D7" s="612"/>
      <c r="F7" s="613"/>
      <c r="G7" s="616"/>
      <c r="H7" s="612"/>
      <c r="J7" s="613"/>
      <c r="K7" s="616"/>
      <c r="L7" s="612"/>
      <c r="N7" s="613"/>
      <c r="O7" s="616"/>
      <c r="P7" s="612"/>
      <c r="R7" s="613"/>
      <c r="S7" s="616"/>
      <c r="T7" s="612"/>
      <c r="V7" s="613"/>
      <c r="W7" s="616"/>
      <c r="X7" s="612"/>
      <c r="Z7" s="613"/>
      <c r="AA7" s="616"/>
      <c r="AB7" s="612"/>
      <c r="AD7" s="613"/>
      <c r="AE7" s="616"/>
      <c r="AF7" s="612"/>
      <c r="AH7" s="613"/>
      <c r="AI7" s="616"/>
      <c r="AJ7" s="612"/>
      <c r="AL7" s="613"/>
      <c r="AM7" s="616"/>
      <c r="AN7" s="612"/>
      <c r="AP7" s="613"/>
      <c r="AQ7" s="616"/>
      <c r="AR7" s="612"/>
      <c r="AT7" s="613"/>
      <c r="AU7" s="616"/>
      <c r="AV7" s="612"/>
    </row>
    <row r="8" spans="2:48" x14ac:dyDescent="0.2">
      <c r="B8" s="613"/>
      <c r="C8" s="616"/>
      <c r="D8" s="612"/>
      <c r="F8" s="613"/>
      <c r="G8" s="616"/>
      <c r="H8" s="612"/>
      <c r="J8" s="613"/>
      <c r="K8" s="616"/>
      <c r="L8" s="612"/>
      <c r="N8" s="613"/>
      <c r="O8" s="616"/>
      <c r="P8" s="612"/>
      <c r="R8" s="613"/>
      <c r="S8" s="616"/>
      <c r="T8" s="612"/>
      <c r="V8" s="613"/>
      <c r="W8" s="616"/>
      <c r="X8" s="612"/>
      <c r="Z8" s="613"/>
      <c r="AA8" s="616"/>
      <c r="AB8" s="612"/>
      <c r="AD8" s="613"/>
      <c r="AE8" s="616"/>
      <c r="AF8" s="612"/>
      <c r="AH8" s="613"/>
      <c r="AI8" s="616"/>
      <c r="AJ8" s="612"/>
      <c r="AL8" s="613"/>
      <c r="AM8" s="616"/>
      <c r="AN8" s="612"/>
      <c r="AP8" s="613"/>
      <c r="AQ8" s="616"/>
      <c r="AR8" s="612"/>
      <c r="AT8" s="613"/>
      <c r="AU8" s="616"/>
      <c r="AV8" s="612"/>
    </row>
    <row r="9" spans="2:48" x14ac:dyDescent="0.2">
      <c r="B9" s="613"/>
      <c r="C9" s="616"/>
      <c r="D9" s="612"/>
      <c r="F9" s="613"/>
      <c r="G9" s="616"/>
      <c r="H9" s="612"/>
      <c r="J9" s="613"/>
      <c r="K9" s="616"/>
      <c r="L9" s="612"/>
      <c r="N9" s="613"/>
      <c r="O9" s="616"/>
      <c r="P9" s="612"/>
      <c r="R9" s="613"/>
      <c r="S9" s="616"/>
      <c r="T9" s="612"/>
      <c r="V9" s="613"/>
      <c r="W9" s="616"/>
      <c r="X9" s="612"/>
      <c r="Z9" s="613"/>
      <c r="AA9" s="616"/>
      <c r="AB9" s="612"/>
      <c r="AD9" s="613"/>
      <c r="AE9" s="616"/>
      <c r="AF9" s="612"/>
      <c r="AH9" s="613"/>
      <c r="AI9" s="616"/>
      <c r="AJ9" s="612"/>
      <c r="AL9" s="613"/>
      <c r="AM9" s="616"/>
      <c r="AN9" s="612"/>
      <c r="AP9" s="613"/>
      <c r="AQ9" s="616"/>
      <c r="AR9" s="612"/>
      <c r="AT9" s="613"/>
      <c r="AU9" s="616"/>
      <c r="AV9" s="612"/>
    </row>
    <row r="10" spans="2:48" x14ac:dyDescent="0.2">
      <c r="B10" s="947" t="s">
        <v>1458</v>
      </c>
      <c r="C10" s="947"/>
      <c r="D10" s="947"/>
      <c r="E10" s="617"/>
      <c r="F10" s="947" t="s">
        <v>1459</v>
      </c>
      <c r="G10" s="947"/>
      <c r="H10" s="947"/>
      <c r="I10" s="617"/>
      <c r="J10" s="947" t="s">
        <v>1460</v>
      </c>
      <c r="K10" s="947"/>
      <c r="L10" s="947"/>
      <c r="M10" s="617"/>
      <c r="N10" s="947" t="s">
        <v>1461</v>
      </c>
      <c r="O10" s="947"/>
      <c r="P10" s="947"/>
      <c r="Q10" s="617"/>
      <c r="R10" s="947" t="s">
        <v>1462</v>
      </c>
      <c r="S10" s="947"/>
      <c r="T10" s="947"/>
      <c r="U10" s="617"/>
      <c r="V10" s="947" t="s">
        <v>1463</v>
      </c>
      <c r="W10" s="947"/>
      <c r="X10" s="947"/>
      <c r="Z10" s="947" t="s">
        <v>1458</v>
      </c>
      <c r="AA10" s="947"/>
      <c r="AB10" s="947"/>
      <c r="AC10" s="617"/>
      <c r="AD10" s="947" t="s">
        <v>1459</v>
      </c>
      <c r="AE10" s="947"/>
      <c r="AF10" s="947"/>
      <c r="AG10" s="617"/>
      <c r="AH10" s="947" t="s">
        <v>1460</v>
      </c>
      <c r="AI10" s="947"/>
      <c r="AJ10" s="947"/>
      <c r="AK10" s="617"/>
      <c r="AL10" s="947" t="s">
        <v>1461</v>
      </c>
      <c r="AM10" s="947"/>
      <c r="AN10" s="947"/>
      <c r="AO10" s="617"/>
      <c r="AP10" s="947" t="s">
        <v>1462</v>
      </c>
      <c r="AQ10" s="947"/>
      <c r="AR10" s="947"/>
      <c r="AS10" s="617"/>
      <c r="AT10" s="947" t="s">
        <v>1463</v>
      </c>
      <c r="AU10" s="947"/>
      <c r="AV10" s="947"/>
    </row>
    <row r="12" spans="2:48" x14ac:dyDescent="0.2">
      <c r="B12" s="613"/>
      <c r="C12" s="617" t="s">
        <v>1464</v>
      </c>
      <c r="J12" s="616"/>
      <c r="K12" s="617" t="s">
        <v>58</v>
      </c>
      <c r="P12" s="612"/>
      <c r="Q12" s="617" t="s">
        <v>56</v>
      </c>
      <c r="Z12" s="613"/>
      <c r="AA12" s="617" t="s">
        <v>1464</v>
      </c>
      <c r="AH12" s="616"/>
      <c r="AI12" s="617" t="s">
        <v>58</v>
      </c>
      <c r="AN12" s="612"/>
      <c r="AO12" s="617" t="s">
        <v>56</v>
      </c>
    </row>
    <row r="15" spans="2:48" ht="15" x14ac:dyDescent="0.25">
      <c r="I15" s="946" t="s">
        <v>1465</v>
      </c>
      <c r="J15" s="946"/>
      <c r="K15" s="946"/>
      <c r="L15" s="946"/>
      <c r="M15" s="946"/>
      <c r="N15" s="946"/>
      <c r="O15" s="946"/>
      <c r="P15" s="946"/>
      <c r="Q15" s="946"/>
      <c r="AD15" s="946" t="s">
        <v>1467</v>
      </c>
      <c r="AE15" s="946"/>
      <c r="AF15" s="946"/>
      <c r="AG15" s="946"/>
      <c r="AH15" s="946"/>
      <c r="AI15" s="946"/>
      <c r="AJ15" s="946"/>
      <c r="AK15" s="946"/>
      <c r="AL15" s="946"/>
      <c r="AM15" s="946"/>
      <c r="AN15" s="946"/>
      <c r="AO15" s="946"/>
      <c r="AP15" s="946"/>
      <c r="AQ15" s="946"/>
      <c r="AR15" s="946"/>
    </row>
    <row r="16" spans="2:48" ht="15" x14ac:dyDescent="0.25">
      <c r="J16" s="615"/>
      <c r="K16" s="615"/>
      <c r="L16" s="615"/>
      <c r="M16" s="615"/>
      <c r="N16" s="615"/>
      <c r="O16" s="615"/>
      <c r="P16" s="615"/>
      <c r="AH16" s="615"/>
      <c r="AI16" s="615"/>
      <c r="AJ16" s="615"/>
      <c r="AK16" s="615"/>
      <c r="AL16" s="615"/>
      <c r="AM16" s="615"/>
      <c r="AN16" s="615"/>
    </row>
    <row r="17" spans="2:48" x14ac:dyDescent="0.2">
      <c r="C17" s="616"/>
      <c r="G17" s="616"/>
      <c r="H17" s="612"/>
      <c r="J17" s="613"/>
      <c r="K17" s="616"/>
      <c r="S17" s="616"/>
      <c r="T17" s="612"/>
    </row>
    <row r="18" spans="2:48" x14ac:dyDescent="0.2">
      <c r="B18" s="613"/>
      <c r="C18" s="616"/>
      <c r="D18" s="612"/>
      <c r="F18" s="613"/>
      <c r="G18" s="616"/>
      <c r="H18" s="612"/>
      <c r="J18" s="613"/>
      <c r="K18" s="616"/>
      <c r="L18" s="612"/>
      <c r="O18" s="616"/>
      <c r="P18" s="612"/>
      <c r="R18" s="613"/>
      <c r="S18" s="616"/>
      <c r="T18" s="612"/>
      <c r="W18" s="616"/>
      <c r="AA18" s="616"/>
      <c r="AE18" s="616"/>
      <c r="AH18" s="613"/>
      <c r="AQ18" s="616"/>
      <c r="AR18" s="612"/>
    </row>
    <row r="19" spans="2:48" x14ac:dyDescent="0.2">
      <c r="B19" s="613"/>
      <c r="C19" s="616"/>
      <c r="D19" s="612"/>
      <c r="F19" s="613"/>
      <c r="G19" s="616"/>
      <c r="H19" s="612"/>
      <c r="J19" s="613"/>
      <c r="K19" s="616"/>
      <c r="L19" s="612"/>
      <c r="N19" s="613"/>
      <c r="O19" s="616"/>
      <c r="P19" s="612"/>
      <c r="R19" s="613"/>
      <c r="S19" s="616"/>
      <c r="T19" s="612"/>
      <c r="W19" s="616"/>
      <c r="X19" s="612"/>
      <c r="AA19" s="616"/>
      <c r="AB19" s="612"/>
      <c r="AD19" s="613"/>
      <c r="AE19" s="616"/>
      <c r="AF19" s="612"/>
      <c r="AH19" s="613"/>
      <c r="AI19" s="616"/>
      <c r="AJ19" s="612"/>
      <c r="AM19" s="616"/>
      <c r="AN19" s="612"/>
      <c r="AP19" s="613"/>
      <c r="AQ19" s="616"/>
      <c r="AR19" s="612"/>
      <c r="AU19" s="616"/>
    </row>
    <row r="20" spans="2:48" x14ac:dyDescent="0.2">
      <c r="B20" s="613"/>
      <c r="C20" s="616"/>
      <c r="D20" s="612"/>
      <c r="F20" s="613"/>
      <c r="G20" s="616"/>
      <c r="H20" s="612"/>
      <c r="J20" s="613"/>
      <c r="K20" s="616"/>
      <c r="L20" s="612"/>
      <c r="N20" s="613"/>
      <c r="O20" s="616"/>
      <c r="P20" s="612"/>
      <c r="R20" s="613"/>
      <c r="S20" s="616"/>
      <c r="T20" s="612"/>
      <c r="V20" s="613"/>
      <c r="W20" s="616"/>
      <c r="X20" s="612"/>
      <c r="Z20" s="613"/>
      <c r="AA20" s="616"/>
      <c r="AB20" s="612"/>
      <c r="AD20" s="613"/>
      <c r="AE20" s="616"/>
      <c r="AF20" s="612"/>
      <c r="AH20" s="613"/>
      <c r="AI20" s="616"/>
      <c r="AJ20" s="612"/>
      <c r="AL20" s="613"/>
      <c r="AM20" s="616"/>
      <c r="AN20" s="612"/>
      <c r="AP20" s="613"/>
      <c r="AQ20" s="616"/>
      <c r="AR20" s="612"/>
      <c r="AT20" s="613"/>
      <c r="AU20" s="616"/>
      <c r="AV20" s="612"/>
    </row>
    <row r="21" spans="2:48" x14ac:dyDescent="0.2">
      <c r="B21" s="613"/>
      <c r="C21" s="616"/>
      <c r="D21" s="612"/>
      <c r="F21" s="613"/>
      <c r="G21" s="616"/>
      <c r="H21" s="612"/>
      <c r="J21" s="613"/>
      <c r="K21" s="616"/>
      <c r="L21" s="612"/>
      <c r="N21" s="613"/>
      <c r="O21" s="616"/>
      <c r="P21" s="612"/>
      <c r="R21" s="613"/>
      <c r="S21" s="616"/>
      <c r="T21" s="612"/>
      <c r="V21" s="613"/>
      <c r="W21" s="616"/>
      <c r="X21" s="612"/>
      <c r="Z21" s="613"/>
      <c r="AA21" s="616"/>
      <c r="AB21" s="612"/>
      <c r="AD21" s="613"/>
      <c r="AE21" s="616"/>
      <c r="AF21" s="612"/>
      <c r="AH21" s="613"/>
      <c r="AI21" s="616"/>
      <c r="AJ21" s="612"/>
      <c r="AL21" s="613"/>
      <c r="AM21" s="616"/>
      <c r="AN21" s="612"/>
      <c r="AP21" s="613"/>
      <c r="AQ21" s="616"/>
      <c r="AR21" s="612"/>
      <c r="AT21" s="613"/>
      <c r="AU21" s="616"/>
      <c r="AV21" s="612"/>
    </row>
    <row r="22" spans="2:48" x14ac:dyDescent="0.2">
      <c r="B22" s="613"/>
      <c r="C22" s="616"/>
      <c r="D22" s="612"/>
      <c r="F22" s="613"/>
      <c r="G22" s="616"/>
      <c r="H22" s="612"/>
      <c r="J22" s="613"/>
      <c r="K22" s="616"/>
      <c r="L22" s="612"/>
      <c r="N22" s="613"/>
      <c r="O22" s="616"/>
      <c r="P22" s="612"/>
      <c r="R22" s="613"/>
      <c r="S22" s="616"/>
      <c r="T22" s="612"/>
      <c r="V22" s="613"/>
      <c r="W22" s="616"/>
      <c r="X22" s="612"/>
      <c r="Z22" s="613"/>
      <c r="AA22" s="616"/>
      <c r="AB22" s="612"/>
      <c r="AD22" s="613"/>
      <c r="AE22" s="616"/>
      <c r="AF22" s="612"/>
      <c r="AH22" s="613"/>
      <c r="AI22" s="616"/>
      <c r="AJ22" s="612"/>
      <c r="AL22" s="613"/>
      <c r="AM22" s="616"/>
      <c r="AN22" s="612"/>
      <c r="AP22" s="613"/>
      <c r="AQ22" s="616"/>
      <c r="AR22" s="612"/>
      <c r="AT22" s="613"/>
      <c r="AU22" s="616"/>
      <c r="AV22" s="612"/>
    </row>
    <row r="23" spans="2:48" x14ac:dyDescent="0.2">
      <c r="B23" s="947" t="s">
        <v>1458</v>
      </c>
      <c r="C23" s="947"/>
      <c r="D23" s="947"/>
      <c r="E23" s="617"/>
      <c r="F23" s="947" t="s">
        <v>1459</v>
      </c>
      <c r="G23" s="947"/>
      <c r="H23" s="947"/>
      <c r="I23" s="617"/>
      <c r="J23" s="947" t="s">
        <v>1460</v>
      </c>
      <c r="K23" s="947"/>
      <c r="L23" s="947"/>
      <c r="M23" s="617"/>
      <c r="N23" s="947" t="s">
        <v>1461</v>
      </c>
      <c r="O23" s="947"/>
      <c r="P23" s="947"/>
      <c r="Q23" s="617"/>
      <c r="R23" s="947" t="s">
        <v>1462</v>
      </c>
      <c r="S23" s="947"/>
      <c r="T23" s="947"/>
      <c r="U23" s="617"/>
      <c r="V23" s="947" t="s">
        <v>1463</v>
      </c>
      <c r="W23" s="947"/>
      <c r="X23" s="947"/>
      <c r="Z23" s="947" t="s">
        <v>1458</v>
      </c>
      <c r="AA23" s="947"/>
      <c r="AB23" s="947"/>
      <c r="AC23" s="617"/>
      <c r="AD23" s="947" t="s">
        <v>1459</v>
      </c>
      <c r="AE23" s="947"/>
      <c r="AF23" s="947"/>
      <c r="AG23" s="617"/>
      <c r="AH23" s="947" t="s">
        <v>1460</v>
      </c>
      <c r="AI23" s="947"/>
      <c r="AJ23" s="947"/>
      <c r="AK23" s="617"/>
      <c r="AL23" s="947" t="s">
        <v>1461</v>
      </c>
      <c r="AM23" s="947"/>
      <c r="AN23" s="947"/>
      <c r="AO23" s="617"/>
      <c r="AP23" s="947" t="s">
        <v>1462</v>
      </c>
      <c r="AQ23" s="947"/>
      <c r="AR23" s="947"/>
      <c r="AS23" s="617"/>
      <c r="AT23" s="947" t="s">
        <v>1463</v>
      </c>
      <c r="AU23" s="947"/>
      <c r="AV23" s="947"/>
    </row>
    <row r="25" spans="2:48" x14ac:dyDescent="0.2">
      <c r="B25" s="613"/>
      <c r="C25" s="617" t="s">
        <v>1464</v>
      </c>
      <c r="J25" s="616"/>
      <c r="K25" s="617" t="s">
        <v>58</v>
      </c>
      <c r="P25" s="612"/>
      <c r="Q25" s="617" t="s">
        <v>56</v>
      </c>
      <c r="Z25" s="613"/>
      <c r="AA25" s="617" t="s">
        <v>1464</v>
      </c>
      <c r="AH25" s="616"/>
      <c r="AI25" s="617" t="s">
        <v>58</v>
      </c>
      <c r="AN25" s="612"/>
      <c r="AO25" s="617" t="s">
        <v>56</v>
      </c>
    </row>
  </sheetData>
  <mergeCells count="28">
    <mergeCell ref="R23:T23"/>
    <mergeCell ref="V23:X23"/>
    <mergeCell ref="B10:D10"/>
    <mergeCell ref="F10:H10"/>
    <mergeCell ref="J10:L10"/>
    <mergeCell ref="N10:P10"/>
    <mergeCell ref="R10:T10"/>
    <mergeCell ref="V10:X10"/>
    <mergeCell ref="J2:P2"/>
    <mergeCell ref="B23:D23"/>
    <mergeCell ref="F23:H23"/>
    <mergeCell ref="J23:L23"/>
    <mergeCell ref="N23:P23"/>
    <mergeCell ref="I15:Q15"/>
    <mergeCell ref="AF2:AQ2"/>
    <mergeCell ref="AP10:AR10"/>
    <mergeCell ref="AT10:AV10"/>
    <mergeCell ref="Z23:AB23"/>
    <mergeCell ref="AD23:AF23"/>
    <mergeCell ref="AH23:AJ23"/>
    <mergeCell ref="AL23:AN23"/>
    <mergeCell ref="AP23:AR23"/>
    <mergeCell ref="AT23:AV23"/>
    <mergeCell ref="Z10:AB10"/>
    <mergeCell ref="AD10:AF10"/>
    <mergeCell ref="AH10:AJ10"/>
    <mergeCell ref="AL10:AN10"/>
    <mergeCell ref="AD15:AR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28</vt:i4>
      </vt:variant>
    </vt:vector>
  </HeadingPairs>
  <TitlesOfParts>
    <vt:vector size="52" baseType="lpstr">
      <vt:lpstr>Cover Page</vt:lpstr>
      <vt:lpstr>F21</vt:lpstr>
      <vt:lpstr>F21S</vt:lpstr>
      <vt:lpstr>F21R</vt:lpstr>
      <vt:lpstr>F22</vt:lpstr>
      <vt:lpstr>F22S</vt:lpstr>
      <vt:lpstr>F23-Div</vt:lpstr>
      <vt:lpstr>F23-Dep</vt:lpstr>
      <vt:lpstr>F23-Sec</vt:lpstr>
      <vt:lpstr>F23-Units</vt:lpstr>
      <vt:lpstr>F24</vt:lpstr>
      <vt:lpstr>F25-Div</vt:lpstr>
      <vt:lpstr>F25-Dep</vt:lpstr>
      <vt:lpstr>F25-Sec</vt:lpstr>
      <vt:lpstr>F25-Units</vt:lpstr>
      <vt:lpstr>F26M</vt:lpstr>
      <vt:lpstr>F26Y</vt:lpstr>
      <vt:lpstr>F30</vt:lpstr>
      <vt:lpstr>F30R</vt:lpstr>
      <vt:lpstr>F31</vt:lpstr>
      <vt:lpstr>F32</vt:lpstr>
      <vt:lpstr>F33</vt:lpstr>
      <vt:lpstr>Formula</vt:lpstr>
      <vt:lpstr>Sheet1</vt:lpstr>
      <vt:lpstr>'Cover Page'!Print_Area</vt:lpstr>
      <vt:lpstr>'F21'!Print_Area</vt:lpstr>
      <vt:lpstr>F21R!Print_Area</vt:lpstr>
      <vt:lpstr>F21S!Print_Area</vt:lpstr>
      <vt:lpstr>'F22'!Print_Area</vt:lpstr>
      <vt:lpstr>F22S!Print_Area</vt:lpstr>
      <vt:lpstr>'F23-Dep'!Print_Area</vt:lpstr>
      <vt:lpstr>'F23-Div'!Print_Area</vt:lpstr>
      <vt:lpstr>'F23-Sec'!Print_Area</vt:lpstr>
      <vt:lpstr>'F23-Units'!Print_Area</vt:lpstr>
      <vt:lpstr>'F24'!Print_Area</vt:lpstr>
      <vt:lpstr>'F25-Dep'!Print_Area</vt:lpstr>
      <vt:lpstr>'F25-Div'!Print_Area</vt:lpstr>
      <vt:lpstr>'F25-Sec'!Print_Area</vt:lpstr>
      <vt:lpstr>'F25-Units'!Print_Area</vt:lpstr>
      <vt:lpstr>F26Y!Print_Area</vt:lpstr>
      <vt:lpstr>'F31'!Print_Area</vt:lpstr>
      <vt:lpstr>'F32'!Print_Area</vt:lpstr>
      <vt:lpstr>'F24'!Print_Titles</vt:lpstr>
      <vt:lpstr>'F25-Dep'!Print_Titles</vt:lpstr>
      <vt:lpstr>'F25-Div'!Print_Titles</vt:lpstr>
      <vt:lpstr>'F25-Sec'!Print_Titles</vt:lpstr>
      <vt:lpstr>'F25-Units'!Print_Titles</vt:lpstr>
      <vt:lpstr>F26M!Print_Titles</vt:lpstr>
      <vt:lpstr>F26Y!Print_Titles</vt:lpstr>
      <vt:lpstr>'F31'!Print_Titles</vt:lpstr>
      <vt:lpstr>'F32'!Print_Titles</vt:lpstr>
      <vt:lpstr>'F33'!Print_Titles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Jace Tee</dc:creator>
  <cp:lastModifiedBy>wenbin wong</cp:lastModifiedBy>
  <cp:lastPrinted>2017-11-13T07:18:22Z</cp:lastPrinted>
  <dcterms:created xsi:type="dcterms:W3CDTF">2015-12-16T06:21:34Z</dcterms:created>
  <dcterms:modified xsi:type="dcterms:W3CDTF">2017-12-21T17:06:54Z</dcterms:modified>
</cp:coreProperties>
</file>