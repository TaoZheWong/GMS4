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ject\GMS_WORK\ReportDevelopment\FinanceReportUpdate\"/>
    </mc:Choice>
  </mc:AlternateContent>
  <bookViews>
    <workbookView xWindow="0" yWindow="0" windowWidth="28395" windowHeight="11205" tabRatio="886" firstSheet="2" activeTab="8"/>
  </bookViews>
  <sheets>
    <sheet name="Reference" sheetId="4" r:id="rId1"/>
    <sheet name="F101 F21 PNL-Debug" sheetId="5" r:id="rId2"/>
    <sheet name="F101 F21 PNL-Origin" sheetId="6" r:id="rId3"/>
    <sheet name="F101 F21 PNL-New" sheetId="7" r:id="rId4"/>
    <sheet name="F21R PNLR-Script" sheetId="30" r:id="rId5"/>
    <sheet name="F21R PNLR-New" sheetId="29" r:id="rId6"/>
    <sheet name="F102 F22 PNLS-Debug" sheetId="3" r:id="rId7"/>
    <sheet name="F102 F22 PNLS-Origin" sheetId="2" r:id="rId8"/>
    <sheet name="F102 F22 PNLS-NEW" sheetId="1" r:id="rId9"/>
    <sheet name="F121 F24 Debug" sheetId="25" r:id="rId10"/>
    <sheet name="F121 F24 Origin" sheetId="26" r:id="rId11"/>
    <sheet name="F121 F24 Dif" sheetId="27" r:id="rId12"/>
    <sheet name="F121 F24 New" sheetId="28" r:id="rId13"/>
    <sheet name="F131 F30 BS-Debug" sheetId="8" r:id="rId14"/>
    <sheet name="F131 F30 BS-Origin" sheetId="9" r:id="rId15"/>
    <sheet name="F131 F30 BS-DIFF" sheetId="11" r:id="rId16"/>
    <sheet name="F131 F30 BS-NEW" sheetId="10" r:id="rId17"/>
    <sheet name="F30R BSR - Script" sheetId="31" r:id="rId18"/>
    <sheet name="F141 F31 PNLD-Debug" sheetId="13" r:id="rId19"/>
    <sheet name="F141 F31 PNLD-Origin" sheetId="14" r:id="rId20"/>
    <sheet name="F31 PNLD-DIFF" sheetId="15" r:id="rId21"/>
    <sheet name="F141 F31 PNLD-NEW" sheetId="16" r:id="rId22"/>
    <sheet name="F142 F32 MAD-Debug" sheetId="17" r:id="rId23"/>
    <sheet name="F142 F32 MAD-Origin" sheetId="18" r:id="rId24"/>
    <sheet name="F142 F32 MAD-DIFF" sheetId="20" r:id="rId25"/>
    <sheet name="F142 F32 MAD-New" sheetId="19" r:id="rId26"/>
    <sheet name="F151 F33 BSD-Debug" sheetId="21" r:id="rId27"/>
    <sheet name="F151 F33 BSD-Origin" sheetId="22" r:id="rId28"/>
    <sheet name="F151 F33 BSD-Diff" sheetId="23" r:id="rId29"/>
    <sheet name="F151 F33 BSD-New" sheetId="24" r:id="rId30"/>
  </sheet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G21" i="1" l="1"/>
  <c r="G22" i="1"/>
  <c r="J63" i="24"/>
  <c r="K63" i="24"/>
  <c r="G63" i="24"/>
  <c r="G379" i="16"/>
  <c r="G339" i="16"/>
  <c r="G268" i="16"/>
  <c r="G267" i="16"/>
  <c r="G258" i="16"/>
  <c r="G255" i="16"/>
  <c r="G92" i="16"/>
  <c r="G91" i="16"/>
  <c r="G90" i="16"/>
  <c r="G85" i="16"/>
  <c r="G84" i="16"/>
  <c r="G83" i="16"/>
  <c r="J83" i="16"/>
  <c r="G55" i="7"/>
  <c r="G52" i="7"/>
  <c r="G155" i="24"/>
  <c r="J28" i="24"/>
  <c r="G18" i="24"/>
  <c r="G136" i="24"/>
  <c r="G134" i="24"/>
  <c r="G131" i="24"/>
  <c r="G130" i="24"/>
  <c r="G127" i="24"/>
  <c r="G124" i="24"/>
  <c r="G121" i="24"/>
  <c r="G118" i="24"/>
  <c r="G115" i="24"/>
  <c r="G112" i="24"/>
  <c r="G106" i="24"/>
  <c r="G103" i="24"/>
  <c r="G100" i="24"/>
  <c r="G97" i="24"/>
  <c r="G94" i="24"/>
  <c r="G91" i="24"/>
  <c r="G85" i="24"/>
  <c r="G82" i="24"/>
  <c r="G78" i="24"/>
  <c r="G75" i="24"/>
  <c r="G72" i="24"/>
  <c r="G69" i="24"/>
  <c r="G65" i="24"/>
  <c r="G46" i="24"/>
  <c r="G41" i="24"/>
  <c r="G28" i="24"/>
  <c r="G17" i="24"/>
  <c r="G138" i="24"/>
  <c r="G140" i="24"/>
  <c r="G142" i="24"/>
  <c r="G144" i="24"/>
  <c r="G146" i="24"/>
  <c r="G148" i="24"/>
  <c r="G150" i="24"/>
  <c r="G152" i="24"/>
  <c r="G157" i="24"/>
  <c r="G160" i="24"/>
  <c r="G163" i="24"/>
  <c r="G175" i="24"/>
  <c r="G177" i="24"/>
  <c r="G212" i="24"/>
  <c r="G240" i="24"/>
  <c r="G258" i="24"/>
  <c r="J258" i="24"/>
  <c r="G14" i="1"/>
  <c r="C69" i="10"/>
  <c r="E69" i="10"/>
  <c r="J69" i="10"/>
  <c r="C31" i="1"/>
  <c r="E31" i="1"/>
  <c r="I31" i="1"/>
  <c r="A3" i="29"/>
  <c r="C3" i="7"/>
  <c r="C3" i="29"/>
  <c r="E3" i="7"/>
  <c r="D3" i="29"/>
  <c r="F3" i="29"/>
  <c r="G3" i="29"/>
  <c r="E3" i="29"/>
  <c r="H3" i="29"/>
  <c r="A4" i="29"/>
  <c r="C4" i="7"/>
  <c r="C4" i="29"/>
  <c r="E4" i="7"/>
  <c r="D4" i="29"/>
  <c r="F4" i="29"/>
  <c r="G4" i="29"/>
  <c r="E4" i="29"/>
  <c r="H4" i="29"/>
  <c r="A5" i="29"/>
  <c r="C5" i="7"/>
  <c r="C5" i="29"/>
  <c r="E5" i="7"/>
  <c r="D5" i="29"/>
  <c r="F5" i="29"/>
  <c r="G5" i="29"/>
  <c r="E5" i="29"/>
  <c r="H5" i="29"/>
  <c r="A6" i="29"/>
  <c r="C6" i="7"/>
  <c r="C6" i="29"/>
  <c r="E6" i="7"/>
  <c r="D6" i="29"/>
  <c r="F6" i="29"/>
  <c r="G6" i="29"/>
  <c r="E6" i="29"/>
  <c r="H6" i="29"/>
  <c r="A7" i="29"/>
  <c r="C7" i="7"/>
  <c r="C7" i="29"/>
  <c r="E7" i="7"/>
  <c r="D7" i="29"/>
  <c r="F7" i="29"/>
  <c r="G7" i="29"/>
  <c r="E7" i="29"/>
  <c r="H7" i="29"/>
  <c r="A8" i="29"/>
  <c r="C8" i="7"/>
  <c r="C8" i="29"/>
  <c r="E8" i="7"/>
  <c r="D8" i="29"/>
  <c r="F8" i="29"/>
  <c r="G8" i="29"/>
  <c r="E8" i="29"/>
  <c r="H8" i="29"/>
  <c r="A9" i="29"/>
  <c r="C9" i="7"/>
  <c r="C9" i="29"/>
  <c r="E9" i="7"/>
  <c r="D9" i="29"/>
  <c r="F9" i="29"/>
  <c r="G9" i="29"/>
  <c r="E9" i="29"/>
  <c r="H9" i="29"/>
  <c r="A10" i="29"/>
  <c r="C10" i="29"/>
  <c r="D10" i="29"/>
  <c r="F10" i="29"/>
  <c r="G10" i="29"/>
  <c r="E10" i="29"/>
  <c r="H10" i="29"/>
  <c r="A11" i="29"/>
  <c r="C11" i="7"/>
  <c r="C11" i="29"/>
  <c r="E11" i="7"/>
  <c r="D11" i="29"/>
  <c r="F11" i="29"/>
  <c r="G11" i="29"/>
  <c r="E11" i="29"/>
  <c r="H11" i="29"/>
  <c r="A12" i="29"/>
  <c r="C12" i="7"/>
  <c r="C12" i="29"/>
  <c r="E12" i="7"/>
  <c r="D12" i="29"/>
  <c r="F12" i="29"/>
  <c r="G12" i="29"/>
  <c r="E12" i="29"/>
  <c r="H12" i="29"/>
  <c r="A13" i="29"/>
  <c r="C13" i="7"/>
  <c r="C13" i="29"/>
  <c r="E13" i="7"/>
  <c r="D13" i="29"/>
  <c r="F13" i="29"/>
  <c r="G13" i="29"/>
  <c r="E13" i="29"/>
  <c r="H13" i="29"/>
  <c r="A14" i="29"/>
  <c r="C14" i="7"/>
  <c r="C14" i="29"/>
  <c r="E14" i="7"/>
  <c r="D14" i="29"/>
  <c r="F14" i="29"/>
  <c r="G14" i="29"/>
  <c r="E14" i="29"/>
  <c r="H14" i="29"/>
  <c r="A15" i="29"/>
  <c r="C15" i="7"/>
  <c r="C15" i="29"/>
  <c r="E15" i="7"/>
  <c r="D15" i="29"/>
  <c r="F15" i="29"/>
  <c r="G15" i="29"/>
  <c r="E15" i="29"/>
  <c r="H15" i="29"/>
  <c r="A16" i="29"/>
  <c r="C16" i="7"/>
  <c r="C16" i="29"/>
  <c r="E16" i="7"/>
  <c r="D16" i="29"/>
  <c r="F16" i="29"/>
  <c r="G16" i="29"/>
  <c r="E16" i="29"/>
  <c r="H16" i="29"/>
  <c r="A17" i="29"/>
  <c r="C17" i="7"/>
  <c r="C17" i="29"/>
  <c r="E17" i="7"/>
  <c r="D17" i="29"/>
  <c r="F17" i="29"/>
  <c r="G17" i="29"/>
  <c r="E17" i="29"/>
  <c r="H17" i="29"/>
  <c r="A18" i="29"/>
  <c r="C18" i="7"/>
  <c r="C18" i="29"/>
  <c r="E18" i="7"/>
  <c r="D18" i="29"/>
  <c r="F18" i="29"/>
  <c r="G18" i="29"/>
  <c r="E18" i="29"/>
  <c r="H18" i="29"/>
  <c r="A19" i="29"/>
  <c r="C19" i="7"/>
  <c r="C19" i="29"/>
  <c r="E19" i="7"/>
  <c r="D19" i="29"/>
  <c r="F19" i="29"/>
  <c r="G19" i="29"/>
  <c r="E19" i="29"/>
  <c r="H19" i="29"/>
  <c r="A20" i="29"/>
  <c r="C20" i="7"/>
  <c r="C20" i="29"/>
  <c r="E20" i="7"/>
  <c r="D20" i="29"/>
  <c r="F20" i="29"/>
  <c r="G20" i="29"/>
  <c r="E20" i="29"/>
  <c r="H20" i="29"/>
  <c r="A21" i="29"/>
  <c r="C21" i="7"/>
  <c r="C21" i="29"/>
  <c r="E21" i="7"/>
  <c r="D21" i="29"/>
  <c r="F21" i="29"/>
  <c r="G21" i="29"/>
  <c r="E21" i="29"/>
  <c r="H21" i="29"/>
  <c r="A22" i="29"/>
  <c r="C22" i="7"/>
  <c r="C22" i="29"/>
  <c r="E22" i="7"/>
  <c r="D22" i="29"/>
  <c r="F22" i="29"/>
  <c r="G22" i="29"/>
  <c r="E22" i="29"/>
  <c r="H22" i="29"/>
  <c r="A23" i="29"/>
  <c r="H23" i="29"/>
  <c r="A24" i="29"/>
  <c r="C24" i="29"/>
  <c r="D24" i="29"/>
  <c r="F24" i="29"/>
  <c r="G24" i="29"/>
  <c r="E24" i="29"/>
  <c r="H24" i="29"/>
  <c r="A25" i="29"/>
  <c r="C25" i="7"/>
  <c r="C25" i="29"/>
  <c r="E25" i="7"/>
  <c r="D25" i="29"/>
  <c r="F25" i="29"/>
  <c r="G25" i="29"/>
  <c r="E25" i="29"/>
  <c r="H25" i="29"/>
  <c r="A26" i="29"/>
  <c r="C26" i="7"/>
  <c r="C26" i="29"/>
  <c r="E26" i="7"/>
  <c r="D26" i="29"/>
  <c r="F26" i="29"/>
  <c r="G26" i="29"/>
  <c r="E26" i="29"/>
  <c r="H26" i="29"/>
  <c r="A27" i="29"/>
  <c r="C27" i="7"/>
  <c r="C27" i="29"/>
  <c r="E27" i="7"/>
  <c r="D27" i="29"/>
  <c r="F27" i="29"/>
  <c r="G27" i="29"/>
  <c r="E27" i="29"/>
  <c r="H27" i="29"/>
  <c r="A28" i="29"/>
  <c r="C28" i="7"/>
  <c r="C28" i="29"/>
  <c r="E28" i="7"/>
  <c r="D28" i="29"/>
  <c r="F28" i="29"/>
  <c r="G28" i="29"/>
  <c r="E28" i="29"/>
  <c r="H28" i="29"/>
  <c r="A29" i="29"/>
  <c r="H29" i="29"/>
  <c r="A30" i="29"/>
  <c r="C30" i="29"/>
  <c r="D30" i="29"/>
  <c r="F30" i="29"/>
  <c r="G30" i="29"/>
  <c r="E30" i="29"/>
  <c r="H30" i="29"/>
  <c r="A31" i="29"/>
  <c r="C31" i="7"/>
  <c r="C31" i="29"/>
  <c r="E31" i="7"/>
  <c r="D31" i="29"/>
  <c r="F31" i="29"/>
  <c r="G31" i="29"/>
  <c r="E31" i="29"/>
  <c r="H31" i="29"/>
  <c r="A32" i="29"/>
  <c r="C32" i="7"/>
  <c r="C32" i="29"/>
  <c r="E32" i="7"/>
  <c r="D32" i="29"/>
  <c r="F32" i="29"/>
  <c r="G32" i="29"/>
  <c r="E32" i="29"/>
  <c r="H32" i="29"/>
  <c r="A33" i="29"/>
  <c r="C33" i="7"/>
  <c r="C33" i="29"/>
  <c r="E33" i="7"/>
  <c r="D33" i="29"/>
  <c r="F33" i="29"/>
  <c r="G33" i="29"/>
  <c r="E33" i="29"/>
  <c r="H33" i="29"/>
  <c r="A34" i="29"/>
  <c r="C34" i="7"/>
  <c r="C34" i="29"/>
  <c r="E34" i="7"/>
  <c r="D34" i="29"/>
  <c r="F34" i="29"/>
  <c r="G34" i="29"/>
  <c r="E34" i="29"/>
  <c r="H34" i="29"/>
  <c r="A35" i="29"/>
  <c r="C35" i="7"/>
  <c r="C35" i="29"/>
  <c r="E35" i="7"/>
  <c r="D35" i="29"/>
  <c r="F35" i="29"/>
  <c r="G35" i="29"/>
  <c r="E35" i="29"/>
  <c r="H35" i="29"/>
  <c r="A36" i="29"/>
  <c r="C36" i="7"/>
  <c r="C36" i="29"/>
  <c r="E36" i="7"/>
  <c r="D36" i="29"/>
  <c r="F36" i="29"/>
  <c r="G36" i="29"/>
  <c r="E36" i="29"/>
  <c r="H36" i="29"/>
  <c r="A37" i="29"/>
  <c r="C37" i="7"/>
  <c r="C37" i="29"/>
  <c r="E37" i="7"/>
  <c r="D37" i="29"/>
  <c r="F37" i="29"/>
  <c r="G37" i="29"/>
  <c r="E37" i="29"/>
  <c r="H37" i="29"/>
  <c r="A38" i="29"/>
  <c r="C38" i="7"/>
  <c r="C38" i="29"/>
  <c r="E38" i="7"/>
  <c r="D38" i="29"/>
  <c r="F38" i="29"/>
  <c r="G38" i="29"/>
  <c r="E38" i="29"/>
  <c r="H38" i="29"/>
  <c r="A39" i="29"/>
  <c r="C39" i="7"/>
  <c r="C39" i="29"/>
  <c r="E39" i="7"/>
  <c r="D39" i="29"/>
  <c r="F39" i="29"/>
  <c r="G39" i="29"/>
  <c r="E39" i="29"/>
  <c r="H39" i="29"/>
  <c r="A40" i="29"/>
  <c r="C40" i="7"/>
  <c r="C40" i="29"/>
  <c r="E40" i="7"/>
  <c r="D40" i="29"/>
  <c r="F40" i="29"/>
  <c r="G40" i="29"/>
  <c r="E40" i="29"/>
  <c r="H40" i="29"/>
  <c r="A41" i="29"/>
  <c r="C41" i="7"/>
  <c r="C41" i="29"/>
  <c r="E41" i="7"/>
  <c r="D41" i="29"/>
  <c r="F41" i="29"/>
  <c r="G41" i="29"/>
  <c r="E41" i="29"/>
  <c r="H41" i="29"/>
  <c r="A42" i="29"/>
  <c r="C42" i="7"/>
  <c r="C42" i="29"/>
  <c r="E42" i="7"/>
  <c r="D42" i="29"/>
  <c r="F42" i="29"/>
  <c r="G42" i="29"/>
  <c r="E42" i="29"/>
  <c r="H42" i="29"/>
  <c r="A43" i="29"/>
  <c r="C43" i="7"/>
  <c r="C43" i="29"/>
  <c r="E43" i="7"/>
  <c r="D43" i="29"/>
  <c r="F43" i="29"/>
  <c r="G43" i="29"/>
  <c r="E43" i="29"/>
  <c r="H43" i="29"/>
  <c r="A44" i="29"/>
  <c r="H44" i="29"/>
  <c r="A45" i="29"/>
  <c r="C45" i="29"/>
  <c r="D45" i="29"/>
  <c r="F45" i="29"/>
  <c r="G45" i="29"/>
  <c r="E45" i="29"/>
  <c r="H45" i="29"/>
  <c r="A46" i="29"/>
  <c r="H46" i="29"/>
  <c r="A47" i="29"/>
  <c r="C47" i="29"/>
  <c r="D47" i="29"/>
  <c r="F47" i="29"/>
  <c r="G47" i="29"/>
  <c r="E47" i="29"/>
  <c r="H47" i="29"/>
  <c r="A48" i="29"/>
  <c r="C48" i="7"/>
  <c r="C48" i="29"/>
  <c r="E48" i="7"/>
  <c r="D48" i="29"/>
  <c r="F48" i="29"/>
  <c r="G48" i="29"/>
  <c r="E48" i="29"/>
  <c r="H48" i="29"/>
  <c r="A49" i="29"/>
  <c r="C49" i="7"/>
  <c r="C49" i="29"/>
  <c r="E49" i="7"/>
  <c r="D49" i="29"/>
  <c r="F49" i="29"/>
  <c r="G49" i="29"/>
  <c r="E49" i="29"/>
  <c r="H49" i="29"/>
  <c r="A50" i="29"/>
  <c r="C50" i="7"/>
  <c r="C50" i="29"/>
  <c r="E50" i="7"/>
  <c r="D50" i="29"/>
  <c r="F50" i="29"/>
  <c r="G50" i="29"/>
  <c r="E50" i="29"/>
  <c r="H50" i="29"/>
  <c r="A51" i="29"/>
  <c r="C51" i="7"/>
  <c r="C51" i="29"/>
  <c r="E51" i="7"/>
  <c r="D51" i="29"/>
  <c r="F51" i="29"/>
  <c r="G51" i="29"/>
  <c r="E51" i="29"/>
  <c r="H51" i="29"/>
  <c r="A52" i="29"/>
  <c r="C52" i="29"/>
  <c r="D52" i="29"/>
  <c r="F52" i="29"/>
  <c r="G52" i="29"/>
  <c r="E52" i="29"/>
  <c r="H52" i="29"/>
  <c r="A53" i="29"/>
  <c r="H53" i="29"/>
  <c r="A54" i="29"/>
  <c r="H54" i="29"/>
  <c r="A55" i="29"/>
  <c r="C55" i="29"/>
  <c r="D55" i="29"/>
  <c r="F55" i="29"/>
  <c r="G55" i="29"/>
  <c r="E55" i="29"/>
  <c r="H55" i="29"/>
  <c r="A56" i="29"/>
  <c r="C56" i="7"/>
  <c r="C56" i="29"/>
  <c r="E56" i="7"/>
  <c r="D56" i="29"/>
  <c r="F56" i="29"/>
  <c r="G56" i="29"/>
  <c r="E56" i="29"/>
  <c r="H56" i="29"/>
  <c r="A57" i="29"/>
  <c r="H57" i="29"/>
  <c r="A58" i="29"/>
  <c r="C58" i="7"/>
  <c r="C58" i="29"/>
  <c r="E58" i="7"/>
  <c r="D58" i="29"/>
  <c r="F58" i="29"/>
  <c r="G58" i="29"/>
  <c r="E58" i="29"/>
  <c r="H58" i="29"/>
  <c r="A59" i="29"/>
  <c r="C59" i="7"/>
  <c r="C59" i="29"/>
  <c r="E59" i="7"/>
  <c r="D59" i="29"/>
  <c r="F59" i="29"/>
  <c r="G59" i="29"/>
  <c r="E59" i="29"/>
  <c r="H59" i="29"/>
  <c r="A60" i="29"/>
  <c r="C60" i="7"/>
  <c r="C60" i="29"/>
  <c r="E60" i="7"/>
  <c r="D60" i="29"/>
  <c r="F60" i="29"/>
  <c r="G60" i="29"/>
  <c r="E60" i="29"/>
  <c r="H60" i="29"/>
  <c r="A61" i="29"/>
  <c r="C61" i="7"/>
  <c r="C61" i="29"/>
  <c r="E61" i="7"/>
  <c r="D61" i="29"/>
  <c r="F61" i="29"/>
  <c r="G61" i="29"/>
  <c r="E61" i="29"/>
  <c r="H61" i="29"/>
  <c r="A62" i="29"/>
  <c r="C62" i="7"/>
  <c r="C62" i="29"/>
  <c r="E62" i="7"/>
  <c r="D62" i="29"/>
  <c r="F62" i="29"/>
  <c r="G62" i="29"/>
  <c r="E62" i="29"/>
  <c r="H62" i="29"/>
  <c r="A63" i="29"/>
  <c r="C63" i="7"/>
  <c r="C63" i="29"/>
  <c r="E63" i="7"/>
  <c r="D63" i="29"/>
  <c r="F63" i="29"/>
  <c r="G63" i="29"/>
  <c r="E63" i="29"/>
  <c r="H63" i="29"/>
  <c r="A64" i="29"/>
  <c r="C64" i="7"/>
  <c r="C64" i="29"/>
  <c r="E64" i="7"/>
  <c r="D64" i="29"/>
  <c r="F64" i="29"/>
  <c r="G64" i="29"/>
  <c r="E64" i="29"/>
  <c r="H64" i="29"/>
  <c r="A65" i="29"/>
  <c r="C65" i="7"/>
  <c r="C65" i="29"/>
  <c r="E65" i="7"/>
  <c r="D65" i="29"/>
  <c r="F65" i="29"/>
  <c r="G65" i="29"/>
  <c r="E65" i="29"/>
  <c r="H65" i="29"/>
  <c r="A66" i="29"/>
  <c r="C66" i="7"/>
  <c r="C66" i="29"/>
  <c r="E66" i="7"/>
  <c r="D66" i="29"/>
  <c r="F66" i="29"/>
  <c r="G66" i="29"/>
  <c r="E66" i="29"/>
  <c r="H66" i="29"/>
  <c r="A67" i="29"/>
  <c r="C67" i="7"/>
  <c r="C67" i="29"/>
  <c r="E67" i="7"/>
  <c r="D67" i="29"/>
  <c r="F67" i="29"/>
  <c r="G67" i="29"/>
  <c r="E67" i="29"/>
  <c r="H67" i="29"/>
  <c r="A68" i="29"/>
  <c r="C68" i="7"/>
  <c r="C68" i="29"/>
  <c r="E68" i="7"/>
  <c r="D68" i="29"/>
  <c r="F68" i="29"/>
  <c r="G68" i="29"/>
  <c r="E68" i="29"/>
  <c r="H68" i="29"/>
  <c r="A69" i="29"/>
  <c r="C69" i="7"/>
  <c r="C69" i="29"/>
  <c r="E69" i="7"/>
  <c r="D69" i="29"/>
  <c r="F69" i="29"/>
  <c r="G69" i="29"/>
  <c r="E69" i="29"/>
  <c r="H69" i="29"/>
  <c r="A70" i="29"/>
  <c r="C70" i="29"/>
  <c r="D70" i="29"/>
  <c r="F70" i="29"/>
  <c r="G70" i="29"/>
  <c r="E70" i="29"/>
  <c r="H70" i="29"/>
  <c r="A71" i="29"/>
  <c r="C71" i="29"/>
  <c r="D71" i="29"/>
  <c r="F71" i="29"/>
  <c r="G71" i="29"/>
  <c r="E71" i="29"/>
  <c r="H71" i="29"/>
  <c r="A72" i="29"/>
  <c r="C72" i="29"/>
  <c r="D72" i="29"/>
  <c r="F72" i="29"/>
  <c r="G72" i="29"/>
  <c r="E72" i="29"/>
  <c r="H72" i="29"/>
  <c r="A73" i="29"/>
  <c r="C73" i="29"/>
  <c r="D73" i="29"/>
  <c r="F73" i="29"/>
  <c r="G73" i="29"/>
  <c r="E73" i="29"/>
  <c r="H73" i="29"/>
  <c r="F23" i="29"/>
  <c r="G23" i="29"/>
  <c r="E23" i="29"/>
  <c r="F29" i="29"/>
  <c r="G29" i="29"/>
  <c r="E29" i="29"/>
  <c r="F44" i="29"/>
  <c r="G44" i="29"/>
  <c r="E44" i="29"/>
  <c r="F46" i="29"/>
  <c r="G46" i="29"/>
  <c r="E46" i="29"/>
  <c r="F53" i="29"/>
  <c r="G53" i="29"/>
  <c r="E53" i="29"/>
  <c r="F54" i="29"/>
  <c r="G54" i="29"/>
  <c r="E54" i="29"/>
  <c r="F57" i="29"/>
  <c r="G57" i="29"/>
  <c r="E57" i="29"/>
  <c r="A2" i="29"/>
  <c r="C2" i="7"/>
  <c r="C2" i="29"/>
  <c r="E2" i="7"/>
  <c r="D2" i="29"/>
  <c r="F2" i="29"/>
  <c r="G2" i="29"/>
  <c r="E2" i="29"/>
  <c r="H2" i="29"/>
  <c r="D23" i="29"/>
  <c r="D29" i="29"/>
  <c r="E44" i="7"/>
  <c r="D44" i="29"/>
  <c r="D46" i="29"/>
  <c r="E53" i="7"/>
  <c r="D53" i="29"/>
  <c r="E54" i="7"/>
  <c r="D54" i="29"/>
  <c r="E57" i="7"/>
  <c r="D57" i="29"/>
  <c r="C23" i="29"/>
  <c r="C29" i="29"/>
  <c r="C44" i="7"/>
  <c r="C44" i="29"/>
  <c r="C46" i="29"/>
  <c r="C53" i="7"/>
  <c r="C53" i="29"/>
  <c r="C54" i="7"/>
  <c r="C54" i="29"/>
  <c r="C57" i="7"/>
  <c r="C57" i="29"/>
  <c r="G153" i="19"/>
  <c r="G152" i="19"/>
  <c r="G118" i="19"/>
  <c r="G119" i="19"/>
  <c r="G120" i="19"/>
  <c r="G115" i="19"/>
  <c r="G116" i="19"/>
  <c r="G117" i="19"/>
  <c r="G114" i="19"/>
  <c r="G100" i="19"/>
  <c r="G92" i="19"/>
  <c r="G93" i="19"/>
  <c r="G91" i="19"/>
  <c r="G71" i="19"/>
  <c r="G70" i="19"/>
  <c r="G40" i="19"/>
  <c r="G172" i="16"/>
  <c r="G173" i="16"/>
  <c r="G174" i="16"/>
  <c r="G175" i="16"/>
  <c r="G171" i="16"/>
  <c r="K71"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K177" i="16"/>
  <c r="K178" i="16"/>
  <c r="K179" i="16"/>
  <c r="K180" i="16"/>
  <c r="K181" i="16"/>
  <c r="K182" i="16"/>
  <c r="K183" i="16"/>
  <c r="K184" i="16"/>
  <c r="K185" i="16"/>
  <c r="K186" i="16"/>
  <c r="K187" i="16"/>
  <c r="K188" i="16"/>
  <c r="K189" i="16"/>
  <c r="K190" i="16"/>
  <c r="K191" i="16"/>
  <c r="K192" i="16"/>
  <c r="K193" i="16"/>
  <c r="K194" i="16"/>
  <c r="K195" i="16"/>
  <c r="K196" i="16"/>
  <c r="K197" i="16"/>
  <c r="K198" i="16"/>
  <c r="K199" i="16"/>
  <c r="K200" i="16"/>
  <c r="K201" i="16"/>
  <c r="K202" i="16"/>
  <c r="K203" i="16"/>
  <c r="K204" i="16"/>
  <c r="K205" i="16"/>
  <c r="K206" i="16"/>
  <c r="K207" i="16"/>
  <c r="K208" i="16"/>
  <c r="K209" i="16"/>
  <c r="K210" i="16"/>
  <c r="K211" i="16"/>
  <c r="K212" i="16"/>
  <c r="K213" i="16"/>
  <c r="K214" i="16"/>
  <c r="K215" i="16"/>
  <c r="K216" i="16"/>
  <c r="K217" i="16"/>
  <c r="K218" i="16"/>
  <c r="K219" i="16"/>
  <c r="K220" i="16"/>
  <c r="K221" i="16"/>
  <c r="K222" i="16"/>
  <c r="K223" i="16"/>
  <c r="K224" i="16"/>
  <c r="K225" i="16"/>
  <c r="K226" i="16"/>
  <c r="K227" i="16"/>
  <c r="K228" i="16"/>
  <c r="K229" i="16"/>
  <c r="K230" i="16"/>
  <c r="K231" i="16"/>
  <c r="K232" i="16"/>
  <c r="K233" i="16"/>
  <c r="K234" i="16"/>
  <c r="K235" i="16"/>
  <c r="K236" i="16"/>
  <c r="K237" i="16"/>
  <c r="K238" i="16"/>
  <c r="K239" i="16"/>
  <c r="K240" i="16"/>
  <c r="K241" i="16"/>
  <c r="K242" i="16"/>
  <c r="K243" i="16"/>
  <c r="K244" i="16"/>
  <c r="K245" i="16"/>
  <c r="K246" i="16"/>
  <c r="K247" i="16"/>
  <c r="K248" i="16"/>
  <c r="K249" i="16"/>
  <c r="K250" i="16"/>
  <c r="K251" i="16"/>
  <c r="K252" i="16"/>
  <c r="K253" i="16"/>
  <c r="K254" i="16"/>
  <c r="K255" i="16"/>
  <c r="K256" i="16"/>
  <c r="K257" i="16"/>
  <c r="K258" i="16"/>
  <c r="K259" i="16"/>
  <c r="K260" i="16"/>
  <c r="K261" i="16"/>
  <c r="K262" i="16"/>
  <c r="K263" i="16"/>
  <c r="K264" i="16"/>
  <c r="K265" i="16"/>
  <c r="K266" i="16"/>
  <c r="K267" i="16"/>
  <c r="K268" i="16"/>
  <c r="K269" i="16"/>
  <c r="K270" i="16"/>
  <c r="K271" i="16"/>
  <c r="K272" i="16"/>
  <c r="K273" i="16"/>
  <c r="K274" i="16"/>
  <c r="K275" i="16"/>
  <c r="K276" i="16"/>
  <c r="K277" i="16"/>
  <c r="K278" i="16"/>
  <c r="K279" i="16"/>
  <c r="K280" i="16"/>
  <c r="K281" i="16"/>
  <c r="K282" i="16"/>
  <c r="K283" i="16"/>
  <c r="K284" i="16"/>
  <c r="K285" i="16"/>
  <c r="K286" i="16"/>
  <c r="K287" i="16"/>
  <c r="K288" i="16"/>
  <c r="K289" i="16"/>
  <c r="K290" i="16"/>
  <c r="K291" i="16"/>
  <c r="K292" i="16"/>
  <c r="K293" i="16"/>
  <c r="K294" i="16"/>
  <c r="K295" i="16"/>
  <c r="K296" i="16"/>
  <c r="K297" i="16"/>
  <c r="K298" i="16"/>
  <c r="K299" i="16"/>
  <c r="K300" i="16"/>
  <c r="K301" i="16"/>
  <c r="K302" i="16"/>
  <c r="K303" i="16"/>
  <c r="K304" i="16"/>
  <c r="K305" i="16"/>
  <c r="K306" i="16"/>
  <c r="K307" i="16"/>
  <c r="K308" i="16"/>
  <c r="K309" i="16"/>
  <c r="K310" i="16"/>
  <c r="K311" i="16"/>
  <c r="K312" i="16"/>
  <c r="K313" i="16"/>
  <c r="K314" i="16"/>
  <c r="K315" i="16"/>
  <c r="K316" i="16"/>
  <c r="K317" i="16"/>
  <c r="K318" i="16"/>
  <c r="K319" i="16"/>
  <c r="K320" i="16"/>
  <c r="K321" i="16"/>
  <c r="K322" i="16"/>
  <c r="K323" i="16"/>
  <c r="K324" i="16"/>
  <c r="K325" i="16"/>
  <c r="K326" i="16"/>
  <c r="K327" i="16"/>
  <c r="K330" i="16"/>
  <c r="K331" i="16"/>
  <c r="K332" i="16"/>
  <c r="K333" i="16"/>
  <c r="K334" i="16"/>
  <c r="K335" i="16"/>
  <c r="K336" i="16"/>
  <c r="K337" i="16"/>
  <c r="K338" i="16"/>
  <c r="K339" i="16"/>
  <c r="K340" i="16"/>
  <c r="K341" i="16"/>
  <c r="K342" i="16"/>
  <c r="K343" i="16"/>
  <c r="K344" i="16"/>
  <c r="K345" i="16"/>
  <c r="K346" i="16"/>
  <c r="K347" i="16"/>
  <c r="K348" i="16"/>
  <c r="K349" i="16"/>
  <c r="K350" i="16"/>
  <c r="K351" i="16"/>
  <c r="K352" i="16"/>
  <c r="K353" i="16"/>
  <c r="K354" i="16"/>
  <c r="K355" i="16"/>
  <c r="K356" i="16"/>
  <c r="K357" i="16"/>
  <c r="K358" i="16"/>
  <c r="K359" i="16"/>
  <c r="K360" i="16"/>
  <c r="K361" i="16"/>
  <c r="K362" i="16"/>
  <c r="K363" i="16"/>
  <c r="K364" i="16"/>
  <c r="K365" i="16"/>
  <c r="K366" i="16"/>
  <c r="K367" i="16"/>
  <c r="K368" i="16"/>
  <c r="K369" i="16"/>
  <c r="K370" i="16"/>
  <c r="K371" i="16"/>
  <c r="K372" i="16"/>
  <c r="K373" i="16"/>
  <c r="K374" i="16"/>
  <c r="K375" i="16"/>
  <c r="K376" i="16"/>
  <c r="K377" i="16"/>
  <c r="K378" i="16"/>
  <c r="K379" i="16"/>
  <c r="K380" i="16"/>
  <c r="K381" i="16"/>
  <c r="K2" i="16"/>
  <c r="G65" i="28"/>
  <c r="G64" i="28"/>
  <c r="G59" i="28"/>
  <c r="G57" i="28"/>
  <c r="G53" i="28"/>
  <c r="G52" i="28"/>
  <c r="G50" i="28"/>
  <c r="G49" i="28"/>
  <c r="G46" i="28"/>
  <c r="G41" i="28"/>
  <c r="G36" i="28"/>
  <c r="G35" i="28"/>
  <c r="J64" i="28"/>
  <c r="J65" i="28"/>
  <c r="K65" i="28"/>
  <c r="K64" i="28"/>
  <c r="K60" i="28"/>
  <c r="K61" i="28"/>
  <c r="K62" i="28"/>
  <c r="K63" i="28"/>
  <c r="K66" i="28"/>
  <c r="K67" i="28"/>
  <c r="K68" i="28"/>
  <c r="K69" i="28"/>
  <c r="K70" i="28"/>
  <c r="K71" i="28"/>
  <c r="K72" i="28"/>
  <c r="K73" i="28"/>
  <c r="K74" i="28"/>
  <c r="K75" i="28"/>
  <c r="K76" i="28"/>
  <c r="K77" i="28"/>
  <c r="K59" i="28"/>
  <c r="K58" i="28"/>
  <c r="J59" i="28"/>
  <c r="J58" i="28"/>
  <c r="J57" i="28"/>
  <c r="J56" i="28"/>
  <c r="K57" i="28"/>
  <c r="C3" i="27"/>
  <c r="G3" i="27"/>
  <c r="C4" i="27"/>
  <c r="G4" i="27"/>
  <c r="C5" i="27"/>
  <c r="G5" i="27"/>
  <c r="C6" i="27"/>
  <c r="G6" i="27"/>
  <c r="C7" i="27"/>
  <c r="G7" i="27"/>
  <c r="C8" i="27"/>
  <c r="G8" i="27"/>
  <c r="C9" i="27"/>
  <c r="G9" i="27"/>
  <c r="C10" i="27"/>
  <c r="G10" i="27"/>
  <c r="C11" i="27"/>
  <c r="G11" i="27"/>
  <c r="C12" i="27"/>
  <c r="G12" i="27"/>
  <c r="C13" i="27"/>
  <c r="G13" i="27"/>
  <c r="C14" i="27"/>
  <c r="G14" i="27"/>
  <c r="C15" i="27"/>
  <c r="G15" i="27"/>
  <c r="C16" i="27"/>
  <c r="G16" i="27"/>
  <c r="C17" i="27"/>
  <c r="G17" i="27"/>
  <c r="C18" i="27"/>
  <c r="G18" i="27"/>
  <c r="C19" i="27"/>
  <c r="G19" i="27"/>
  <c r="C20" i="27"/>
  <c r="G20" i="27"/>
  <c r="C21" i="27"/>
  <c r="G21" i="27"/>
  <c r="C22" i="27"/>
  <c r="G22" i="27"/>
  <c r="C23" i="27"/>
  <c r="G23" i="27"/>
  <c r="C24" i="27"/>
  <c r="G24" i="27"/>
  <c r="C25" i="27"/>
  <c r="G25" i="27"/>
  <c r="C26" i="27"/>
  <c r="G26" i="27"/>
  <c r="C27" i="27"/>
  <c r="G27" i="27"/>
  <c r="C28" i="27"/>
  <c r="G28" i="27"/>
  <c r="C29" i="27"/>
  <c r="G29" i="27"/>
  <c r="C30" i="27"/>
  <c r="G30" i="27"/>
  <c r="C31" i="27"/>
  <c r="G31" i="27"/>
  <c r="C32" i="27"/>
  <c r="G32" i="27"/>
  <c r="C33" i="27"/>
  <c r="G33" i="27"/>
  <c r="C34" i="27"/>
  <c r="G34" i="27"/>
  <c r="C35" i="27"/>
  <c r="G35" i="27"/>
  <c r="C36" i="27"/>
  <c r="G36" i="27"/>
  <c r="C37" i="27"/>
  <c r="G37" i="27"/>
  <c r="C38" i="27"/>
  <c r="G38" i="27"/>
  <c r="C39" i="27"/>
  <c r="G39" i="27"/>
  <c r="C40" i="27"/>
  <c r="G40" i="27"/>
  <c r="C41" i="27"/>
  <c r="G41" i="27"/>
  <c r="C42" i="27"/>
  <c r="G42" i="27"/>
  <c r="C43" i="27"/>
  <c r="G43" i="27"/>
  <c r="C44" i="27"/>
  <c r="G44" i="27"/>
  <c r="C45" i="27"/>
  <c r="G45" i="27"/>
  <c r="C46" i="27"/>
  <c r="G46" i="27"/>
  <c r="C47" i="27"/>
  <c r="G47" i="27"/>
  <c r="C48" i="27"/>
  <c r="G48" i="27"/>
  <c r="C49" i="27"/>
  <c r="G49" i="27"/>
  <c r="C50" i="27"/>
  <c r="G50" i="27"/>
  <c r="C51" i="27"/>
  <c r="G51" i="27"/>
  <c r="C52" i="27"/>
  <c r="G52" i="27"/>
  <c r="C53" i="27"/>
  <c r="G53" i="27"/>
  <c r="C54" i="27"/>
  <c r="G54" i="27"/>
  <c r="C55" i="27"/>
  <c r="G55" i="27"/>
  <c r="C56" i="27"/>
  <c r="G56" i="27"/>
  <c r="C57" i="27"/>
  <c r="G57" i="27"/>
  <c r="C58" i="27"/>
  <c r="G58" i="27"/>
  <c r="C59" i="27"/>
  <c r="G59" i="27"/>
  <c r="C60" i="27"/>
  <c r="G60" i="27"/>
  <c r="C61" i="27"/>
  <c r="G61" i="27"/>
  <c r="C62" i="27"/>
  <c r="G62" i="27"/>
  <c r="C63" i="27"/>
  <c r="G63" i="27"/>
  <c r="C64" i="27"/>
  <c r="G64" i="27"/>
  <c r="C65" i="27"/>
  <c r="G65" i="27"/>
  <c r="D3" i="27"/>
  <c r="F3" i="27"/>
  <c r="D4" i="27"/>
  <c r="F4" i="27"/>
  <c r="D5" i="27"/>
  <c r="F5" i="27"/>
  <c r="D6" i="27"/>
  <c r="F6" i="27"/>
  <c r="D7" i="27"/>
  <c r="F7" i="27"/>
  <c r="D8" i="27"/>
  <c r="F8" i="27"/>
  <c r="D9" i="27"/>
  <c r="F9" i="27"/>
  <c r="D10" i="27"/>
  <c r="F10" i="27"/>
  <c r="D11" i="27"/>
  <c r="F11" i="27"/>
  <c r="D12" i="27"/>
  <c r="F12" i="27"/>
  <c r="D13" i="27"/>
  <c r="F13" i="27"/>
  <c r="D14" i="27"/>
  <c r="F14" i="27"/>
  <c r="D15" i="27"/>
  <c r="F15" i="27"/>
  <c r="D16" i="27"/>
  <c r="F16" i="27"/>
  <c r="D17" i="27"/>
  <c r="F17" i="27"/>
  <c r="D18" i="27"/>
  <c r="F18" i="27"/>
  <c r="D19" i="27"/>
  <c r="F19" i="27"/>
  <c r="D20" i="27"/>
  <c r="F20" i="27"/>
  <c r="D21" i="27"/>
  <c r="F21" i="27"/>
  <c r="D22" i="27"/>
  <c r="F22" i="27"/>
  <c r="D23" i="27"/>
  <c r="F23" i="27"/>
  <c r="D24" i="27"/>
  <c r="F24" i="27"/>
  <c r="D25" i="27"/>
  <c r="F25" i="27"/>
  <c r="D26" i="27"/>
  <c r="F26" i="27"/>
  <c r="D27" i="27"/>
  <c r="F27" i="27"/>
  <c r="D28" i="27"/>
  <c r="F28" i="27"/>
  <c r="D29" i="27"/>
  <c r="F29" i="27"/>
  <c r="D30" i="27"/>
  <c r="F30" i="27"/>
  <c r="D31" i="27"/>
  <c r="F31" i="27"/>
  <c r="D32" i="27"/>
  <c r="F32" i="27"/>
  <c r="D33" i="27"/>
  <c r="F33" i="27"/>
  <c r="D34" i="27"/>
  <c r="F34" i="27"/>
  <c r="D35" i="27"/>
  <c r="F35" i="27"/>
  <c r="D36" i="27"/>
  <c r="F36" i="27"/>
  <c r="D37" i="27"/>
  <c r="F37" i="27"/>
  <c r="D38" i="27"/>
  <c r="F38" i="27"/>
  <c r="D39" i="27"/>
  <c r="F39" i="27"/>
  <c r="D40" i="27"/>
  <c r="F40" i="27"/>
  <c r="D41" i="27"/>
  <c r="F41" i="27"/>
  <c r="D42" i="27"/>
  <c r="F42" i="27"/>
  <c r="D43" i="27"/>
  <c r="F43" i="27"/>
  <c r="D44" i="27"/>
  <c r="F44" i="27"/>
  <c r="D45" i="27"/>
  <c r="F45" i="27"/>
  <c r="D46" i="27"/>
  <c r="F46" i="27"/>
  <c r="D47" i="27"/>
  <c r="F47" i="27"/>
  <c r="D48" i="27"/>
  <c r="F48" i="27"/>
  <c r="D49" i="27"/>
  <c r="F49" i="27"/>
  <c r="D50" i="27"/>
  <c r="F50" i="27"/>
  <c r="D51" i="27"/>
  <c r="F51" i="27"/>
  <c r="D52" i="27"/>
  <c r="F52" i="27"/>
  <c r="D53" i="27"/>
  <c r="F53" i="27"/>
  <c r="D54" i="27"/>
  <c r="F54" i="27"/>
  <c r="D55" i="27"/>
  <c r="F55" i="27"/>
  <c r="D56" i="27"/>
  <c r="F56" i="27"/>
  <c r="D57" i="27"/>
  <c r="F57" i="27"/>
  <c r="D58" i="27"/>
  <c r="F58" i="27"/>
  <c r="D59" i="27"/>
  <c r="F59" i="27"/>
  <c r="D60" i="27"/>
  <c r="F60" i="27"/>
  <c r="D61" i="27"/>
  <c r="F61" i="27"/>
  <c r="D62" i="27"/>
  <c r="F62" i="27"/>
  <c r="D63" i="27"/>
  <c r="F63" i="27"/>
  <c r="D64" i="27"/>
  <c r="F64" i="27"/>
  <c r="D65" i="27"/>
  <c r="F65" i="27"/>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J52" i="28"/>
  <c r="J53" i="28"/>
  <c r="J51" i="28"/>
  <c r="K53" i="28"/>
  <c r="K52" i="28"/>
  <c r="K50" i="28"/>
  <c r="K49" i="28"/>
  <c r="J54" i="28"/>
  <c r="J55" i="28"/>
  <c r="J60" i="28"/>
  <c r="J61" i="28"/>
  <c r="J62" i="28"/>
  <c r="J63" i="28"/>
  <c r="J66" i="28"/>
  <c r="J67" i="28"/>
  <c r="J68" i="28"/>
  <c r="J69" i="28"/>
  <c r="J70" i="28"/>
  <c r="J71" i="28"/>
  <c r="J72" i="28"/>
  <c r="J73" i="28"/>
  <c r="J74" i="28"/>
  <c r="J75" i="28"/>
  <c r="J76" i="28"/>
  <c r="J77" i="28"/>
  <c r="J49" i="28"/>
  <c r="J50" i="28"/>
  <c r="J44" i="28"/>
  <c r="J45" i="28"/>
  <c r="J46" i="28"/>
  <c r="J47" i="28"/>
  <c r="J48" i="28"/>
  <c r="K47" i="28"/>
  <c r="K48" i="28"/>
  <c r="K51" i="28"/>
  <c r="K54" i="28"/>
  <c r="K55" i="28"/>
  <c r="K56" i="28"/>
  <c r="K46" i="28"/>
  <c r="K43" i="28"/>
  <c r="K44" i="28"/>
  <c r="K45" i="28"/>
  <c r="K42" i="28"/>
  <c r="K40" i="28"/>
  <c r="J40" i="28"/>
  <c r="J35" i="28"/>
  <c r="J36" i="28"/>
  <c r="K36" i="28"/>
  <c r="K35" i="28"/>
  <c r="K3" i="28"/>
  <c r="K4" i="28"/>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7" i="28"/>
  <c r="K38" i="28"/>
  <c r="K39" i="28"/>
  <c r="K41" i="28"/>
  <c r="K2" i="28"/>
  <c r="J3" i="28"/>
  <c r="J4" i="28"/>
  <c r="J5" i="28"/>
  <c r="J6" i="28"/>
  <c r="J7" i="28"/>
  <c r="J8" i="28"/>
  <c r="J9" i="28"/>
  <c r="J10" i="28"/>
  <c r="J11" i="28"/>
  <c r="J12" i="28"/>
  <c r="J13" i="28"/>
  <c r="J14" i="28"/>
  <c r="J15" i="28"/>
  <c r="J16" i="28"/>
  <c r="J17" i="28"/>
  <c r="J18" i="28"/>
  <c r="J19" i="28"/>
  <c r="J20" i="28"/>
  <c r="J21" i="28"/>
  <c r="J22" i="28"/>
  <c r="J23" i="28"/>
  <c r="J24" i="28"/>
  <c r="J25" i="28"/>
  <c r="J26" i="28"/>
  <c r="J27" i="28"/>
  <c r="J28" i="28"/>
  <c r="J29" i="28"/>
  <c r="J30" i="28"/>
  <c r="J31" i="28"/>
  <c r="J32" i="28"/>
  <c r="J33" i="28"/>
  <c r="J34" i="28"/>
  <c r="J37" i="28"/>
  <c r="J38" i="28"/>
  <c r="J39" i="28"/>
  <c r="J41" i="28"/>
  <c r="J42" i="28"/>
  <c r="J43" i="28"/>
  <c r="J2" i="28"/>
  <c r="C2" i="27"/>
  <c r="G2" i="27"/>
  <c r="D2" i="27"/>
  <c r="F2" i="27"/>
  <c r="E2" i="27"/>
  <c r="J153" i="16"/>
  <c r="K258" i="24"/>
  <c r="J240" i="24"/>
  <c r="K240" i="24"/>
  <c r="J212" i="24"/>
  <c r="K212" i="24"/>
  <c r="J182" i="24"/>
  <c r="K182" i="24"/>
  <c r="D173" i="23"/>
  <c r="C173" i="23"/>
  <c r="F173" i="23"/>
  <c r="D174" i="23"/>
  <c r="C174" i="23"/>
  <c r="F174" i="23"/>
  <c r="D175" i="23"/>
  <c r="C175" i="23"/>
  <c r="F175" i="23"/>
  <c r="D176" i="23"/>
  <c r="C176" i="23"/>
  <c r="F176" i="23"/>
  <c r="D177" i="23"/>
  <c r="C177" i="23"/>
  <c r="F177" i="23"/>
  <c r="D178" i="23"/>
  <c r="C178" i="23"/>
  <c r="F178" i="23"/>
  <c r="D179" i="23"/>
  <c r="C179" i="23"/>
  <c r="F179" i="23"/>
  <c r="D180" i="23"/>
  <c r="C180" i="23"/>
  <c r="F180" i="23"/>
  <c r="D181" i="23"/>
  <c r="C181" i="23"/>
  <c r="F181" i="23"/>
  <c r="D182" i="23"/>
  <c r="C182" i="23"/>
  <c r="F182" i="23"/>
  <c r="D183" i="23"/>
  <c r="C183" i="23"/>
  <c r="F183" i="23"/>
  <c r="C184" i="23"/>
  <c r="D184" i="23"/>
  <c r="F184" i="23"/>
  <c r="D185" i="23"/>
  <c r="C185" i="23"/>
  <c r="F185" i="23"/>
  <c r="C186" i="23"/>
  <c r="D186" i="23"/>
  <c r="F186" i="23"/>
  <c r="D187" i="23"/>
  <c r="C187" i="23"/>
  <c r="F187" i="23"/>
  <c r="D188" i="23"/>
  <c r="C188" i="23"/>
  <c r="F188" i="23"/>
  <c r="C189" i="23"/>
  <c r="D189" i="23"/>
  <c r="F189" i="23"/>
  <c r="D190" i="23"/>
  <c r="C190" i="23"/>
  <c r="F190" i="23"/>
  <c r="D191" i="23"/>
  <c r="C191" i="23"/>
  <c r="F191" i="23"/>
  <c r="C192" i="23"/>
  <c r="D192" i="23"/>
  <c r="F192" i="23"/>
  <c r="C193" i="23"/>
  <c r="D193" i="23"/>
  <c r="F193" i="23"/>
  <c r="D194" i="23"/>
  <c r="C194" i="23"/>
  <c r="F194" i="23"/>
  <c r="D195" i="23"/>
  <c r="C195" i="23"/>
  <c r="F195" i="23"/>
  <c r="D196" i="23"/>
  <c r="C196" i="23"/>
  <c r="F196" i="23"/>
  <c r="D197" i="23"/>
  <c r="C197" i="23"/>
  <c r="F197" i="23"/>
  <c r="D198" i="23"/>
  <c r="C198" i="23"/>
  <c r="F198" i="23"/>
  <c r="D199" i="23"/>
  <c r="C199" i="23"/>
  <c r="F199" i="23"/>
  <c r="D200" i="23"/>
  <c r="C200" i="23"/>
  <c r="F200" i="23"/>
  <c r="D201" i="23"/>
  <c r="C201" i="23"/>
  <c r="F201" i="23"/>
  <c r="D202" i="23"/>
  <c r="C202" i="23"/>
  <c r="F202" i="23"/>
  <c r="D203" i="23"/>
  <c r="C203" i="23"/>
  <c r="F203" i="23"/>
  <c r="D204" i="23"/>
  <c r="C204" i="23"/>
  <c r="F204" i="23"/>
  <c r="D205" i="23"/>
  <c r="C205" i="23"/>
  <c r="F205" i="23"/>
  <c r="D206" i="23"/>
  <c r="C206" i="23"/>
  <c r="F206" i="23"/>
  <c r="D207" i="23"/>
  <c r="C207" i="23"/>
  <c r="F207" i="23"/>
  <c r="D208" i="23"/>
  <c r="C208" i="23"/>
  <c r="F208" i="23"/>
  <c r="D209" i="23"/>
  <c r="C209" i="23"/>
  <c r="F209" i="23"/>
  <c r="C210" i="23"/>
  <c r="D210" i="23"/>
  <c r="F210" i="23"/>
  <c r="C211" i="23"/>
  <c r="D211" i="23"/>
  <c r="F211" i="23"/>
  <c r="D212" i="23"/>
  <c r="C212" i="23"/>
  <c r="F212" i="23"/>
  <c r="D213" i="23"/>
  <c r="C213" i="23"/>
  <c r="F213" i="23"/>
  <c r="D214" i="23"/>
  <c r="C214" i="23"/>
  <c r="F214" i="23"/>
  <c r="D215" i="23"/>
  <c r="C215" i="23"/>
  <c r="F215" i="23"/>
  <c r="D216" i="23"/>
  <c r="C216" i="23"/>
  <c r="F216" i="23"/>
  <c r="D217" i="23"/>
  <c r="C217" i="23"/>
  <c r="F217" i="23"/>
  <c r="D218" i="23"/>
  <c r="C218" i="23"/>
  <c r="F218" i="23"/>
  <c r="D219" i="23"/>
  <c r="C219" i="23"/>
  <c r="F219" i="23"/>
  <c r="C220" i="23"/>
  <c r="D220" i="23"/>
  <c r="F220" i="23"/>
  <c r="D221" i="23"/>
  <c r="C221" i="23"/>
  <c r="F221" i="23"/>
  <c r="D222" i="23"/>
  <c r="C222" i="23"/>
  <c r="F222" i="23"/>
  <c r="D223" i="23"/>
  <c r="C223" i="23"/>
  <c r="F223" i="23"/>
  <c r="D224" i="23"/>
  <c r="C224" i="23"/>
  <c r="F224" i="23"/>
  <c r="D225" i="23"/>
  <c r="C225" i="23"/>
  <c r="F225" i="23"/>
  <c r="D226" i="23"/>
  <c r="C226" i="23"/>
  <c r="F226" i="23"/>
  <c r="D227" i="23"/>
  <c r="C227" i="23"/>
  <c r="F227" i="23"/>
  <c r="D228" i="23"/>
  <c r="C228" i="23"/>
  <c r="F228" i="23"/>
  <c r="D229" i="23"/>
  <c r="C229" i="23"/>
  <c r="F229" i="23"/>
  <c r="C230" i="23"/>
  <c r="D230" i="23"/>
  <c r="F230" i="23"/>
  <c r="C231" i="23"/>
  <c r="D231" i="23"/>
  <c r="F231" i="23"/>
  <c r="C232" i="23"/>
  <c r="D232" i="23"/>
  <c r="F232" i="23"/>
  <c r="C233" i="23"/>
  <c r="D233" i="23"/>
  <c r="F233" i="23"/>
  <c r="C234" i="23"/>
  <c r="D234" i="23"/>
  <c r="F234" i="23"/>
  <c r="C235" i="23"/>
  <c r="D235" i="23"/>
  <c r="F235" i="23"/>
  <c r="C236" i="23"/>
  <c r="D236" i="23"/>
  <c r="F236" i="23"/>
  <c r="C237" i="23"/>
  <c r="D237" i="23"/>
  <c r="F237" i="23"/>
  <c r="C238" i="23"/>
  <c r="D238" i="23"/>
  <c r="F238" i="23"/>
  <c r="C239" i="23"/>
  <c r="D239" i="23"/>
  <c r="F239" i="23"/>
  <c r="C240" i="23"/>
  <c r="D240" i="23"/>
  <c r="F240" i="23"/>
  <c r="C241" i="23"/>
  <c r="D241" i="23"/>
  <c r="F241" i="23"/>
  <c r="C242" i="23"/>
  <c r="D242" i="23"/>
  <c r="F242" i="23"/>
  <c r="C243" i="23"/>
  <c r="D243" i="23"/>
  <c r="F243" i="23"/>
  <c r="C244" i="23"/>
  <c r="D244" i="23"/>
  <c r="F244" i="23"/>
  <c r="C245" i="23"/>
  <c r="D245" i="23"/>
  <c r="F245" i="23"/>
  <c r="C246" i="23"/>
  <c r="D246" i="23"/>
  <c r="F246" i="23"/>
  <c r="C247" i="23"/>
  <c r="D247" i="23"/>
  <c r="F247" i="23"/>
  <c r="C248" i="23"/>
  <c r="D248" i="23"/>
  <c r="F248" i="23"/>
  <c r="C249" i="23"/>
  <c r="D249" i="23"/>
  <c r="F249" i="23"/>
  <c r="C250" i="23"/>
  <c r="D250" i="23"/>
  <c r="F250" i="23"/>
  <c r="C251" i="23"/>
  <c r="D251" i="23"/>
  <c r="F251" i="23"/>
  <c r="C252" i="23"/>
  <c r="D252" i="23"/>
  <c r="F252" i="23"/>
  <c r="C253" i="23"/>
  <c r="D253" i="23"/>
  <c r="F253" i="23"/>
  <c r="C254" i="23"/>
  <c r="D254" i="23"/>
  <c r="F254" i="23"/>
  <c r="C255" i="23"/>
  <c r="D255" i="23"/>
  <c r="F255" i="23"/>
  <c r="C256" i="23"/>
  <c r="D256" i="23"/>
  <c r="F256" i="23"/>
  <c r="C257" i="23"/>
  <c r="D257" i="23"/>
  <c r="F257"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212" i="23"/>
  <c r="E213" i="23"/>
  <c r="E214" i="23"/>
  <c r="E215" i="23"/>
  <c r="E216" i="23"/>
  <c r="E217" i="23"/>
  <c r="E218" i="23"/>
  <c r="E219" i="23"/>
  <c r="E220" i="23"/>
  <c r="E221" i="23"/>
  <c r="E222" i="23"/>
  <c r="E223" i="23"/>
  <c r="E224" i="23"/>
  <c r="E225" i="23"/>
  <c r="E226" i="23"/>
  <c r="E227" i="23"/>
  <c r="E228" i="23"/>
  <c r="E229" i="23"/>
  <c r="E230" i="23"/>
  <c r="E231" i="23"/>
  <c r="E232" i="23"/>
  <c r="E233" i="23"/>
  <c r="E234" i="23"/>
  <c r="E235" i="23"/>
  <c r="E236" i="23"/>
  <c r="E237" i="23"/>
  <c r="E238" i="23"/>
  <c r="E239" i="23"/>
  <c r="E240" i="23"/>
  <c r="E241" i="23"/>
  <c r="E242" i="23"/>
  <c r="E243" i="23"/>
  <c r="E244" i="23"/>
  <c r="E245" i="23"/>
  <c r="E246" i="23"/>
  <c r="E247" i="23"/>
  <c r="E248" i="23"/>
  <c r="E249" i="23"/>
  <c r="E250" i="23"/>
  <c r="E251" i="23"/>
  <c r="E252" i="23"/>
  <c r="E253" i="23"/>
  <c r="E254" i="23"/>
  <c r="E255" i="23"/>
  <c r="E256" i="23"/>
  <c r="E257" i="23"/>
  <c r="D171" i="23"/>
  <c r="D172" i="23"/>
  <c r="D170" i="23"/>
  <c r="J183" i="24"/>
  <c r="K183" i="24"/>
  <c r="K178" i="24"/>
  <c r="K179" i="24"/>
  <c r="K184" i="24"/>
  <c r="K185" i="24"/>
  <c r="K180" i="24"/>
  <c r="K181"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1" i="24"/>
  <c r="K242" i="24"/>
  <c r="K243" i="24"/>
  <c r="K244" i="24"/>
  <c r="K245" i="24"/>
  <c r="K246" i="24"/>
  <c r="K247" i="24"/>
  <c r="K248" i="24"/>
  <c r="K249" i="24"/>
  <c r="K250" i="24"/>
  <c r="K251" i="24"/>
  <c r="K252" i="24"/>
  <c r="K253" i="24"/>
  <c r="K254" i="24"/>
  <c r="K255" i="24"/>
  <c r="K256" i="24"/>
  <c r="K257" i="24"/>
  <c r="K259" i="24"/>
  <c r="K260" i="24"/>
  <c r="K261" i="24"/>
  <c r="K262" i="24"/>
  <c r="J175" i="24"/>
  <c r="J176" i="24"/>
  <c r="J177" i="24"/>
  <c r="K175" i="24"/>
  <c r="K166" i="24"/>
  <c r="K167" i="24"/>
  <c r="K168" i="24"/>
  <c r="K169" i="24"/>
  <c r="K170" i="24"/>
  <c r="K171" i="24"/>
  <c r="K172" i="24"/>
  <c r="K173" i="24"/>
  <c r="K174" i="24"/>
  <c r="K176" i="24"/>
  <c r="K163" i="24"/>
  <c r="K164" i="24"/>
  <c r="K165" i="24"/>
  <c r="K162" i="24"/>
  <c r="J162" i="24"/>
  <c r="J163" i="24"/>
  <c r="C160" i="23"/>
  <c r="C161" i="23"/>
  <c r="C162" i="23"/>
  <c r="C163" i="23"/>
  <c r="C164" i="23"/>
  <c r="C165" i="23"/>
  <c r="C166" i="23"/>
  <c r="C167" i="23"/>
  <c r="C168" i="23"/>
  <c r="C169" i="23"/>
  <c r="C170" i="23"/>
  <c r="C171" i="23"/>
  <c r="C172" i="23"/>
  <c r="D161" i="23"/>
  <c r="F161" i="23"/>
  <c r="D162" i="23"/>
  <c r="F162" i="23"/>
  <c r="D163" i="23"/>
  <c r="F163" i="23"/>
  <c r="D164" i="23"/>
  <c r="F164" i="23"/>
  <c r="D165" i="23"/>
  <c r="F165" i="23"/>
  <c r="D166" i="23"/>
  <c r="F166" i="23"/>
  <c r="D167" i="23"/>
  <c r="F167" i="23"/>
  <c r="D168" i="23"/>
  <c r="F168" i="23"/>
  <c r="D169" i="23"/>
  <c r="F169" i="23"/>
  <c r="F170" i="23"/>
  <c r="F171" i="23"/>
  <c r="F172" i="23"/>
  <c r="G160" i="23"/>
  <c r="G161" i="23"/>
  <c r="G162" i="23"/>
  <c r="G163" i="23"/>
  <c r="G164" i="23"/>
  <c r="G165" i="23"/>
  <c r="G166" i="23"/>
  <c r="G167" i="23"/>
  <c r="G168" i="23"/>
  <c r="G169" i="23"/>
  <c r="G170" i="23"/>
  <c r="G171" i="23"/>
  <c r="G172" i="23"/>
  <c r="G173" i="23"/>
  <c r="G174" i="23"/>
  <c r="G175" i="23"/>
  <c r="G176" i="23"/>
  <c r="G177" i="23"/>
  <c r="G178" i="23"/>
  <c r="G179" i="23"/>
  <c r="G180" i="23"/>
  <c r="G181" i="23"/>
  <c r="G182" i="23"/>
  <c r="G183" i="23"/>
  <c r="G184" i="23"/>
  <c r="G185" i="23"/>
  <c r="G186" i="23"/>
  <c r="G187" i="23"/>
  <c r="G188" i="23"/>
  <c r="G189" i="23"/>
  <c r="G190" i="23"/>
  <c r="G191" i="23"/>
  <c r="G192" i="23"/>
  <c r="G193" i="23"/>
  <c r="G194" i="23"/>
  <c r="G195" i="23"/>
  <c r="G196" i="23"/>
  <c r="G197" i="23"/>
  <c r="G198" i="23"/>
  <c r="G199" i="23"/>
  <c r="G200" i="23"/>
  <c r="G201" i="23"/>
  <c r="G202" i="23"/>
  <c r="G203" i="23"/>
  <c r="G204" i="23"/>
  <c r="G205" i="23"/>
  <c r="G206" i="23"/>
  <c r="G207" i="23"/>
  <c r="G208" i="23"/>
  <c r="G209" i="23"/>
  <c r="G210" i="23"/>
  <c r="G211" i="23"/>
  <c r="G212" i="23"/>
  <c r="G213" i="23"/>
  <c r="G214" i="23"/>
  <c r="G215" i="23"/>
  <c r="G216" i="23"/>
  <c r="G217" i="23"/>
  <c r="G218" i="23"/>
  <c r="G219" i="23"/>
  <c r="G220" i="23"/>
  <c r="G221" i="23"/>
  <c r="G222" i="23"/>
  <c r="G223" i="23"/>
  <c r="G224" i="23"/>
  <c r="G225" i="23"/>
  <c r="G226" i="23"/>
  <c r="G227" i="23"/>
  <c r="G228" i="23"/>
  <c r="G229" i="23"/>
  <c r="G230" i="23"/>
  <c r="G231" i="23"/>
  <c r="G232" i="23"/>
  <c r="G233" i="23"/>
  <c r="G234" i="23"/>
  <c r="G235" i="23"/>
  <c r="G236" i="23"/>
  <c r="G237" i="23"/>
  <c r="G238" i="23"/>
  <c r="G239" i="23"/>
  <c r="G240" i="23"/>
  <c r="G241" i="23"/>
  <c r="G242" i="23"/>
  <c r="G243" i="23"/>
  <c r="G244" i="23"/>
  <c r="G245" i="23"/>
  <c r="G246" i="23"/>
  <c r="G247" i="23"/>
  <c r="G248" i="23"/>
  <c r="G249" i="23"/>
  <c r="G250" i="23"/>
  <c r="G251" i="23"/>
  <c r="G252" i="23"/>
  <c r="G253" i="23"/>
  <c r="G254" i="23"/>
  <c r="G255" i="23"/>
  <c r="G256" i="23"/>
  <c r="G257" i="23"/>
  <c r="D160" i="23"/>
  <c r="F160" i="23"/>
  <c r="D159" i="23"/>
  <c r="C159" i="23"/>
  <c r="E159" i="23"/>
  <c r="E160" i="23"/>
  <c r="E161" i="23"/>
  <c r="E162" i="23"/>
  <c r="E163" i="23"/>
  <c r="E164" i="23"/>
  <c r="E165" i="23"/>
  <c r="E166" i="23"/>
  <c r="E167" i="23"/>
  <c r="E168" i="23"/>
  <c r="E169" i="23"/>
  <c r="E170" i="23"/>
  <c r="E171" i="23"/>
  <c r="E172" i="23"/>
  <c r="C155" i="23"/>
  <c r="G155" i="23"/>
  <c r="C156" i="23"/>
  <c r="G156" i="23"/>
  <c r="C157" i="23"/>
  <c r="G157" i="23"/>
  <c r="C158" i="23"/>
  <c r="G158" i="23"/>
  <c r="G159" i="23"/>
  <c r="K160" i="24"/>
  <c r="K161" i="24"/>
  <c r="K158" i="24"/>
  <c r="J160" i="24"/>
  <c r="J158" i="24"/>
  <c r="J159" i="24"/>
  <c r="J157" i="24"/>
  <c r="K157" i="24"/>
  <c r="J155" i="24"/>
  <c r="K155" i="24"/>
  <c r="D158" i="23"/>
  <c r="J152" i="24"/>
  <c r="K152" i="24"/>
  <c r="J144" i="24"/>
  <c r="J145" i="24"/>
  <c r="J146" i="24"/>
  <c r="J147" i="24"/>
  <c r="J148" i="24"/>
  <c r="J149" i="24"/>
  <c r="J150" i="24"/>
  <c r="K150" i="24"/>
  <c r="K148" i="24"/>
  <c r="K146" i="24"/>
  <c r="K144" i="24"/>
  <c r="J142" i="24"/>
  <c r="J134" i="24"/>
  <c r="J135" i="24"/>
  <c r="J136" i="24"/>
  <c r="J137" i="24"/>
  <c r="J138" i="24"/>
  <c r="J139" i="24"/>
  <c r="J140" i="24"/>
  <c r="J141" i="24"/>
  <c r="K142" i="24"/>
  <c r="K140" i="24"/>
  <c r="K138" i="24"/>
  <c r="K136" i="24"/>
  <c r="K134" i="24"/>
  <c r="J118" i="24"/>
  <c r="J119" i="24"/>
  <c r="J120" i="24"/>
  <c r="J121" i="24"/>
  <c r="J122" i="24"/>
  <c r="J123" i="24"/>
  <c r="J124" i="24"/>
  <c r="J125" i="24"/>
  <c r="J126" i="24"/>
  <c r="J127" i="24"/>
  <c r="J128" i="24"/>
  <c r="J129" i="24"/>
  <c r="J130" i="24"/>
  <c r="J131" i="24"/>
  <c r="K131" i="24"/>
  <c r="K130" i="24"/>
  <c r="K127" i="24"/>
  <c r="K124" i="24"/>
  <c r="K121" i="24"/>
  <c r="K118" i="24"/>
  <c r="J112" i="24"/>
  <c r="J113" i="24"/>
  <c r="J114" i="24"/>
  <c r="J115" i="24"/>
  <c r="K115" i="24"/>
  <c r="K112" i="24"/>
  <c r="J106" i="24"/>
  <c r="K106" i="24"/>
  <c r="J103" i="24"/>
  <c r="K103" i="24"/>
  <c r="J100" i="24"/>
  <c r="K100" i="24"/>
  <c r="J97" i="24"/>
  <c r="K97" i="24"/>
  <c r="J94" i="24"/>
  <c r="K94" i="24"/>
  <c r="J91" i="24"/>
  <c r="K91" i="24"/>
  <c r="K51" i="24"/>
  <c r="K52" i="24"/>
  <c r="K53" i="24"/>
  <c r="K54" i="24"/>
  <c r="K55" i="24"/>
  <c r="K56" i="24"/>
  <c r="K57" i="24"/>
  <c r="K58" i="24"/>
  <c r="K59" i="24"/>
  <c r="K60" i="24"/>
  <c r="K61" i="24"/>
  <c r="K62"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2" i="24"/>
  <c r="K93" i="24"/>
  <c r="K95" i="24"/>
  <c r="K96" i="24"/>
  <c r="K98" i="24"/>
  <c r="K99" i="24"/>
  <c r="K101" i="24"/>
  <c r="K102" i="24"/>
  <c r="K104" i="24"/>
  <c r="K105" i="24"/>
  <c r="K107" i="24"/>
  <c r="K108" i="24"/>
  <c r="K109" i="24"/>
  <c r="K110" i="24"/>
  <c r="K111" i="24"/>
  <c r="K113" i="24"/>
  <c r="K114" i="24"/>
  <c r="K116" i="24"/>
  <c r="K117" i="24"/>
  <c r="K119" i="24"/>
  <c r="K120" i="24"/>
  <c r="K122" i="24"/>
  <c r="K123" i="24"/>
  <c r="K125" i="24"/>
  <c r="K126" i="24"/>
  <c r="K128" i="24"/>
  <c r="K129" i="24"/>
  <c r="K132" i="24"/>
  <c r="K133" i="24"/>
  <c r="K135" i="24"/>
  <c r="K137" i="24"/>
  <c r="K139" i="24"/>
  <c r="K141" i="24"/>
  <c r="K143" i="24"/>
  <c r="K145" i="24"/>
  <c r="K147" i="24"/>
  <c r="K149" i="24"/>
  <c r="K151" i="24"/>
  <c r="K153" i="24"/>
  <c r="K154" i="24"/>
  <c r="K156" i="24"/>
  <c r="K32" i="24"/>
  <c r="K33" i="24"/>
  <c r="K34" i="24"/>
  <c r="K35" i="24"/>
  <c r="K36" i="24"/>
  <c r="K37" i="24"/>
  <c r="K38" i="24"/>
  <c r="K39" i="24"/>
  <c r="K40" i="24"/>
  <c r="K41" i="24"/>
  <c r="K42" i="24"/>
  <c r="K43" i="24"/>
  <c r="K44" i="24"/>
  <c r="K45" i="24"/>
  <c r="K46" i="24"/>
  <c r="K47" i="24"/>
  <c r="K48" i="24"/>
  <c r="K49" i="24"/>
  <c r="K50" i="24"/>
  <c r="K28" i="24"/>
  <c r="K29" i="24"/>
  <c r="K30" i="24"/>
  <c r="K31" i="24"/>
  <c r="K3" i="24"/>
  <c r="K4" i="24"/>
  <c r="K5" i="24"/>
  <c r="K6" i="24"/>
  <c r="K7" i="24"/>
  <c r="K8" i="24"/>
  <c r="K9" i="24"/>
  <c r="K10" i="24"/>
  <c r="K11" i="24"/>
  <c r="K12" i="24"/>
  <c r="K13" i="24"/>
  <c r="K14" i="24"/>
  <c r="K15" i="24"/>
  <c r="K16" i="24"/>
  <c r="K17" i="24"/>
  <c r="K18" i="24"/>
  <c r="K19" i="24"/>
  <c r="K20" i="24"/>
  <c r="K21" i="24"/>
  <c r="K22" i="24"/>
  <c r="K23" i="24"/>
  <c r="K24" i="24"/>
  <c r="K25" i="24"/>
  <c r="K26" i="24"/>
  <c r="K27" i="24"/>
  <c r="K2" i="24"/>
  <c r="J85" i="24"/>
  <c r="J82" i="24"/>
  <c r="J78" i="24"/>
  <c r="J72" i="24"/>
  <c r="J73" i="24"/>
  <c r="J74" i="24"/>
  <c r="J75" i="24"/>
  <c r="J65" i="24"/>
  <c r="J66" i="24"/>
  <c r="J67" i="24"/>
  <c r="J68" i="24"/>
  <c r="J69" i="24"/>
  <c r="J46" i="24"/>
  <c r="J41" i="24"/>
  <c r="J17" i="24"/>
  <c r="J18" i="24"/>
  <c r="J249" i="24"/>
  <c r="J250" i="24"/>
  <c r="J251" i="24"/>
  <c r="J252" i="24"/>
  <c r="J253" i="24"/>
  <c r="J254" i="24"/>
  <c r="J255" i="24"/>
  <c r="J256" i="24"/>
  <c r="J257" i="24"/>
  <c r="J259" i="24"/>
  <c r="J260" i="24"/>
  <c r="J261" i="24"/>
  <c r="J262" i="24"/>
  <c r="J229" i="24"/>
  <c r="J230" i="24"/>
  <c r="J231" i="24"/>
  <c r="J232" i="24"/>
  <c r="J233" i="24"/>
  <c r="J234" i="24"/>
  <c r="J235" i="24"/>
  <c r="J236" i="24"/>
  <c r="J237" i="24"/>
  <c r="J238" i="24"/>
  <c r="J239" i="24"/>
  <c r="J241" i="24"/>
  <c r="J242" i="24"/>
  <c r="J243" i="24"/>
  <c r="J244" i="24"/>
  <c r="J245" i="24"/>
  <c r="J246" i="24"/>
  <c r="J247" i="24"/>
  <c r="J248" i="24"/>
  <c r="J209" i="24"/>
  <c r="J210" i="24"/>
  <c r="J211" i="24"/>
  <c r="J213" i="24"/>
  <c r="J214" i="24"/>
  <c r="J215" i="24"/>
  <c r="J216" i="24"/>
  <c r="J217" i="24"/>
  <c r="J218" i="24"/>
  <c r="J219" i="24"/>
  <c r="J220" i="24"/>
  <c r="J221" i="24"/>
  <c r="J222" i="24"/>
  <c r="J223" i="24"/>
  <c r="J224" i="24"/>
  <c r="J225" i="24"/>
  <c r="J226" i="24"/>
  <c r="J227" i="24"/>
  <c r="J228" i="24"/>
  <c r="J192" i="24"/>
  <c r="J193" i="24"/>
  <c r="J194" i="24"/>
  <c r="J195" i="24"/>
  <c r="J196" i="24"/>
  <c r="J197" i="24"/>
  <c r="J198" i="24"/>
  <c r="J199" i="24"/>
  <c r="J200" i="24"/>
  <c r="J201" i="24"/>
  <c r="J202" i="24"/>
  <c r="J203" i="24"/>
  <c r="J204" i="24"/>
  <c r="J205" i="24"/>
  <c r="J206" i="24"/>
  <c r="J207" i="24"/>
  <c r="J208" i="24"/>
  <c r="J178" i="24"/>
  <c r="J179" i="24"/>
  <c r="J184" i="24"/>
  <c r="J185" i="24"/>
  <c r="J180" i="24"/>
  <c r="J181" i="24"/>
  <c r="J186" i="24"/>
  <c r="J187" i="24"/>
  <c r="J188" i="24"/>
  <c r="J189" i="24"/>
  <c r="J190" i="24"/>
  <c r="J191" i="24"/>
  <c r="J143" i="24"/>
  <c r="J151" i="24"/>
  <c r="J153" i="24"/>
  <c r="J154" i="24"/>
  <c r="J156" i="24"/>
  <c r="J161" i="24"/>
  <c r="J164" i="24"/>
  <c r="J165" i="24"/>
  <c r="J166" i="24"/>
  <c r="J167" i="24"/>
  <c r="J168" i="24"/>
  <c r="J169" i="24"/>
  <c r="J170" i="24"/>
  <c r="J171" i="24"/>
  <c r="J172" i="24"/>
  <c r="J173" i="24"/>
  <c r="J174" i="24"/>
  <c r="J110" i="24"/>
  <c r="J111" i="24"/>
  <c r="J116" i="24"/>
  <c r="J117" i="24"/>
  <c r="J132" i="24"/>
  <c r="J133" i="24"/>
  <c r="J84" i="24"/>
  <c r="J86" i="24"/>
  <c r="J87" i="24"/>
  <c r="J88" i="24"/>
  <c r="J89" i="24"/>
  <c r="J90" i="24"/>
  <c r="J92" i="24"/>
  <c r="J93" i="24"/>
  <c r="J95" i="24"/>
  <c r="J96" i="24"/>
  <c r="J98" i="24"/>
  <c r="J99" i="24"/>
  <c r="J101" i="24"/>
  <c r="J102" i="24"/>
  <c r="J104" i="24"/>
  <c r="J105" i="24"/>
  <c r="J107" i="24"/>
  <c r="J108" i="24"/>
  <c r="J109" i="24"/>
  <c r="J57" i="24"/>
  <c r="J58" i="24"/>
  <c r="J59" i="24"/>
  <c r="J60" i="24"/>
  <c r="J61" i="24"/>
  <c r="J62" i="24"/>
  <c r="J64" i="24"/>
  <c r="J70" i="24"/>
  <c r="J71" i="24"/>
  <c r="J76" i="24"/>
  <c r="J77" i="24"/>
  <c r="J79" i="24"/>
  <c r="J80" i="24"/>
  <c r="J81" i="24"/>
  <c r="J83" i="24"/>
  <c r="J9" i="24"/>
  <c r="J10" i="24"/>
  <c r="J11" i="24"/>
  <c r="J12" i="24"/>
  <c r="J13" i="24"/>
  <c r="J14" i="24"/>
  <c r="J15" i="24"/>
  <c r="J16" i="24"/>
  <c r="J19" i="24"/>
  <c r="J20" i="24"/>
  <c r="J21" i="24"/>
  <c r="J22" i="24"/>
  <c r="J23" i="24"/>
  <c r="J24" i="24"/>
  <c r="J25" i="24"/>
  <c r="J26" i="24"/>
  <c r="J27" i="24"/>
  <c r="J29" i="24"/>
  <c r="J30" i="24"/>
  <c r="J31" i="24"/>
  <c r="J32" i="24"/>
  <c r="J33" i="24"/>
  <c r="J34" i="24"/>
  <c r="J35" i="24"/>
  <c r="J36" i="24"/>
  <c r="J37" i="24"/>
  <c r="J38" i="24"/>
  <c r="J39" i="24"/>
  <c r="J40" i="24"/>
  <c r="J42" i="24"/>
  <c r="J43" i="24"/>
  <c r="J44" i="24"/>
  <c r="J45" i="24"/>
  <c r="J47" i="24"/>
  <c r="J48" i="24"/>
  <c r="J49" i="24"/>
  <c r="J50" i="24"/>
  <c r="J51" i="24"/>
  <c r="J52" i="24"/>
  <c r="J53" i="24"/>
  <c r="J54" i="24"/>
  <c r="J55" i="24"/>
  <c r="J56" i="24"/>
  <c r="J3" i="24"/>
  <c r="J4" i="24"/>
  <c r="J5" i="24"/>
  <c r="J6" i="24"/>
  <c r="J7" i="24"/>
  <c r="J8" i="24"/>
  <c r="J2" i="24"/>
  <c r="D16" i="23"/>
  <c r="C18" i="23"/>
  <c r="G18" i="23"/>
  <c r="C34" i="23"/>
  <c r="G34" i="23"/>
  <c r="C50" i="23"/>
  <c r="G50" i="23"/>
  <c r="C66" i="23"/>
  <c r="G66" i="23"/>
  <c r="C82" i="23"/>
  <c r="G82" i="23"/>
  <c r="C98" i="23"/>
  <c r="G98" i="23"/>
  <c r="C114" i="23"/>
  <c r="G114" i="23"/>
  <c r="C130" i="23"/>
  <c r="G130" i="23"/>
  <c r="C146" i="23"/>
  <c r="G146" i="23"/>
  <c r="D66" i="23"/>
  <c r="F66" i="23"/>
  <c r="D82" i="23"/>
  <c r="F82" i="23"/>
  <c r="D98" i="23"/>
  <c r="F98" i="23"/>
  <c r="D114" i="23"/>
  <c r="F114" i="23"/>
  <c r="D130" i="23"/>
  <c r="F130" i="23"/>
  <c r="C145" i="23"/>
  <c r="D145" i="23"/>
  <c r="F145" i="23"/>
  <c r="D149" i="23"/>
  <c r="C149" i="23"/>
  <c r="F149" i="23"/>
  <c r="D153" i="23"/>
  <c r="C153" i="23"/>
  <c r="F153" i="23"/>
  <c r="D157" i="23"/>
  <c r="F157" i="23"/>
  <c r="C3" i="23"/>
  <c r="G3" i="23"/>
  <c r="C4" i="23"/>
  <c r="G4" i="23"/>
  <c r="C5" i="23"/>
  <c r="G5" i="23"/>
  <c r="C6" i="23"/>
  <c r="G6" i="23"/>
  <c r="C7" i="23"/>
  <c r="G7" i="23"/>
  <c r="C8" i="23"/>
  <c r="G8" i="23"/>
  <c r="C9" i="23"/>
  <c r="G9" i="23"/>
  <c r="C10" i="23"/>
  <c r="G10" i="23"/>
  <c r="C11" i="23"/>
  <c r="G11" i="23"/>
  <c r="C12" i="23"/>
  <c r="G12" i="23"/>
  <c r="C13" i="23"/>
  <c r="G13" i="23"/>
  <c r="C14" i="23"/>
  <c r="G14" i="23"/>
  <c r="C15" i="23"/>
  <c r="G15" i="23"/>
  <c r="C16" i="23"/>
  <c r="G16" i="23"/>
  <c r="C17" i="23"/>
  <c r="G17" i="23"/>
  <c r="C19" i="23"/>
  <c r="G19" i="23"/>
  <c r="C20" i="23"/>
  <c r="G20" i="23"/>
  <c r="C21" i="23"/>
  <c r="G21" i="23"/>
  <c r="C22" i="23"/>
  <c r="G22" i="23"/>
  <c r="C23" i="23"/>
  <c r="G23" i="23"/>
  <c r="C24" i="23"/>
  <c r="G24" i="23"/>
  <c r="C25" i="23"/>
  <c r="G25" i="23"/>
  <c r="C26" i="23"/>
  <c r="G26" i="23"/>
  <c r="C27" i="23"/>
  <c r="G27" i="23"/>
  <c r="C28" i="23"/>
  <c r="G28" i="23"/>
  <c r="C29" i="23"/>
  <c r="G29" i="23"/>
  <c r="C30" i="23"/>
  <c r="G30" i="23"/>
  <c r="C31" i="23"/>
  <c r="G31" i="23"/>
  <c r="C32" i="23"/>
  <c r="G32" i="23"/>
  <c r="C33" i="23"/>
  <c r="G33" i="23"/>
  <c r="C35" i="23"/>
  <c r="G35" i="23"/>
  <c r="C36" i="23"/>
  <c r="G36" i="23"/>
  <c r="C37" i="23"/>
  <c r="G37" i="23"/>
  <c r="C38" i="23"/>
  <c r="G38" i="23"/>
  <c r="C39" i="23"/>
  <c r="G39" i="23"/>
  <c r="C40" i="23"/>
  <c r="G40" i="23"/>
  <c r="C41" i="23"/>
  <c r="G41" i="23"/>
  <c r="C42" i="23"/>
  <c r="G42" i="23"/>
  <c r="C43" i="23"/>
  <c r="G43" i="23"/>
  <c r="C44" i="23"/>
  <c r="G44" i="23"/>
  <c r="C45" i="23"/>
  <c r="G45" i="23"/>
  <c r="C46" i="23"/>
  <c r="G46" i="23"/>
  <c r="C47" i="23"/>
  <c r="G47" i="23"/>
  <c r="C48" i="23"/>
  <c r="G48" i="23"/>
  <c r="C49" i="23"/>
  <c r="G49" i="23"/>
  <c r="C51" i="23"/>
  <c r="C52" i="23"/>
  <c r="D52" i="23"/>
  <c r="E52" i="23"/>
  <c r="C53" i="23"/>
  <c r="C54" i="23"/>
  <c r="G54" i="23"/>
  <c r="C55" i="23"/>
  <c r="C56" i="23"/>
  <c r="C57" i="23"/>
  <c r="C58" i="23"/>
  <c r="G58" i="23"/>
  <c r="C59" i="23"/>
  <c r="C60" i="23"/>
  <c r="D60" i="23"/>
  <c r="E60" i="23"/>
  <c r="C61" i="23"/>
  <c r="C62" i="23"/>
  <c r="D62" i="23"/>
  <c r="E62" i="23"/>
  <c r="C63" i="23"/>
  <c r="C64" i="23"/>
  <c r="C65" i="23"/>
  <c r="E66" i="23"/>
  <c r="C67" i="23"/>
  <c r="C68" i="23"/>
  <c r="C69" i="23"/>
  <c r="C70" i="23"/>
  <c r="G70" i="23"/>
  <c r="C71" i="23"/>
  <c r="C72" i="23"/>
  <c r="D72" i="23"/>
  <c r="E72" i="23"/>
  <c r="C73" i="23"/>
  <c r="C74" i="23"/>
  <c r="G74" i="23"/>
  <c r="C75" i="23"/>
  <c r="C76" i="23"/>
  <c r="C77" i="23"/>
  <c r="C78" i="23"/>
  <c r="D78" i="23"/>
  <c r="E78" i="23"/>
  <c r="C79" i="23"/>
  <c r="C80" i="23"/>
  <c r="C81" i="23"/>
  <c r="E82" i="23"/>
  <c r="C83" i="23"/>
  <c r="C84" i="23"/>
  <c r="D84" i="23"/>
  <c r="E84" i="23"/>
  <c r="C85" i="23"/>
  <c r="C86" i="23"/>
  <c r="G86" i="23"/>
  <c r="C87" i="23"/>
  <c r="C88" i="23"/>
  <c r="C89" i="23"/>
  <c r="C90" i="23"/>
  <c r="G90" i="23"/>
  <c r="C91" i="23"/>
  <c r="C92" i="23"/>
  <c r="C93" i="23"/>
  <c r="C94" i="23"/>
  <c r="D94" i="23"/>
  <c r="E94" i="23"/>
  <c r="C95" i="23"/>
  <c r="C96" i="23"/>
  <c r="D96" i="23"/>
  <c r="E96" i="23"/>
  <c r="C97" i="23"/>
  <c r="E98" i="23"/>
  <c r="C99" i="23"/>
  <c r="C100" i="23"/>
  <c r="C101" i="23"/>
  <c r="C102" i="23"/>
  <c r="G102" i="23"/>
  <c r="C103" i="23"/>
  <c r="C104" i="23"/>
  <c r="D104" i="23"/>
  <c r="E104" i="23"/>
  <c r="C105" i="23"/>
  <c r="C106" i="23"/>
  <c r="G106" i="23"/>
  <c r="C107" i="23"/>
  <c r="C108" i="23"/>
  <c r="C109" i="23"/>
  <c r="C110" i="23"/>
  <c r="D110" i="23"/>
  <c r="E110" i="23"/>
  <c r="C111" i="23"/>
  <c r="C112" i="23"/>
  <c r="C113" i="23"/>
  <c r="E114" i="23"/>
  <c r="C115" i="23"/>
  <c r="C116" i="23"/>
  <c r="D116" i="23"/>
  <c r="E116" i="23"/>
  <c r="C117" i="23"/>
  <c r="C118" i="23"/>
  <c r="G118" i="23"/>
  <c r="C119" i="23"/>
  <c r="C120" i="23"/>
  <c r="C121" i="23"/>
  <c r="C122" i="23"/>
  <c r="G122" i="23"/>
  <c r="C123" i="23"/>
  <c r="C124" i="23"/>
  <c r="C125" i="23"/>
  <c r="C126" i="23"/>
  <c r="D126" i="23"/>
  <c r="E126" i="23"/>
  <c r="C127" i="23"/>
  <c r="C128" i="23"/>
  <c r="D128" i="23"/>
  <c r="E128" i="23"/>
  <c r="C129" i="23"/>
  <c r="E130" i="23"/>
  <c r="C131" i="23"/>
  <c r="C132" i="23"/>
  <c r="C133" i="23"/>
  <c r="C134" i="23"/>
  <c r="G134" i="23"/>
  <c r="C135" i="23"/>
  <c r="G135" i="23"/>
  <c r="C136" i="23"/>
  <c r="G136" i="23"/>
  <c r="C137" i="23"/>
  <c r="G137" i="23"/>
  <c r="C138" i="23"/>
  <c r="D138" i="23"/>
  <c r="F138" i="23"/>
  <c r="C139" i="23"/>
  <c r="G139" i="23"/>
  <c r="C140" i="23"/>
  <c r="G140" i="23"/>
  <c r="C141" i="23"/>
  <c r="G141" i="23"/>
  <c r="C142" i="23"/>
  <c r="D142" i="23"/>
  <c r="F142" i="23"/>
  <c r="C143" i="23"/>
  <c r="G143" i="23"/>
  <c r="C144" i="23"/>
  <c r="G144" i="23"/>
  <c r="G145" i="23"/>
  <c r="D146" i="23"/>
  <c r="F146" i="23"/>
  <c r="C147" i="23"/>
  <c r="G147" i="23"/>
  <c r="C148" i="23"/>
  <c r="G148" i="23"/>
  <c r="G149" i="23"/>
  <c r="C150" i="23"/>
  <c r="G150" i="23"/>
  <c r="C151" i="23"/>
  <c r="G151" i="23"/>
  <c r="C152" i="23"/>
  <c r="G152" i="23"/>
  <c r="G153" i="23"/>
  <c r="C154" i="23"/>
  <c r="D154" i="23"/>
  <c r="F154" i="23"/>
  <c r="F158" i="23"/>
  <c r="D155" i="23"/>
  <c r="D156" i="23"/>
  <c r="D147" i="23"/>
  <c r="D148" i="23"/>
  <c r="D150" i="23"/>
  <c r="D151" i="23"/>
  <c r="D152" i="23"/>
  <c r="D141" i="23"/>
  <c r="F141" i="23"/>
  <c r="D143" i="23"/>
  <c r="D144" i="23"/>
  <c r="D129" i="23"/>
  <c r="D131" i="23"/>
  <c r="D132" i="23"/>
  <c r="D133" i="23"/>
  <c r="D134" i="23"/>
  <c r="D135" i="23"/>
  <c r="D136" i="23"/>
  <c r="D137" i="23"/>
  <c r="F137" i="23"/>
  <c r="D139" i="23"/>
  <c r="D140" i="23"/>
  <c r="D117" i="23"/>
  <c r="D118" i="23"/>
  <c r="D119" i="23"/>
  <c r="D120" i="23"/>
  <c r="D121" i="23"/>
  <c r="D122" i="23"/>
  <c r="D123" i="23"/>
  <c r="D124" i="23"/>
  <c r="D125" i="23"/>
  <c r="D127" i="23"/>
  <c r="D64" i="23"/>
  <c r="D65" i="23"/>
  <c r="D67" i="23"/>
  <c r="D68" i="23"/>
  <c r="D69" i="23"/>
  <c r="D70" i="23"/>
  <c r="D71" i="23"/>
  <c r="D73" i="23"/>
  <c r="D74" i="23"/>
  <c r="D75" i="23"/>
  <c r="D76" i="23"/>
  <c r="D77" i="23"/>
  <c r="D79" i="23"/>
  <c r="D80" i="23"/>
  <c r="D81" i="23"/>
  <c r="D83" i="23"/>
  <c r="D85" i="23"/>
  <c r="D86" i="23"/>
  <c r="D87" i="23"/>
  <c r="D88" i="23"/>
  <c r="D89" i="23"/>
  <c r="D90" i="23"/>
  <c r="D91" i="23"/>
  <c r="D92" i="23"/>
  <c r="D93" i="23"/>
  <c r="D95" i="23"/>
  <c r="D97" i="23"/>
  <c r="D99" i="23"/>
  <c r="D100" i="23"/>
  <c r="D101" i="23"/>
  <c r="D102" i="23"/>
  <c r="D103" i="23"/>
  <c r="D105" i="23"/>
  <c r="D106" i="23"/>
  <c r="D107" i="23"/>
  <c r="D108" i="23"/>
  <c r="D109" i="23"/>
  <c r="D111" i="23"/>
  <c r="D112" i="23"/>
  <c r="D113" i="23"/>
  <c r="D115" i="23"/>
  <c r="D3" i="23"/>
  <c r="F3" i="23"/>
  <c r="D4" i="23"/>
  <c r="D5" i="23"/>
  <c r="E5" i="23"/>
  <c r="D6" i="23"/>
  <c r="E6" i="23"/>
  <c r="D7" i="23"/>
  <c r="F7" i="23"/>
  <c r="D8" i="23"/>
  <c r="D9" i="23"/>
  <c r="E9" i="23"/>
  <c r="D10" i="23"/>
  <c r="E10" i="23"/>
  <c r="D11" i="23"/>
  <c r="F11" i="23"/>
  <c r="D12" i="23"/>
  <c r="D13" i="23"/>
  <c r="E13" i="23"/>
  <c r="D14" i="23"/>
  <c r="E14" i="23"/>
  <c r="D15" i="23"/>
  <c r="F15" i="23"/>
  <c r="D17" i="23"/>
  <c r="E17" i="23"/>
  <c r="D18" i="23"/>
  <c r="E18" i="23"/>
  <c r="D19" i="23"/>
  <c r="F19" i="23"/>
  <c r="D20" i="23"/>
  <c r="D21" i="23"/>
  <c r="E21" i="23"/>
  <c r="D22" i="23"/>
  <c r="E22" i="23"/>
  <c r="D23" i="23"/>
  <c r="F23" i="23"/>
  <c r="D24" i="23"/>
  <c r="D25" i="23"/>
  <c r="E25" i="23"/>
  <c r="D26" i="23"/>
  <c r="E26" i="23"/>
  <c r="D27" i="23"/>
  <c r="F27" i="23"/>
  <c r="D28" i="23"/>
  <c r="D29" i="23"/>
  <c r="E29" i="23"/>
  <c r="D30" i="23"/>
  <c r="F30" i="23"/>
  <c r="D31" i="23"/>
  <c r="F31" i="23"/>
  <c r="D32" i="23"/>
  <c r="D33" i="23"/>
  <c r="E33" i="23"/>
  <c r="D34" i="23"/>
  <c r="E34" i="23"/>
  <c r="D35" i="23"/>
  <c r="F35" i="23"/>
  <c r="D36" i="23"/>
  <c r="D37" i="23"/>
  <c r="E37" i="23"/>
  <c r="D38" i="23"/>
  <c r="E38" i="23"/>
  <c r="D39" i="23"/>
  <c r="F39" i="23"/>
  <c r="D40" i="23"/>
  <c r="D41" i="23"/>
  <c r="E41" i="23"/>
  <c r="D42" i="23"/>
  <c r="E42" i="23"/>
  <c r="D43" i="23"/>
  <c r="F43" i="23"/>
  <c r="D44" i="23"/>
  <c r="D45" i="23"/>
  <c r="E45" i="23"/>
  <c r="D46" i="23"/>
  <c r="E46" i="23"/>
  <c r="D47" i="23"/>
  <c r="F47" i="23"/>
  <c r="D48" i="23"/>
  <c r="D49" i="23"/>
  <c r="E49" i="23"/>
  <c r="D50" i="23"/>
  <c r="F50" i="23"/>
  <c r="D51" i="23"/>
  <c r="D53" i="23"/>
  <c r="D54" i="23"/>
  <c r="D55" i="23"/>
  <c r="D56" i="23"/>
  <c r="D57" i="23"/>
  <c r="D58" i="23"/>
  <c r="D59" i="23"/>
  <c r="D61" i="23"/>
  <c r="D63" i="23"/>
  <c r="D2" i="23"/>
  <c r="C2" i="23"/>
  <c r="G2" i="23"/>
  <c r="G124" i="23"/>
  <c r="F124" i="23"/>
  <c r="G112" i="23"/>
  <c r="F112" i="23"/>
  <c r="G100" i="23"/>
  <c r="F100" i="23"/>
  <c r="G88" i="23"/>
  <c r="F88" i="23"/>
  <c r="G76" i="23"/>
  <c r="F76" i="23"/>
  <c r="G64" i="23"/>
  <c r="F64" i="23"/>
  <c r="E152" i="23"/>
  <c r="E140" i="23"/>
  <c r="E24" i="23"/>
  <c r="G131" i="23"/>
  <c r="F131" i="23"/>
  <c r="G127" i="23"/>
  <c r="F127" i="23"/>
  <c r="G123" i="23"/>
  <c r="F123" i="23"/>
  <c r="G119" i="23"/>
  <c r="F119" i="23"/>
  <c r="G115" i="23"/>
  <c r="F115" i="23"/>
  <c r="G111" i="23"/>
  <c r="F111" i="23"/>
  <c r="G107" i="23"/>
  <c r="F107" i="23"/>
  <c r="G103" i="23"/>
  <c r="F103" i="23"/>
  <c r="G99" i="23"/>
  <c r="F99" i="23"/>
  <c r="G95" i="23"/>
  <c r="F95" i="23"/>
  <c r="G91" i="23"/>
  <c r="F91" i="23"/>
  <c r="G87" i="23"/>
  <c r="F87" i="23"/>
  <c r="G83" i="23"/>
  <c r="F83" i="23"/>
  <c r="G79" i="23"/>
  <c r="F79" i="23"/>
  <c r="G75" i="23"/>
  <c r="F75" i="23"/>
  <c r="G71" i="23"/>
  <c r="F71" i="23"/>
  <c r="G67" i="23"/>
  <c r="F67" i="23"/>
  <c r="G63" i="23"/>
  <c r="F63" i="23"/>
  <c r="G59" i="23"/>
  <c r="F59" i="23"/>
  <c r="G55" i="23"/>
  <c r="F55" i="23"/>
  <c r="G51" i="23"/>
  <c r="F51" i="23"/>
  <c r="E155" i="23"/>
  <c r="E151" i="23"/>
  <c r="E147" i="23"/>
  <c r="E143" i="23"/>
  <c r="E139" i="23"/>
  <c r="E135" i="23"/>
  <c r="E131" i="23"/>
  <c r="E127" i="23"/>
  <c r="E123" i="23"/>
  <c r="E119" i="23"/>
  <c r="E115" i="23"/>
  <c r="E111" i="23"/>
  <c r="E107" i="23"/>
  <c r="E103" i="23"/>
  <c r="E99" i="23"/>
  <c r="E95" i="23"/>
  <c r="E91" i="23"/>
  <c r="E87" i="23"/>
  <c r="E83" i="23"/>
  <c r="E79" i="23"/>
  <c r="E75" i="23"/>
  <c r="E71" i="23"/>
  <c r="E67" i="23"/>
  <c r="E63" i="23"/>
  <c r="E59" i="23"/>
  <c r="E55" i="23"/>
  <c r="E51" i="23"/>
  <c r="E36" i="23"/>
  <c r="E20" i="23"/>
  <c r="E4" i="23"/>
  <c r="F156" i="23"/>
  <c r="F152" i="23"/>
  <c r="F148" i="23"/>
  <c r="F144" i="23"/>
  <c r="F140" i="23"/>
  <c r="F136" i="23"/>
  <c r="F126" i="23"/>
  <c r="F110" i="23"/>
  <c r="F94" i="23"/>
  <c r="F78" i="23"/>
  <c r="F62" i="23"/>
  <c r="G142" i="23"/>
  <c r="G126" i="23"/>
  <c r="G110" i="23"/>
  <c r="G94" i="23"/>
  <c r="G78" i="23"/>
  <c r="G62" i="23"/>
  <c r="G132" i="23"/>
  <c r="F132" i="23"/>
  <c r="G120" i="23"/>
  <c r="F120" i="23"/>
  <c r="G104" i="23"/>
  <c r="F104" i="23"/>
  <c r="G92" i="23"/>
  <c r="F92" i="23"/>
  <c r="G80" i="23"/>
  <c r="F80" i="23"/>
  <c r="G68" i="23"/>
  <c r="F68" i="23"/>
  <c r="G56" i="23"/>
  <c r="F56" i="23"/>
  <c r="E156" i="23"/>
  <c r="E144" i="23"/>
  <c r="E132" i="23"/>
  <c r="E120" i="23"/>
  <c r="E112" i="23"/>
  <c r="E100" i="23"/>
  <c r="E88" i="23"/>
  <c r="E76" i="23"/>
  <c r="E68" i="23"/>
  <c r="E56" i="23"/>
  <c r="E40" i="23"/>
  <c r="E8" i="23"/>
  <c r="F2" i="23"/>
  <c r="F48" i="23"/>
  <c r="F44" i="23"/>
  <c r="F40" i="23"/>
  <c r="F36" i="23"/>
  <c r="F32" i="23"/>
  <c r="F28" i="23"/>
  <c r="F24" i="23"/>
  <c r="F20" i="23"/>
  <c r="F16" i="23"/>
  <c r="F12" i="23"/>
  <c r="F8" i="23"/>
  <c r="F4" i="23"/>
  <c r="E158" i="23"/>
  <c r="E154" i="23"/>
  <c r="E150" i="23"/>
  <c r="E146" i="23"/>
  <c r="E142" i="23"/>
  <c r="E138" i="23"/>
  <c r="E134" i="23"/>
  <c r="E122" i="23"/>
  <c r="E118" i="23"/>
  <c r="E106" i="23"/>
  <c r="E102" i="23"/>
  <c r="E90" i="23"/>
  <c r="E86" i="23"/>
  <c r="E74" i="23"/>
  <c r="E70" i="23"/>
  <c r="E58" i="23"/>
  <c r="E54" i="23"/>
  <c r="E48" i="23"/>
  <c r="E32" i="23"/>
  <c r="E16" i="23"/>
  <c r="F159" i="23"/>
  <c r="F155" i="23"/>
  <c r="F151" i="23"/>
  <c r="F147" i="23"/>
  <c r="F143" i="23"/>
  <c r="F139" i="23"/>
  <c r="F135" i="23"/>
  <c r="F122" i="23"/>
  <c r="F106" i="23"/>
  <c r="F90" i="23"/>
  <c r="F74" i="23"/>
  <c r="F58" i="23"/>
  <c r="G154" i="23"/>
  <c r="G138" i="23"/>
  <c r="G128" i="23"/>
  <c r="F128" i="23"/>
  <c r="G116" i="23"/>
  <c r="F116" i="23"/>
  <c r="G108" i="23"/>
  <c r="F108" i="23"/>
  <c r="G96" i="23"/>
  <c r="F96" i="23"/>
  <c r="G84" i="23"/>
  <c r="F84" i="23"/>
  <c r="G72" i="23"/>
  <c r="F72" i="23"/>
  <c r="G60" i="23"/>
  <c r="F60" i="23"/>
  <c r="G52" i="23"/>
  <c r="F52" i="23"/>
  <c r="E148" i="23"/>
  <c r="E136" i="23"/>
  <c r="E124" i="23"/>
  <c r="E108" i="23"/>
  <c r="E92" i="23"/>
  <c r="E80" i="23"/>
  <c r="E64" i="23"/>
  <c r="G133" i="23"/>
  <c r="F133" i="23"/>
  <c r="G129" i="23"/>
  <c r="F129" i="23"/>
  <c r="G125" i="23"/>
  <c r="F125" i="23"/>
  <c r="G121" i="23"/>
  <c r="F121" i="23"/>
  <c r="G117" i="23"/>
  <c r="F117" i="23"/>
  <c r="G113" i="23"/>
  <c r="F113" i="23"/>
  <c r="G109" i="23"/>
  <c r="F109" i="23"/>
  <c r="G105" i="23"/>
  <c r="F105" i="23"/>
  <c r="G101" i="23"/>
  <c r="F101" i="23"/>
  <c r="G97" i="23"/>
  <c r="F97" i="23"/>
  <c r="G93" i="23"/>
  <c r="F93" i="23"/>
  <c r="G89" i="23"/>
  <c r="F89" i="23"/>
  <c r="G85" i="23"/>
  <c r="F85" i="23"/>
  <c r="G81" i="23"/>
  <c r="F81" i="23"/>
  <c r="G77" i="23"/>
  <c r="F77" i="23"/>
  <c r="G73" i="23"/>
  <c r="F73" i="23"/>
  <c r="G69" i="23"/>
  <c r="F69" i="23"/>
  <c r="G65" i="23"/>
  <c r="F65" i="23"/>
  <c r="G61" i="23"/>
  <c r="F61" i="23"/>
  <c r="G57" i="23"/>
  <c r="F57" i="23"/>
  <c r="G53" i="23"/>
  <c r="F53" i="23"/>
  <c r="E157" i="23"/>
  <c r="E153" i="23"/>
  <c r="E149" i="23"/>
  <c r="E145" i="23"/>
  <c r="E141" i="23"/>
  <c r="E137" i="23"/>
  <c r="E133" i="23"/>
  <c r="E129" i="23"/>
  <c r="E125" i="23"/>
  <c r="E121" i="23"/>
  <c r="E117" i="23"/>
  <c r="E113" i="23"/>
  <c r="E109" i="23"/>
  <c r="E105" i="23"/>
  <c r="E101" i="23"/>
  <c r="E97" i="23"/>
  <c r="E93" i="23"/>
  <c r="E89" i="23"/>
  <c r="E85" i="23"/>
  <c r="E81" i="23"/>
  <c r="E77" i="23"/>
  <c r="E73" i="23"/>
  <c r="E69" i="23"/>
  <c r="E65" i="23"/>
  <c r="E61" i="23"/>
  <c r="E57" i="23"/>
  <c r="E53" i="23"/>
  <c r="E44" i="23"/>
  <c r="E28" i="23"/>
  <c r="E12" i="23"/>
  <c r="F150" i="23"/>
  <c r="F134" i="23"/>
  <c r="F118" i="23"/>
  <c r="F102" i="23"/>
  <c r="F86" i="23"/>
  <c r="F70" i="23"/>
  <c r="F54" i="23"/>
  <c r="F46" i="23"/>
  <c r="E47" i="23"/>
  <c r="E43" i="23"/>
  <c r="E39" i="23"/>
  <c r="E35" i="23"/>
  <c r="E31" i="23"/>
  <c r="E27" i="23"/>
  <c r="E23" i="23"/>
  <c r="E19" i="23"/>
  <c r="E15" i="23"/>
  <c r="E11" i="23"/>
  <c r="E7" i="23"/>
  <c r="E3" i="23"/>
  <c r="F49" i="23"/>
  <c r="F45" i="23"/>
  <c r="F41" i="23"/>
  <c r="F37" i="23"/>
  <c r="F33" i="23"/>
  <c r="F29" i="23"/>
  <c r="F25" i="23"/>
  <c r="F21" i="23"/>
  <c r="F17" i="23"/>
  <c r="F13" i="23"/>
  <c r="F9" i="23"/>
  <c r="F5" i="23"/>
  <c r="F42" i="23"/>
  <c r="F38" i="23"/>
  <c r="F34" i="23"/>
  <c r="F26" i="23"/>
  <c r="F22" i="23"/>
  <c r="F18" i="23"/>
  <c r="F14" i="23"/>
  <c r="F10" i="23"/>
  <c r="F6" i="23"/>
  <c r="E2" i="23"/>
  <c r="E30" i="23"/>
  <c r="E50" i="23"/>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2"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2" i="16"/>
  <c r="J2" i="19"/>
  <c r="C153" i="20"/>
  <c r="C154" i="20"/>
  <c r="C155" i="20"/>
  <c r="C156" i="20"/>
  <c r="C152"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14" i="20"/>
  <c r="C101" i="20"/>
  <c r="C102" i="20"/>
  <c r="C103" i="20"/>
  <c r="C104" i="20"/>
  <c r="C105" i="20"/>
  <c r="C106" i="20"/>
  <c r="C107" i="20"/>
  <c r="C108" i="20"/>
  <c r="C109" i="20"/>
  <c r="C110" i="20"/>
  <c r="C111" i="20"/>
  <c r="C112" i="20"/>
  <c r="C113" i="20"/>
  <c r="C100" i="20"/>
  <c r="C92" i="20"/>
  <c r="C93" i="20"/>
  <c r="C94" i="20"/>
  <c r="C95" i="20"/>
  <c r="C96" i="20"/>
  <c r="C97" i="20"/>
  <c r="C98" i="20"/>
  <c r="C99" i="20"/>
  <c r="C91" i="20"/>
  <c r="C73" i="20"/>
  <c r="C74" i="20"/>
  <c r="C75" i="20"/>
  <c r="C76" i="20"/>
  <c r="C77" i="20"/>
  <c r="C78" i="20"/>
  <c r="C79" i="20"/>
  <c r="C80" i="20"/>
  <c r="C81" i="20"/>
  <c r="C82" i="20"/>
  <c r="C83" i="20"/>
  <c r="C84" i="20"/>
  <c r="C85" i="20"/>
  <c r="C86" i="20"/>
  <c r="C87" i="20"/>
  <c r="C88" i="20"/>
  <c r="C89" i="20"/>
  <c r="C90" i="20"/>
  <c r="C72"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40" i="20"/>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2" i="20"/>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2" i="18"/>
  <c r="J328" i="16"/>
  <c r="J379" i="16"/>
  <c r="J346" i="16"/>
  <c r="J347" i="16"/>
  <c r="J348" i="16"/>
  <c r="J345" i="16"/>
  <c r="J339" i="16"/>
  <c r="J321" i="16"/>
  <c r="J322" i="16"/>
  <c r="J323" i="16"/>
  <c r="J320" i="16"/>
  <c r="J267" i="16"/>
  <c r="J268" i="16"/>
  <c r="J258" i="16"/>
  <c r="J255" i="16"/>
  <c r="J171" i="16"/>
  <c r="J172" i="16"/>
  <c r="J173" i="16"/>
  <c r="J174" i="16"/>
  <c r="J17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4" i="16"/>
  <c r="J155" i="16"/>
  <c r="J156" i="16"/>
  <c r="J157" i="16"/>
  <c r="J158" i="16"/>
  <c r="J159" i="16"/>
  <c r="J160" i="16"/>
  <c r="J161" i="16"/>
  <c r="J162" i="16"/>
  <c r="J163" i="16"/>
  <c r="J164" i="16"/>
  <c r="J165" i="16"/>
  <c r="J166" i="16"/>
  <c r="J167" i="16"/>
  <c r="J168" i="16"/>
  <c r="J169" i="16"/>
  <c r="J170" i="16"/>
  <c r="J176" i="16"/>
  <c r="J177" i="16"/>
  <c r="J178" i="16"/>
  <c r="J179" i="16"/>
  <c r="J180" i="16"/>
  <c r="J181" i="16"/>
  <c r="J182" i="16"/>
  <c r="J183" i="16"/>
  <c r="J184" i="16"/>
  <c r="J185" i="16"/>
  <c r="J186" i="16"/>
  <c r="J187" i="16"/>
  <c r="J188" i="16"/>
  <c r="J189" i="16"/>
  <c r="J190" i="16"/>
  <c r="J191" i="16"/>
  <c r="J192" i="16"/>
  <c r="J193" i="16"/>
  <c r="J194" i="16"/>
  <c r="J195" i="16"/>
  <c r="J196" i="16"/>
  <c r="J197" i="16"/>
  <c r="J198" i="16"/>
  <c r="J199" i="16"/>
  <c r="J200" i="16"/>
  <c r="J201" i="16"/>
  <c r="J202" i="16"/>
  <c r="J203" i="16"/>
  <c r="J204" i="16"/>
  <c r="J205" i="16"/>
  <c r="J206" i="16"/>
  <c r="J207" i="16"/>
  <c r="J208" i="16"/>
  <c r="J209" i="16"/>
  <c r="J210" i="16"/>
  <c r="J211" i="16"/>
  <c r="J212" i="16"/>
  <c r="J213" i="16"/>
  <c r="J214" i="16"/>
  <c r="J215" i="16"/>
  <c r="J216" i="16"/>
  <c r="J217" i="16"/>
  <c r="J218" i="16"/>
  <c r="J219" i="16"/>
  <c r="J220" i="16"/>
  <c r="J221" i="16"/>
  <c r="J222" i="16"/>
  <c r="J223" i="16"/>
  <c r="J224" i="16"/>
  <c r="J225" i="16"/>
  <c r="J226" i="16"/>
  <c r="J227" i="16"/>
  <c r="J228" i="16"/>
  <c r="J229" i="16"/>
  <c r="J230" i="16"/>
  <c r="J231" i="16"/>
  <c r="J232" i="16"/>
  <c r="J233" i="16"/>
  <c r="J234" i="16"/>
  <c r="J235" i="16"/>
  <c r="J236" i="16"/>
  <c r="J237" i="16"/>
  <c r="J238" i="16"/>
  <c r="J239" i="16"/>
  <c r="J240" i="16"/>
  <c r="J241" i="16"/>
  <c r="J242" i="16"/>
  <c r="J243" i="16"/>
  <c r="J244" i="16"/>
  <c r="J245" i="16"/>
  <c r="J246" i="16"/>
  <c r="J247" i="16"/>
  <c r="J248" i="16"/>
  <c r="J249" i="16"/>
  <c r="J250" i="16"/>
  <c r="J251" i="16"/>
  <c r="J252" i="16"/>
  <c r="J253" i="16"/>
  <c r="J254" i="16"/>
  <c r="J256" i="16"/>
  <c r="J257" i="16"/>
  <c r="J259" i="16"/>
  <c r="J260" i="16"/>
  <c r="J261" i="16"/>
  <c r="J262" i="16"/>
  <c r="J263" i="16"/>
  <c r="J264" i="16"/>
  <c r="J265" i="16"/>
  <c r="J266" i="16"/>
  <c r="J269" i="16"/>
  <c r="J270" i="16"/>
  <c r="J271" i="16"/>
  <c r="J272" i="16"/>
  <c r="J273" i="16"/>
  <c r="J274" i="16"/>
  <c r="J275" i="16"/>
  <c r="J276" i="16"/>
  <c r="J277" i="16"/>
  <c r="J278" i="16"/>
  <c r="J279" i="16"/>
  <c r="J280" i="16"/>
  <c r="J281" i="16"/>
  <c r="J282" i="16"/>
  <c r="J283" i="16"/>
  <c r="J284" i="16"/>
  <c r="J285" i="16"/>
  <c r="J286" i="16"/>
  <c r="J287" i="16"/>
  <c r="J288" i="16"/>
  <c r="J289" i="16"/>
  <c r="J290" i="16"/>
  <c r="J291" i="16"/>
  <c r="J292" i="16"/>
  <c r="J293" i="16"/>
  <c r="J294" i="16"/>
  <c r="J295" i="16"/>
  <c r="J296" i="16"/>
  <c r="J297" i="16"/>
  <c r="J298" i="16"/>
  <c r="J299" i="16"/>
  <c r="J300" i="16"/>
  <c r="J301" i="16"/>
  <c r="J302" i="16"/>
  <c r="J303" i="16"/>
  <c r="J304" i="16"/>
  <c r="J305" i="16"/>
  <c r="J306" i="16"/>
  <c r="J307" i="16"/>
  <c r="J308" i="16"/>
  <c r="J309" i="16"/>
  <c r="J310" i="16"/>
  <c r="J311" i="16"/>
  <c r="J312" i="16"/>
  <c r="J313" i="16"/>
  <c r="J314" i="16"/>
  <c r="J315" i="16"/>
  <c r="J316" i="16"/>
  <c r="J317" i="16"/>
  <c r="J318" i="16"/>
  <c r="J319" i="16"/>
  <c r="J324" i="16"/>
  <c r="J325" i="16"/>
  <c r="J326" i="16"/>
  <c r="J327" i="16"/>
  <c r="J329" i="16"/>
  <c r="J330" i="16"/>
  <c r="J331" i="16"/>
  <c r="J332" i="16"/>
  <c r="J333" i="16"/>
  <c r="J334" i="16"/>
  <c r="J335" i="16"/>
  <c r="J336" i="16"/>
  <c r="J337" i="16"/>
  <c r="J338" i="16"/>
  <c r="J340" i="16"/>
  <c r="J341" i="16"/>
  <c r="J342" i="16"/>
  <c r="J343" i="16"/>
  <c r="J344" i="16"/>
  <c r="J349" i="16"/>
  <c r="J350" i="16"/>
  <c r="J351" i="16"/>
  <c r="J352" i="16"/>
  <c r="J353" i="16"/>
  <c r="J354" i="16"/>
  <c r="J355" i="16"/>
  <c r="J356" i="16"/>
  <c r="J357" i="16"/>
  <c r="J358" i="16"/>
  <c r="J359" i="16"/>
  <c r="J360" i="16"/>
  <c r="J361" i="16"/>
  <c r="J362" i="16"/>
  <c r="J363" i="16"/>
  <c r="J364" i="16"/>
  <c r="J365" i="16"/>
  <c r="J366" i="16"/>
  <c r="J367" i="16"/>
  <c r="J368" i="16"/>
  <c r="J369" i="16"/>
  <c r="J370" i="16"/>
  <c r="J371" i="16"/>
  <c r="J372" i="16"/>
  <c r="J373" i="16"/>
  <c r="J374" i="16"/>
  <c r="J375" i="16"/>
  <c r="J376" i="16"/>
  <c r="J377" i="16"/>
  <c r="J378" i="16"/>
  <c r="J380" i="16"/>
  <c r="J381" i="16"/>
  <c r="J89" i="16"/>
  <c r="J90" i="16"/>
  <c r="J91" i="16"/>
  <c r="J92" i="16"/>
  <c r="J93" i="16"/>
  <c r="J94" i="16"/>
  <c r="J95" i="16"/>
  <c r="J96" i="16"/>
  <c r="J97" i="16"/>
  <c r="J98" i="16"/>
  <c r="J99" i="16"/>
  <c r="J100" i="16"/>
  <c r="J88" i="16"/>
  <c r="J87" i="16"/>
  <c r="J101" i="16"/>
  <c r="J102" i="16"/>
  <c r="J103" i="16"/>
  <c r="J104" i="16"/>
  <c r="J105" i="16"/>
  <c r="J85" i="16"/>
  <c r="J84" i="16"/>
  <c r="J82" i="16"/>
  <c r="J81" i="16"/>
  <c r="C79" i="15"/>
  <c r="C80" i="15"/>
  <c r="J78" i="16"/>
  <c r="J77" i="16"/>
  <c r="E77" i="16"/>
  <c r="J86" i="16"/>
  <c r="C77" i="16"/>
  <c r="C79" i="16"/>
  <c r="J79" i="16"/>
  <c r="C80" i="16"/>
  <c r="J80" i="16"/>
  <c r="C76" i="16"/>
  <c r="J76" i="16"/>
  <c r="J75" i="16"/>
  <c r="C74" i="15"/>
  <c r="J73"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4" i="16"/>
  <c r="C364" i="15"/>
  <c r="C348" i="15"/>
  <c r="C349" i="15"/>
  <c r="C350" i="15"/>
  <c r="C351" i="15"/>
  <c r="C352" i="15"/>
  <c r="C353" i="15"/>
  <c r="C354" i="15"/>
  <c r="C355" i="15"/>
  <c r="C356" i="15"/>
  <c r="C357" i="15"/>
  <c r="C358" i="15"/>
  <c r="C359" i="15"/>
  <c r="C360" i="15"/>
  <c r="C361" i="15"/>
  <c r="C362" i="15"/>
  <c r="C363" i="15"/>
  <c r="C347" i="15"/>
  <c r="C342" i="15"/>
  <c r="C343" i="15"/>
  <c r="C344" i="15"/>
  <c r="C345" i="15"/>
  <c r="C346" i="15"/>
  <c r="C329" i="15"/>
  <c r="C330" i="15"/>
  <c r="C331" i="15"/>
  <c r="C332" i="15"/>
  <c r="C333" i="15"/>
  <c r="C334" i="15"/>
  <c r="C335" i="15"/>
  <c r="C336" i="15"/>
  <c r="C337" i="15"/>
  <c r="C338" i="15"/>
  <c r="C339" i="15"/>
  <c r="C340" i="15"/>
  <c r="C341" i="15"/>
  <c r="C313" i="15"/>
  <c r="C314" i="15"/>
  <c r="C315" i="15"/>
  <c r="C316" i="15"/>
  <c r="C317" i="15"/>
  <c r="C318" i="15"/>
  <c r="C319" i="15"/>
  <c r="C320" i="15"/>
  <c r="C321" i="15"/>
  <c r="C322" i="15"/>
  <c r="C323" i="15"/>
  <c r="C324" i="15"/>
  <c r="C325" i="15"/>
  <c r="C326" i="15"/>
  <c r="C327" i="15"/>
  <c r="C32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249" i="15"/>
  <c r="C250" i="15"/>
  <c r="C251" i="15"/>
  <c r="C252" i="15"/>
  <c r="C253" i="15"/>
  <c r="C254" i="15"/>
  <c r="C255" i="15"/>
  <c r="C256" i="15"/>
  <c r="C257" i="15"/>
  <c r="C258" i="15"/>
  <c r="C248"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0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169" i="15"/>
  <c r="C165" i="15"/>
  <c r="C166" i="15"/>
  <c r="C167" i="15"/>
  <c r="C168" i="15"/>
  <c r="C164"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88" i="15"/>
  <c r="C89" i="15"/>
  <c r="C90" i="15"/>
  <c r="C91" i="15"/>
  <c r="C92" i="15"/>
  <c r="C93" i="15"/>
  <c r="C94" i="15"/>
  <c r="C95" i="15"/>
  <c r="C96" i="15"/>
  <c r="C97" i="15"/>
  <c r="C98" i="15"/>
  <c r="C99" i="15"/>
  <c r="C100" i="15"/>
  <c r="C87" i="15"/>
  <c r="C81" i="15"/>
  <c r="C82" i="15"/>
  <c r="C83" i="15"/>
  <c r="C84" i="15"/>
  <c r="C85" i="15"/>
  <c r="C86" i="15"/>
  <c r="C76" i="15"/>
  <c r="C77" i="15"/>
  <c r="C78" i="15"/>
  <c r="C75" i="15"/>
  <c r="C2"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2" i="14"/>
  <c r="J2" i="10"/>
  <c r="E68" i="10"/>
  <c r="C68" i="10"/>
  <c r="J68" i="10"/>
  <c r="E70" i="10"/>
  <c r="E71" i="10"/>
  <c r="E72" i="10"/>
  <c r="E67" i="10"/>
  <c r="C67" i="10"/>
  <c r="J67" i="10"/>
  <c r="C70" i="10"/>
  <c r="C71" i="10"/>
  <c r="C72" i="10"/>
  <c r="J72" i="10"/>
  <c r="J66" i="10"/>
  <c r="J21" i="10"/>
  <c r="J3" i="10"/>
  <c r="J4" i="10"/>
  <c r="J5" i="10"/>
  <c r="J6" i="10"/>
  <c r="J7" i="10"/>
  <c r="J8" i="10"/>
  <c r="J9" i="10"/>
  <c r="J10" i="10"/>
  <c r="J11" i="10"/>
  <c r="J12" i="10"/>
  <c r="J13" i="10"/>
  <c r="J14" i="10"/>
  <c r="J15" i="10"/>
  <c r="J16" i="10"/>
  <c r="J17" i="10"/>
  <c r="J18" i="10"/>
  <c r="J19" i="10"/>
  <c r="J20"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70" i="10"/>
  <c r="J71" i="10"/>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2" i="11"/>
  <c r="C67" i="11"/>
  <c r="C68" i="11"/>
  <c r="C69" i="11"/>
  <c r="C70" i="11"/>
  <c r="C66"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2" i="11"/>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2" i="9"/>
  <c r="I45" i="7"/>
  <c r="I44" i="7"/>
  <c r="I52" i="7"/>
  <c r="I73" i="7"/>
  <c r="I72" i="7"/>
  <c r="I71" i="7"/>
  <c r="I70" i="7"/>
  <c r="I65" i="7"/>
  <c r="I63" i="7"/>
  <c r="I61" i="7"/>
  <c r="I60" i="7"/>
  <c r="I59" i="7"/>
  <c r="I57" i="7"/>
  <c r="I55" i="7"/>
  <c r="I54" i="7"/>
  <c r="I53" i="7"/>
  <c r="I51" i="7"/>
  <c r="I50" i="7"/>
  <c r="I49" i="7"/>
  <c r="I47" i="7"/>
  <c r="I46" i="7"/>
  <c r="I43" i="7"/>
  <c r="I42" i="7"/>
  <c r="I41" i="7"/>
  <c r="I40" i="7"/>
  <c r="I39" i="7"/>
  <c r="I37" i="7"/>
  <c r="I36" i="7"/>
  <c r="I35" i="7"/>
  <c r="I34" i="7"/>
  <c r="I30" i="7"/>
  <c r="I29" i="7"/>
  <c r="I27" i="7"/>
  <c r="I25" i="7"/>
  <c r="I24" i="7"/>
  <c r="I23" i="7"/>
  <c r="I21" i="7"/>
  <c r="I19" i="7"/>
  <c r="I17" i="7"/>
  <c r="I16" i="7"/>
  <c r="I15" i="7"/>
  <c r="I14" i="7"/>
  <c r="I13" i="7"/>
  <c r="I11" i="7"/>
  <c r="I10" i="7"/>
  <c r="I9" i="7"/>
  <c r="I7" i="7"/>
  <c r="I5" i="7"/>
  <c r="I4" i="7"/>
  <c r="I3" i="7"/>
  <c r="I2" i="7"/>
  <c r="I56" i="7"/>
  <c r="I62" i="7"/>
  <c r="I69" i="7"/>
  <c r="I18" i="7"/>
  <c r="I22" i="7"/>
  <c r="I66" i="7"/>
  <c r="I28" i="7"/>
  <c r="I33" i="7"/>
  <c r="I64" i="7"/>
  <c r="I68" i="7"/>
  <c r="I20" i="7"/>
  <c r="I6" i="7"/>
  <c r="I8" i="7"/>
  <c r="I26" i="7"/>
  <c r="I31" i="7"/>
  <c r="I38" i="7"/>
  <c r="I48" i="7"/>
  <c r="I58" i="7"/>
  <c r="I67" i="7"/>
  <c r="I12" i="7"/>
  <c r="I32" i="7"/>
  <c r="E28" i="1"/>
  <c r="C28" i="1"/>
  <c r="I28" i="1"/>
  <c r="E29" i="1"/>
  <c r="E30" i="1"/>
  <c r="E32" i="1"/>
  <c r="E33" i="1"/>
  <c r="E34" i="1"/>
  <c r="E35" i="1"/>
  <c r="E36" i="1"/>
  <c r="E37" i="1"/>
  <c r="C37" i="1"/>
  <c r="I37" i="1"/>
  <c r="E38" i="1"/>
  <c r="E39" i="1"/>
  <c r="I41" i="1"/>
  <c r="C29" i="1"/>
  <c r="I29" i="1"/>
  <c r="C30" i="1"/>
  <c r="C32" i="1"/>
  <c r="C33" i="1"/>
  <c r="C34" i="1"/>
  <c r="I34" i="1"/>
  <c r="C35" i="1"/>
  <c r="C36" i="1"/>
  <c r="C38" i="1"/>
  <c r="I38" i="1"/>
  <c r="C39" i="1"/>
  <c r="E27" i="1"/>
  <c r="C27" i="1"/>
  <c r="I22" i="1"/>
  <c r="C23" i="1"/>
  <c r="I21" i="1"/>
  <c r="C15" i="1"/>
  <c r="C16" i="1"/>
  <c r="E16" i="1"/>
  <c r="I16" i="1"/>
  <c r="C17" i="1"/>
  <c r="C18" i="1"/>
  <c r="C19" i="1"/>
  <c r="C20" i="1"/>
  <c r="E20" i="1"/>
  <c r="I20" i="1"/>
  <c r="C24" i="1"/>
  <c r="C25" i="1"/>
  <c r="C26" i="1"/>
  <c r="E15" i="1"/>
  <c r="E17" i="1"/>
  <c r="E18" i="1"/>
  <c r="E19" i="1"/>
  <c r="I19" i="1"/>
  <c r="E23" i="1"/>
  <c r="E24" i="1"/>
  <c r="E25" i="1"/>
  <c r="I25" i="1"/>
  <c r="E26" i="1"/>
  <c r="I14" i="1"/>
  <c r="I10" i="1"/>
  <c r="E12" i="1"/>
  <c r="E13" i="1"/>
  <c r="E11" i="1"/>
  <c r="C11" i="1"/>
  <c r="I11" i="1"/>
  <c r="C12" i="1"/>
  <c r="C13" i="1"/>
  <c r="I13" i="1"/>
  <c r="E3" i="1"/>
  <c r="E4" i="1"/>
  <c r="E5" i="1"/>
  <c r="E6" i="1"/>
  <c r="E7" i="1"/>
  <c r="E8" i="1"/>
  <c r="E9" i="1"/>
  <c r="C9" i="1"/>
  <c r="I9" i="1"/>
  <c r="I26" i="1"/>
  <c r="I30" i="1"/>
  <c r="I35" i="1"/>
  <c r="I39" i="1"/>
  <c r="I43" i="1"/>
  <c r="E2" i="1"/>
  <c r="C3" i="1"/>
  <c r="I3" i="1"/>
  <c r="C4" i="1"/>
  <c r="I4" i="1"/>
  <c r="C5" i="1"/>
  <c r="I5" i="1"/>
  <c r="C6" i="1"/>
  <c r="I6" i="1"/>
  <c r="C7" i="1"/>
  <c r="I7" i="1"/>
  <c r="C8" i="1"/>
  <c r="I8" i="1"/>
  <c r="I15" i="1"/>
  <c r="I33" i="1"/>
  <c r="C2" i="1"/>
  <c r="I12" i="1"/>
  <c r="I17" i="1"/>
  <c r="I18" i="1"/>
  <c r="I23" i="1"/>
  <c r="I24" i="1"/>
  <c r="I27" i="1"/>
  <c r="I32" i="1"/>
  <c r="I36" i="1"/>
  <c r="I40" i="1"/>
  <c r="I42" i="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2" i="2"/>
  <c r="E31" i="2"/>
  <c r="E32" i="2"/>
  <c r="I2" i="1"/>
</calcChain>
</file>

<file path=xl/sharedStrings.xml><?xml version="1.0" encoding="utf-8"?>
<sst xmlns="http://schemas.openxmlformats.org/spreadsheetml/2006/main" count="7876" uniqueCount="2777">
  <si>
    <t>PNL</t>
  </si>
  <si>
    <t>(PNL)External Sales</t>
  </si>
  <si>
    <t>(PNL)Interco Sales</t>
  </si>
  <si>
    <t>(PNL)Total Sales</t>
  </si>
  <si>
    <t>(PNL)Cost of External Sales</t>
  </si>
  <si>
    <t>(PNL)Cost of Interco Sales</t>
  </si>
  <si>
    <t>(PNL)Total Cost of Sales</t>
  </si>
  <si>
    <t>(PNL)Gross Profit</t>
  </si>
  <si>
    <t>(PNL)Commission Income/Mgt Income</t>
  </si>
  <si>
    <t>(PNL)Other Op Income</t>
  </si>
  <si>
    <t>(PNL)Other Op Expense</t>
  </si>
  <si>
    <t>(PNL)Total Other Op Income/ (Exp)</t>
  </si>
  <si>
    <t>(PNL)S&amp;D Personnel Related Cost</t>
  </si>
  <si>
    <t>(PNL)S&amp;D Carriage/Transportation</t>
  </si>
  <si>
    <t>(PNL)S&amp;D Advertising/Promotion</t>
  </si>
  <si>
    <t>(PNL)S&amp;D Overseas Travelling</t>
  </si>
  <si>
    <t>(PNL)S&amp;D Entertainment</t>
  </si>
  <si>
    <t>(PNL)S&amp;D Equipment Expenses</t>
  </si>
  <si>
    <t>(PNL)S&amp;D Rental/Property Related</t>
  </si>
  <si>
    <t>(PNL)S&amp;D Depn of Fixed Assets</t>
  </si>
  <si>
    <t>(PNL)S&amp;D Stationery/Printing/Telephone</t>
  </si>
  <si>
    <t>(PNL)Other S&amp;D Expenses</t>
  </si>
  <si>
    <t>(PNL)Total S&amp;D Expenses</t>
  </si>
  <si>
    <t>(PNL)A&amp;G Personnel Related Cost</t>
  </si>
  <si>
    <t>(PNL)A&amp;G Overseas Travelling</t>
  </si>
  <si>
    <t>(PNL)A&amp;G Transportation</t>
  </si>
  <si>
    <t>(PNL)A&amp;G Entertainment</t>
  </si>
  <si>
    <t>(PNL)A&amp;G Equipment Expenses</t>
  </si>
  <si>
    <t>(PNL)A&amp;G Rental/Property Related</t>
  </si>
  <si>
    <t>(PNL)A&amp;G Depn of Fixed Assets</t>
  </si>
  <si>
    <t>(PNL)A&amp;G Stationery/Printing/Telephone</t>
  </si>
  <si>
    <t>(PNL)A&amp;G IT System Exps</t>
  </si>
  <si>
    <t>(PNL)A&amp;G Purchasing Exps</t>
  </si>
  <si>
    <t>(PNL)A&amp;G Direct Expenses</t>
  </si>
  <si>
    <t>(PNL)Prov for Stock Obso/Pilferage</t>
  </si>
  <si>
    <t>(PNL)Prov for Doubtful Debts</t>
  </si>
  <si>
    <t>(PNL)Bad Debts Recovered</t>
  </si>
  <si>
    <t>(PNL)Stocks Written Down/Written Off</t>
  </si>
  <si>
    <t>(PNL)GST/VAT Expense</t>
  </si>
  <si>
    <t>(PNL)HO / Interco Allocation</t>
  </si>
  <si>
    <t>(PNL)A&amp;G Other Expenses</t>
  </si>
  <si>
    <t>(PNL)Total A&amp;G Expenses</t>
  </si>
  <si>
    <t>(PNL)Profit from Operations</t>
  </si>
  <si>
    <t>(PNL)Interest Income</t>
  </si>
  <si>
    <t>(PNL)Interest Expense</t>
  </si>
  <si>
    <t>(PNL)Realised Forex Gain/(Loss)</t>
  </si>
  <si>
    <t>(PNL)Unrealised Forex Gain/(Loss)</t>
  </si>
  <si>
    <t>(PNL)Dividend Income</t>
  </si>
  <si>
    <t>(PNL)Gain/(Loss) Disposal of FA</t>
  </si>
  <si>
    <t>(PNL)Other Non-Op Income/(Exp)</t>
  </si>
  <si>
    <t>(PNL)Total Non-Op Income/(Exp)</t>
  </si>
  <si>
    <t>(PNL)Profit Before Taxation</t>
  </si>
  <si>
    <t>(PNL)Less: Taxation</t>
  </si>
  <si>
    <t>(PNL)Profit After Taxation</t>
  </si>
  <si>
    <t>(PNL)Dividend Expenses</t>
  </si>
  <si>
    <t>Performance Indicators</t>
  </si>
  <si>
    <t>Gross Profits Margin %</t>
  </si>
  <si>
    <t>Selling &amp; Dist Margin %</t>
  </si>
  <si>
    <t>A&amp;G Margin Direct %</t>
  </si>
  <si>
    <t>A&amp;G Margin Total %</t>
  </si>
  <si>
    <t>Operating Profit Margin %</t>
  </si>
  <si>
    <t>Profit Before Taxation %</t>
  </si>
  <si>
    <t>Profit After Taxation %</t>
  </si>
  <si>
    <t>(PNL) Other A&amp;G Expenses</t>
  </si>
  <si>
    <t>(PNL)A&amp;G Entertainment &amp; Donation</t>
  </si>
  <si>
    <t>Report</t>
  </si>
  <si>
    <t>ItemSeqID</t>
  </si>
  <si>
    <t>ItemSN</t>
  </si>
  <si>
    <t>ItemID</t>
  </si>
  <si>
    <t>New - ItemSeqID</t>
  </si>
  <si>
    <t>New - ItemSN</t>
  </si>
  <si>
    <t>ItemName</t>
  </si>
  <si>
    <t>Insert Script</t>
  </si>
  <si>
    <t>Status</t>
  </si>
  <si>
    <t>Exist</t>
  </si>
  <si>
    <t>New</t>
  </si>
  <si>
    <t>Remove</t>
  </si>
  <si>
    <t>select s.* , i.ItemName from tbFinanceItemSeq s</t>
  </si>
  <si>
    <t>LEFT JOIN tbFinanceItem i on s.ItemID = i.ItemID</t>
  </si>
  <si>
    <t>order by s.ItemSeqID</t>
  </si>
  <si>
    <t>where s.Report = 'PNLS'</t>
  </si>
  <si>
    <t>DELETE FROM tbFinanceItemSeq where Report = 'PNLS'</t>
  </si>
  <si>
    <t>SELECT TOP 10 * FROM tbReport where ReportID = 428;</t>
  </si>
  <si>
    <t>F102 Profit &amp; Loss Account By Month.rpt</t>
  </si>
  <si>
    <t>procReportFinancePNLByMonth</t>
  </si>
  <si>
    <t>PNLS</t>
  </si>
  <si>
    <t>(PNL)Selling &amp; Distribution</t>
  </si>
  <si>
    <t>(PNL)Derivatives Gain/(Loss)</t>
  </si>
  <si>
    <t>(PNL)Forex Gain/(Loss)</t>
  </si>
  <si>
    <t xml:space="preserve"> - External Sales GP %</t>
  </si>
  <si>
    <t xml:space="preserve"> - Interco Sales GP %</t>
  </si>
  <si>
    <t>Rename</t>
  </si>
  <si>
    <t>Combine</t>
  </si>
  <si>
    <t>DELETE FROM tbFinanceItemSeq where Report = 'PNL'</t>
  </si>
  <si>
    <t>where s.Report = 'PNL'</t>
  </si>
  <si>
    <t>INSERT INTO tbFinanceItemSeq(Report,ItemSeqID,ItemSN,ItemID) VALUES('PNL',1,1,1081)</t>
  </si>
  <si>
    <t>INSERT INTO tbFinanceItemSeq(Report,ItemSeqID,ItemSN,ItemID) VALUES('PNL',2,2,1082)</t>
  </si>
  <si>
    <t>INSERT INTO tbFinanceItemSeq(Report,ItemSeqID,ItemSN,ItemID) VALUES('PNL',3,3,1083)</t>
  </si>
  <si>
    <t>INSERT INTO tbFinanceItemSeq(Report,ItemSeqID,ItemSN,ItemID) VALUES('PNL',4,4,1084)</t>
  </si>
  <si>
    <t>INSERT INTO tbFinanceItemSeq(Report,ItemSeqID,ItemSN,ItemID) VALUES('PNL',5,5,1085)</t>
  </si>
  <si>
    <t>INSERT INTO tbFinanceItemSeq(Report,ItemSeqID,ItemSN,ItemID) VALUES('PNL',6,6,1086)</t>
  </si>
  <si>
    <t>INSERT INTO tbFinanceItemSeq(Report,ItemSeqID,ItemSN,ItemID) VALUES('PNL',7,7,1087)</t>
  </si>
  <si>
    <t>INSERT INTO tbFinanceItemSeq(Report,ItemSeqID,ItemSN,ItemID) VALUES('PNL',8,8,1088)</t>
  </si>
  <si>
    <t>INSERT INTO tbFinanceItemSeq(Report,ItemSeqID,ItemSN,ItemID) VALUES('PNL',9,9,1089)</t>
  </si>
  <si>
    <t>INSERT INTO tbFinanceItemSeq(Report,ItemSeqID,ItemSN,ItemID) VALUES('PNL',10,10,1090)</t>
  </si>
  <si>
    <t>INSERT INTO tbFinanceItemSeq(Report,ItemSeqID,ItemSN,ItemID) VALUES('PNL',11,11,1091)</t>
  </si>
  <si>
    <t>INSERT INTO tbFinanceItemSeq(Report,ItemSeqID,ItemSN,ItemID) VALUES('PNL',12,12,1092)</t>
  </si>
  <si>
    <t>INSERT INTO tbFinanceItemSeq(Report,ItemSeqID,ItemSN,ItemID) VALUES('PNL',13,13,1093)</t>
  </si>
  <si>
    <t>INSERT INTO tbFinanceItemSeq(Report,ItemSeqID,ItemSN,ItemID) VALUES('PNL',14,14,1094)</t>
  </si>
  <si>
    <t>INSERT INTO tbFinanceItemSeq(Report,ItemSeqID,ItemSN,ItemID) VALUES('PNL',15,15,1095)</t>
  </si>
  <si>
    <t>INSERT INTO tbFinanceItemSeq(Report,ItemSeqID,ItemSN,ItemID) VALUES('PNL',16,16,1096)</t>
  </si>
  <si>
    <t>INSERT INTO tbFinanceItemSeq(Report,ItemSeqID,ItemSN,ItemID) VALUES('PNL',17,17,1097)</t>
  </si>
  <si>
    <t>INSERT INTO tbFinanceItemSeq(Report,ItemSeqID,ItemSN,ItemID) VALUES('PNL',18,18,1098)</t>
  </si>
  <si>
    <t>INSERT INTO tbFinanceItemSeq(Report,ItemSeqID,ItemSN,ItemID) VALUES('PNL',19,19,1099)</t>
  </si>
  <si>
    <t>INSERT INTO tbFinanceItemSeq(Report,ItemSeqID,ItemSN,ItemID) VALUES('PNL',20,20,1100)</t>
  </si>
  <si>
    <t>INSERT INTO tbFinanceItemSeq(Report,ItemSeqID,ItemSN,ItemID) VALUES('PNL',21,21,1101)</t>
  </si>
  <si>
    <t>INSERT INTO tbFinanceItemSeq(Report,ItemSeqID,ItemSN,ItemID) VALUES('PNL',22,22,1102)</t>
  </si>
  <si>
    <t>INSERT INTO tbFinanceItemSeq(Report,ItemSeqID,ItemSN,ItemID) VALUES('PNL',23,23,1103)</t>
  </si>
  <si>
    <t>INSERT INTO tbFinanceItemSeq(Report,ItemSeqID,ItemSN,ItemID) VALUES('PNL',24,24,1104)</t>
  </si>
  <si>
    <t>INSERT INTO tbFinanceItemSeq(Report,ItemSeqID,ItemSN,ItemID) VALUES('PNL',25,25,1105)</t>
  </si>
  <si>
    <t>INSERT INTO tbFinanceItemSeq(Report,ItemSeqID,ItemSN,ItemID) VALUES('PNL',26,26,1106)</t>
  </si>
  <si>
    <t>INSERT INTO tbFinanceItemSeq(Report,ItemSeqID,ItemSN,ItemID) VALUES('PNL',27,27,1107)</t>
  </si>
  <si>
    <t>INSERT INTO tbFinanceItemSeq(Report,ItemSeqID,ItemSN,ItemID) VALUES('PNL',28,28,1108)</t>
  </si>
  <si>
    <t>INSERT INTO tbFinanceItemSeq(Report,ItemSeqID,ItemSN,ItemID) VALUES('PNL',29,29,1109)</t>
  </si>
  <si>
    <t>INSERT INTO tbFinanceItemSeq(Report,ItemSeqID,ItemSN,ItemID) VALUES('PNL',30,30,1110)</t>
  </si>
  <si>
    <t>INSERT INTO tbFinanceItemSeq(Report,ItemSeqID,ItemSN,ItemID) VALUES('PNL',31,31,1111)</t>
  </si>
  <si>
    <t>INSERT INTO tbFinanceItemSeq(Report,ItemSeqID,ItemSN,ItemID) VALUES('PNL',32,32,1376)</t>
  </si>
  <si>
    <t>INSERT INTO tbFinanceItemSeq(Report,ItemSeqID,ItemSN,ItemID) VALUES('PNL',33,33,1377)</t>
  </si>
  <si>
    <t>INSERT INTO tbFinanceItemSeq(Report,ItemSeqID,ItemSN,ItemID) VALUES('PNL',34,34,1112)</t>
  </si>
  <si>
    <t>INSERT INTO tbFinanceItemSeq(Report,ItemSeqID,ItemSN,ItemID) VALUES('PNL',35,35,1113)</t>
  </si>
  <si>
    <t>INSERT INTO tbFinanceItemSeq(Report,ItemSeqID,ItemSN,ItemID) VALUES('PNL',36,36,1114)</t>
  </si>
  <si>
    <t>INSERT INTO tbFinanceItemSeq(Report,ItemSeqID,ItemSN,ItemID) VALUES('PNL',37,37,1115)</t>
  </si>
  <si>
    <t>INSERT INTO tbFinanceItemSeq(Report,ItemSeqID,ItemSN,ItemID) VALUES('PNL',38,38,1585)</t>
  </si>
  <si>
    <t>INSERT INTO tbFinanceItemSeq(Report,ItemSeqID,ItemSN,ItemID) VALUES('PNL',39,39,1116)</t>
  </si>
  <si>
    <t>INSERT INTO tbFinanceItemSeq(Report,ItemSeqID,ItemSN,ItemID) VALUES('PNL',40,40,1117)</t>
  </si>
  <si>
    <t>INSERT INTO tbFinanceItemSeq(Report,ItemSeqID,ItemSN,ItemID) VALUES('PNL',41,41,1118)</t>
  </si>
  <si>
    <t>INSERT INTO tbFinanceItemSeq(Report,ItemSeqID,ItemSN,ItemID) VALUES('PNL',42,42,1119)</t>
  </si>
  <si>
    <t>INSERT INTO tbFinanceItemSeq(Report,ItemSeqID,ItemSN,ItemID) VALUES('PNL',43,43,1120)</t>
  </si>
  <si>
    <t>INSERT INTO tbFinanceItemSeq(Report,ItemSeqID,ItemSN,ItemID) VALUES('PNL',44,44,1121)</t>
  </si>
  <si>
    <t>INSERT INTO tbFinanceItemSeq(Report,ItemSeqID,ItemSN,ItemID) VALUES('PNL',45,45,1122)</t>
  </si>
  <si>
    <t>INSERT INTO tbFinanceItemSeq(Report,ItemSeqID,ItemSN,ItemID) VALUES('PNL',46,46,1123)</t>
  </si>
  <si>
    <t>INSERT INTO tbFinanceItemSeq(Report,ItemSeqID,ItemSN,ItemID) VALUES('PNL',47,47,1124)</t>
  </si>
  <si>
    <t>INSERT INTO tbFinanceItemSeq(Report,ItemSeqID,ItemSN,ItemID) VALUES('PNL',48,48,1125)</t>
  </si>
  <si>
    <t>INSERT INTO tbFinanceItemSeq(Report,ItemSeqID,ItemSN,ItemID) VALUES('PNL',49,49,1126)</t>
  </si>
  <si>
    <t>INSERT INTO tbFinanceItemSeq(Report,ItemSeqID,ItemSN,ItemID) VALUES('PNL',50,50,1127)</t>
  </si>
  <si>
    <t>INSERT INTO tbFinanceItemSeq(Report,ItemSeqID,ItemSN,ItemID) VALUES('PNL',51,51,1128)</t>
  </si>
  <si>
    <t>INSERT INTO tbFinanceItemSeq(Report,ItemSeqID,ItemSN,ItemID) VALUES('PNL',52,52,1129)</t>
  </si>
  <si>
    <t>INSERT INTO tbFinanceItemSeq(Report,ItemSeqID,ItemSN,ItemID) VALUES('PNL',53,53,1130)</t>
  </si>
  <si>
    <t>INSERT INTO tbFinanceItemSeq(Report,ItemSeqID,ItemSN,ItemID) VALUES('PNL',54,54,1131)</t>
  </si>
  <si>
    <t>INSERT INTO tbFinanceItemSeq(Report,ItemSeqID,ItemSN,ItemID) VALUES('PNL',55,55,1474)</t>
  </si>
  <si>
    <t>INSERT INTO tbFinanceItemSeq(Report,ItemSeqID,ItemSN,ItemID) VALUES('PNL',56,0,46)</t>
  </si>
  <si>
    <t>INSERT INTO tbFinanceItemSeq(Report,ItemSeqID,ItemSN,ItemID) VALUES('PNL',57,1,1135)</t>
  </si>
  <si>
    <t>INSERT INTO tbFinanceItemSeq(Report,ItemSeqID,ItemSN,ItemID) VALUES('PNL',58,2,1136)</t>
  </si>
  <si>
    <t>INSERT INTO tbFinanceItemSeq(Report,ItemSeqID,ItemSN,ItemID) VALUES('PNL',59,3,1137)</t>
  </si>
  <si>
    <t>INSERT INTO tbFinanceItemSeq(Report,ItemSeqID,ItemSN,ItemID) VALUES('PNL',60,4,50)</t>
  </si>
  <si>
    <t>INSERT INTO tbFinanceItemSeq(Report,ItemSeqID,ItemSN,ItemID) VALUES('PNL',61,5,1138)</t>
  </si>
  <si>
    <t>INSERT INTO tbFinanceItemSeq(Report,ItemSeqID,ItemSN,ItemID) VALUES('PNL',62,6,1139)</t>
  </si>
  <si>
    <t>INSERT INTO tbFinanceItemSeq(Report,ItemSeqID,ItemSN,ItemID) VALUES('PNL',63,7,53)</t>
  </si>
  <si>
    <t>INSERT INTO tbFinanceItemSeq(Report,ItemSeqID,ItemSN,ItemID) VALUES('PNL',64,8,52)</t>
  </si>
  <si>
    <t>INSERT INTO tbFinanceItemSeq(Report,ItemSeqID,ItemSN,ItemID) VALUES('PNL',65,9,1140)</t>
  </si>
  <si>
    <t>(PNL)HO/Interco and Other S&amp;D</t>
  </si>
  <si>
    <t>(PNL)HO/Interco Alloc</t>
  </si>
  <si>
    <t>Select * from tbFinanceItem where ItemName like '%(PNL)%'</t>
  </si>
  <si>
    <t>SELECT TOP 10 * FROM tbReport where ReportID = 431;</t>
  </si>
  <si>
    <t xml:space="preserve"> --F131 Balance Sheet.rpt</t>
  </si>
  <si>
    <t xml:space="preserve"> --procReportFinanceBS</t>
  </si>
  <si>
    <t xml:space="preserve"> --(BS)</t>
  </si>
  <si>
    <t>where s.Report = 'BS'</t>
  </si>
  <si>
    <t>DELETE FROM tbFinanceItemSeq where Report = 'BS'</t>
  </si>
  <si>
    <t>BS</t>
  </si>
  <si>
    <t>(BS)Cash and Bank Balances</t>
  </si>
  <si>
    <t>(BS)Fixed Deposits</t>
  </si>
  <si>
    <t>(BS)Stocks</t>
  </si>
  <si>
    <t>(BS)Trade Debtors</t>
  </si>
  <si>
    <t>(BS)Due From Assoc/JV/Related - Current</t>
  </si>
  <si>
    <t>(BS)Due From Interco - Current</t>
  </si>
  <si>
    <t>(BS)Short-Term Investment</t>
  </si>
  <si>
    <t>(BS)Other Debtors/Deposits/Prepayment</t>
  </si>
  <si>
    <t>(BS)TOTAL CURRENT ASSETS</t>
  </si>
  <si>
    <t>(BS)Freehold Land</t>
  </si>
  <si>
    <t>(BS)Leasehold Properties</t>
  </si>
  <si>
    <t>(BS)Construction in Progress</t>
  </si>
  <si>
    <t>(BS)Renovations</t>
  </si>
  <si>
    <t>(BS)Investment Property</t>
  </si>
  <si>
    <t>(BS)Plant, Machinery &amp; Equipment</t>
  </si>
  <si>
    <t>(BS)Furniture and Fittings</t>
  </si>
  <si>
    <t>(BS)Office Equipment &amp; Computers</t>
  </si>
  <si>
    <t>(BS)Motor Vehicles</t>
  </si>
  <si>
    <t>(BS)Less:Accumulated Depreciation</t>
  </si>
  <si>
    <t>(BS)NET FIXED ASSETS</t>
  </si>
  <si>
    <t>(BS)Investment in Subsidiaries</t>
  </si>
  <si>
    <t>(BS)Investment in Assoc/JV/Related</t>
  </si>
  <si>
    <t>(BS)Intangible Assets</t>
  </si>
  <si>
    <t>(BS)Due From Interco - Non Current</t>
  </si>
  <si>
    <t>(BS)Due From Assoc/JV/Related - Non Current</t>
  </si>
  <si>
    <t>(BS)Due From Shareholders</t>
  </si>
  <si>
    <t>(BS)Deferred Tax Assets</t>
  </si>
  <si>
    <t>(BS)Derivatives - Non Current</t>
  </si>
  <si>
    <t>(BS)Goodwill</t>
  </si>
  <si>
    <t>(BS)Less: Impairment/Amortization/Prov</t>
  </si>
  <si>
    <t>(BS)TOTAL NON CURRENT ASSETS</t>
  </si>
  <si>
    <t>(BS)TOTAL ASSETS</t>
  </si>
  <si>
    <t>(BS)OD/Revolving Credit</t>
  </si>
  <si>
    <t>(BS)Trust Receipts/Notes Payable/Factoring</t>
  </si>
  <si>
    <t>(BS)Short Term Loans</t>
  </si>
  <si>
    <t>(BS)Term Loans - Current Portion</t>
  </si>
  <si>
    <t>(BS)Hire Purchase Creditors - Current Li</t>
  </si>
  <si>
    <t>(BS)Trade Creditors</t>
  </si>
  <si>
    <t>(BS)Due to Assoc/JV/Related - Current Li</t>
  </si>
  <si>
    <t>(BS)Due to Interco - Current Li</t>
  </si>
  <si>
    <t>(BS)Prov for Taxation</t>
  </si>
  <si>
    <t>(BS)Other Creditors/Accruals</t>
  </si>
  <si>
    <t>(BS)TOTAL CURRENT LIABILITIES</t>
  </si>
  <si>
    <t>(BS)Long Term Loans</t>
  </si>
  <si>
    <t>(BS)Hire Purchase Creditors - Non Current Li</t>
  </si>
  <si>
    <t>(BS)Due to Assoc/JV/Related - Non Current Li</t>
  </si>
  <si>
    <t>(BS)Due to Interco - Non Current Li</t>
  </si>
  <si>
    <t>(BS)Due to Interbranch</t>
  </si>
  <si>
    <t>(BS)Derivatives - Non Current Li</t>
  </si>
  <si>
    <t>(BS)Deferred Tax Liabilities</t>
  </si>
  <si>
    <t>(BS)TOTAL NON CURRENT LIABILITIES</t>
  </si>
  <si>
    <t>(BS)TOTAL LIABILITIES</t>
  </si>
  <si>
    <t>(BS)Share Capital/Premium/Treasury Shares</t>
  </si>
  <si>
    <t>(BS)Quasi-Equity Loan</t>
  </si>
  <si>
    <t>(BS)Reserves</t>
  </si>
  <si>
    <t>(BS)Accumulated Profits/(Loss)</t>
  </si>
  <si>
    <t>(BS)Minority Interest</t>
  </si>
  <si>
    <t>(BS)Foreign Currency Translation Reserve</t>
  </si>
  <si>
    <t>(BS)TOTAL EQUITY</t>
  </si>
  <si>
    <t>(BS)TOTAL LIAB &amp; EQUITY</t>
  </si>
  <si>
    <t>Debtors Turnover (Days)</t>
  </si>
  <si>
    <t>Stocks Turnover (Days)</t>
  </si>
  <si>
    <t>Liabilities To Equity (Leverage)</t>
  </si>
  <si>
    <t>Debt To Equity</t>
  </si>
  <si>
    <t>Prov for Doubtful Debts</t>
  </si>
  <si>
    <t>Provision for Stock Obso/Pilferage</t>
  </si>
  <si>
    <t>Provision for Plant Maintenance</t>
  </si>
  <si>
    <t>Cash and Bank Balances</t>
  </si>
  <si>
    <t>Fixed Deposits</t>
  </si>
  <si>
    <t>Stocks</t>
  </si>
  <si>
    <t>Trade Debtors</t>
  </si>
  <si>
    <t>Due From Assoc/JV/Related</t>
  </si>
  <si>
    <t>Due From Interco</t>
  </si>
  <si>
    <t>Short-Term Investment</t>
  </si>
  <si>
    <t>Other Debtors/Deposits/Prepayment</t>
  </si>
  <si>
    <t>TOTAL CURRENT ASSETS</t>
  </si>
  <si>
    <t xml:space="preserve">Freehold Land </t>
  </si>
  <si>
    <t>Leasehold Properties</t>
  </si>
  <si>
    <t>Construction in Progress</t>
  </si>
  <si>
    <t>Renovations</t>
  </si>
  <si>
    <t>Investment Property</t>
  </si>
  <si>
    <t>Plant, Machinery &amp; Equipment</t>
  </si>
  <si>
    <t>Furniture and Fittings</t>
  </si>
  <si>
    <t>Office Equipment &amp; Computers</t>
  </si>
  <si>
    <t>Motor Vehicles</t>
  </si>
  <si>
    <t>Less:Accumulated Depreciation/Impairment</t>
  </si>
  <si>
    <t>NET FIXED ASSETS</t>
  </si>
  <si>
    <t>Investment in Subsidiaries</t>
  </si>
  <si>
    <t>Investment in Assoc/JV/Related</t>
  </si>
  <si>
    <t>Intangible Assets</t>
  </si>
  <si>
    <t>Due From Shareholders</t>
  </si>
  <si>
    <t>Deferred Tax Assets</t>
  </si>
  <si>
    <t>Derivatives</t>
  </si>
  <si>
    <t>Goodwill</t>
  </si>
  <si>
    <t>Less: Impairment/Amortization/Prov</t>
  </si>
  <si>
    <t>TOTAL NON CURRENT ASSETS</t>
  </si>
  <si>
    <t>TOTAL ASSETS</t>
  </si>
  <si>
    <t>OD/Revolving Credit</t>
  </si>
  <si>
    <t>Trust Receipts/Notes Payable/Factoring</t>
  </si>
  <si>
    <t>Short Term Loans</t>
  </si>
  <si>
    <t>Term Loans - Current Portion</t>
  </si>
  <si>
    <t xml:space="preserve">Hire Purchase Creditors </t>
  </si>
  <si>
    <t>Trade Creditors</t>
  </si>
  <si>
    <t>Due to Assoc/JV/Related</t>
  </si>
  <si>
    <t>Due to Interco</t>
  </si>
  <si>
    <t>Prov for Taxation</t>
  </si>
  <si>
    <t>Other Creditors/Accruals</t>
  </si>
  <si>
    <t>TOTAL CURRENT LIABILITIES</t>
  </si>
  <si>
    <t>Long Term Loans</t>
  </si>
  <si>
    <t>Hire Purchase Creditors</t>
  </si>
  <si>
    <t>Due to Interbranch</t>
  </si>
  <si>
    <t>Deferred Tax Liabilities</t>
  </si>
  <si>
    <t>TOTAL NON CURRENT LIABILITIES</t>
  </si>
  <si>
    <t>TOTAL LIABILITIES</t>
  </si>
  <si>
    <t>Share Capital/Premium/Treasury Shares</t>
  </si>
  <si>
    <t>Quasi-Equity Loan</t>
  </si>
  <si>
    <t>Reserves</t>
  </si>
  <si>
    <t>Accumulated Profits/(Loss)</t>
  </si>
  <si>
    <t>Minority Interest</t>
  </si>
  <si>
    <t>Foreign Currency Translation Reserve</t>
  </si>
  <si>
    <t>TOTAL EQUITY</t>
  </si>
  <si>
    <t>TOTAL LIAB &amp; EQUITY</t>
  </si>
  <si>
    <t>Creditors Turnover (Days)</t>
  </si>
  <si>
    <t>Liabilities to Equity (Leverage)</t>
  </si>
  <si>
    <t>Debt to Equity</t>
  </si>
  <si>
    <t>Provision for Doubtful Debts</t>
  </si>
  <si>
    <t>Due From Assoc/JV/Related - Current</t>
  </si>
  <si>
    <t>Due From Interco - Current</t>
  </si>
  <si>
    <t>Freehold Land</t>
  </si>
  <si>
    <t>Less:Accumulated Depreciation</t>
  </si>
  <si>
    <t>Due From Interco - Non Current</t>
  </si>
  <si>
    <t>Due From Assoc/JV/Related - Non Current</t>
  </si>
  <si>
    <t>Derivatives - Non Current</t>
  </si>
  <si>
    <t>Hire Purchase Creditors - Current Li</t>
  </si>
  <si>
    <t>Due to Assoc/JV/Related - Current Li</t>
  </si>
  <si>
    <t>Due to Interco - Current Li</t>
  </si>
  <si>
    <t>Hire Purchase Creditors - Non Current Li</t>
  </si>
  <si>
    <t>Due to Assoc/JV/Related - Non Current Li</t>
  </si>
  <si>
    <t>Due to Interco - Non Current Li</t>
  </si>
  <si>
    <t>Derivatives - Non Current Li</t>
  </si>
  <si>
    <t>Old</t>
  </si>
  <si>
    <t>F30 New</t>
  </si>
  <si>
    <t>F30R New</t>
  </si>
  <si>
    <t>F30 Different</t>
  </si>
  <si>
    <t>F32 Different</t>
  </si>
  <si>
    <t>(BS)Less:Accumulated Depreciation/Impairment</t>
  </si>
  <si>
    <t>SELECT TOP 10 * FROM tbReport where ReportID = 430;</t>
  </si>
  <si>
    <t xml:space="preserve"> --F141 Detailed Profit &amp; Loss Account.rpt</t>
  </si>
  <si>
    <t xml:space="preserve"> --procReportFinancePNLDetailByMonth</t>
  </si>
  <si>
    <t>DELETE FROM tbFinanceItemSeq where Report = 'PNLD'</t>
  </si>
  <si>
    <t>where s.Report = 'PNLD'</t>
  </si>
  <si>
    <t xml:space="preserve"> --(PNLD)</t>
  </si>
  <si>
    <t>PNLD</t>
  </si>
  <si>
    <t>(PNLD)External Sales-Goods</t>
  </si>
  <si>
    <t>(PNLD)External Sales-Project Sales</t>
  </si>
  <si>
    <t>(PNLD)External Sales-Cylinder Rental</t>
  </si>
  <si>
    <t>(PNLD)External Sales-Equip Rental</t>
  </si>
  <si>
    <t>(PNLD)External Sales-Repair &amp; Service</t>
  </si>
  <si>
    <t>(PNLD)External Sales-Delivery Charges</t>
  </si>
  <si>
    <t>(PNLD)External Sales-Other Charges</t>
  </si>
  <si>
    <t>(PNLD)External Sales-Mgmt Fee</t>
  </si>
  <si>
    <t>(PNLD)Enternal Sales-Property Rental</t>
  </si>
  <si>
    <t>(PNLD)External Sales</t>
  </si>
  <si>
    <t>(PNLD)Interco Sales-Goods</t>
  </si>
  <si>
    <t>(PNLD)Interco Sales-Cylinder Rental</t>
  </si>
  <si>
    <t>(PNLD)Interco Sales-Equip Rental</t>
  </si>
  <si>
    <t>(PNLD)Interco Sales-Repair &amp; Service</t>
  </si>
  <si>
    <t>(PNLD)Interco Sales-Delivery Charges</t>
  </si>
  <si>
    <t>(PNLD)Interco Sales-Other Charges</t>
  </si>
  <si>
    <t>(PNLD)Interco Sales-Project Sales</t>
  </si>
  <si>
    <t>(PNLD)Interco Sales-Mgmt Fee</t>
  </si>
  <si>
    <t>(PNLD)Interco Sales-Property Rental</t>
  </si>
  <si>
    <t>(PNLD)Interco Sales</t>
  </si>
  <si>
    <t>(PNLD)Assoc/JV/Rel Sales-Goods</t>
  </si>
  <si>
    <t>(PNLD)Assoc/JV/Rel Sales-Cylinder Rental</t>
  </si>
  <si>
    <t>(PNLD)Assoc/JV/Rel Sales-Equip Rental</t>
  </si>
  <si>
    <t>(PNLD)Assoc/JV/Rel Sales-Repair &amp; Service</t>
  </si>
  <si>
    <t>(PNLD)Assoc/JV/Rel Sales-Delivery Charges</t>
  </si>
  <si>
    <t>(PNLD)Assoc/JV/Rel Sales-Other Charges</t>
  </si>
  <si>
    <t>(PNLD)Assoc/JV/Rel Sales-Project Sales</t>
  </si>
  <si>
    <t>(PNLD)Assoc/JV/Rel Sales-Mgmt Fee</t>
  </si>
  <si>
    <t>(PNLD)Assoc/JV/Rel Sales-Property Rental</t>
  </si>
  <si>
    <t>(PNLD)Assoc/JV/Rel Sales</t>
  </si>
  <si>
    <t>(PNLD)Total Sales</t>
  </si>
  <si>
    <t>(PNLD)External COS-Goods</t>
  </si>
  <si>
    <t>(PNLD)External COS-Cylinder Rental</t>
  </si>
  <si>
    <t>(PNLD)External COS-Equip Rental</t>
  </si>
  <si>
    <t>(PNLD)External COS-Repair &amp; Service</t>
  </si>
  <si>
    <t>(PNLD)External COS-Delivery Charges</t>
  </si>
  <si>
    <t>(PNLD)External COS-Other Charges</t>
  </si>
  <si>
    <t>(PNLD)External COS-Project Sales</t>
  </si>
  <si>
    <t>(PNLD)External COS-Prov for Bill Loss</t>
  </si>
  <si>
    <t>(PNLD)Manufacturing Cost</t>
  </si>
  <si>
    <t>(PNLD)Cost of External Sales</t>
  </si>
  <si>
    <t>(PNLD)Interco COS-Goods</t>
  </si>
  <si>
    <t>(PNLD)Interco COS-Cylinder Rental</t>
  </si>
  <si>
    <t>(PNLD)Interco COS-Equip Rental</t>
  </si>
  <si>
    <t>(PNLD)Interco COS-Repair &amp; Service</t>
  </si>
  <si>
    <t>(PNLD)Interco COS-Delivery Charges</t>
  </si>
  <si>
    <t>(PNLD)Interco COS-Other Charges</t>
  </si>
  <si>
    <t>(PNLD)Interco COS-Project Sales</t>
  </si>
  <si>
    <t>Interco COS-Prov for Bill Loss</t>
  </si>
  <si>
    <t>(PNLD)Cost of Interco Sales</t>
  </si>
  <si>
    <t>(PNLD)Assoc/JV/Rel COS-Goods</t>
  </si>
  <si>
    <t>(PNLD)Assoc/JV/Rel COS-Cylinder Rental</t>
  </si>
  <si>
    <t>(PNLD)Assoc/JV/Rel COS-Equip Rental</t>
  </si>
  <si>
    <t>(PNLD)Assoc/JV/Rel COS-Repair &amp; Service</t>
  </si>
  <si>
    <t>(PNLD)Assoc/JV/Rel COS-Delivery Charges</t>
  </si>
  <si>
    <t>(PNLD)Assoc/JV/Rel COS-Other Charges</t>
  </si>
  <si>
    <t>(PNLD)Assoc/JV/Rel COS-Project Sales</t>
  </si>
  <si>
    <t>(PNLD)Cost of Assoc/JV/Rel Sales</t>
  </si>
  <si>
    <t>(PNLD)Carriage Inwards</t>
  </si>
  <si>
    <t>(PNLD)Insurance</t>
  </si>
  <si>
    <t>(PNLD)Handling Charges</t>
  </si>
  <si>
    <t>(PNLD)Import/Custom Duties</t>
  </si>
  <si>
    <t>(PNLD)Dep-Rental Equipment</t>
  </si>
  <si>
    <t>(PNLD)Dep-Onsite Plant</t>
  </si>
  <si>
    <t>(PNLD)Dep-Onsite Storage Tanks</t>
  </si>
  <si>
    <t>(PNLD)Dep-Racks &amp; Cylinders</t>
  </si>
  <si>
    <t>(PNLD)Total Cost of Sales</t>
  </si>
  <si>
    <t>(PNLD)Gross Profit</t>
  </si>
  <si>
    <t>(PNLD)Title:Add Other Operating Income</t>
  </si>
  <si>
    <t>(PNLD)Commission Income</t>
  </si>
  <si>
    <t>(PNLD)Property Rental</t>
  </si>
  <si>
    <t>(PNLD)Admin/Management Income</t>
  </si>
  <si>
    <t>(PNLD)Income on Disposal of Scrap</t>
  </si>
  <si>
    <t>(PNLD)Insurance Claim - Op</t>
  </si>
  <si>
    <t>(PNLD)Logistic Service Income</t>
  </si>
  <si>
    <t>(PNLD)Other Misc Income</t>
  </si>
  <si>
    <t>(PNLD)Other Operating Income</t>
  </si>
  <si>
    <t>(PNLD)Title:Less Other Operating Expenses</t>
  </si>
  <si>
    <t>(PNLD)Amortisation-Trade Name</t>
  </si>
  <si>
    <t>(PNLD)Amortisation-Cust Relationship</t>
  </si>
  <si>
    <t>(PNLD)Amortisation-Trademark &amp; Patent</t>
  </si>
  <si>
    <t>(PNLD)Amortisation-Product License</t>
  </si>
  <si>
    <t>(PNLD)Amortisation-Club Membership</t>
  </si>
  <si>
    <t>(PNLD)Written Off-Trade Name</t>
  </si>
  <si>
    <t>(PNLD)Written Off-Cust Relationship</t>
  </si>
  <si>
    <t>(PNLD)Written Off-Trademark &amp; Patent</t>
  </si>
  <si>
    <t>(PNLD)Written Off-Product License</t>
  </si>
  <si>
    <t>(PNLD)Written Off-Club Membership</t>
  </si>
  <si>
    <t>(PNLD)Other Misc Expenses</t>
  </si>
  <si>
    <t>(PNLD)Other Operating Expenses</t>
  </si>
  <si>
    <t>(PNLD)Total Other Op Income/(Exp)</t>
  </si>
  <si>
    <t>(PNLD)S&amp;D Salary &amp; Leave</t>
  </si>
  <si>
    <t>(PNLD)S&amp;D Provision for Bonus</t>
  </si>
  <si>
    <t>(PNLD)S&amp;D Comms &amp; Incentives</t>
  </si>
  <si>
    <t>(PNLD)S&amp;D Foreign Workers</t>
  </si>
  <si>
    <t>(PNLD)S&amp;D Casual/Temp Staff</t>
  </si>
  <si>
    <t>(PNLD)S&amp;D Overtime</t>
  </si>
  <si>
    <t>(PNLD)S&amp;D Staff Allow &amp; Incentive</t>
  </si>
  <si>
    <t>(PNLD)S&amp;D Shift Allowance</t>
  </si>
  <si>
    <t>(PNLD)S&amp;D Staff Transport</t>
  </si>
  <si>
    <t>(PNLD)S&amp;D Staff Vehicle Expenses</t>
  </si>
  <si>
    <t>(PNLD)S&amp;D Staff Vehicle Rental</t>
  </si>
  <si>
    <t>(PNLD)S&amp;D Social Securities</t>
  </si>
  <si>
    <t>(PNLD)S&amp;D Worker`s Levy</t>
  </si>
  <si>
    <t>(PNLD)S&amp;D Staff Recruitment</t>
  </si>
  <si>
    <t>(PNLD)S&amp;D Staff Training</t>
  </si>
  <si>
    <t>(PNLD)S&amp;D Staff Insurance</t>
  </si>
  <si>
    <t>(PNLD)S&amp;D Staff Medical</t>
  </si>
  <si>
    <t>(PNLD)S&amp;D Staff Welfare</t>
  </si>
  <si>
    <t>(PNLD)S&amp;D Staff Uniforms/PPE</t>
  </si>
  <si>
    <t>(PNLD)S&amp;D Staff Accommodation</t>
  </si>
  <si>
    <t>(PNLD)S&amp;D Other Staff Expenses</t>
  </si>
  <si>
    <t>(PNLD)S&amp;D Expats` Allowance</t>
  </si>
  <si>
    <t>(PNLD)S&amp;D Expats` Housing</t>
  </si>
  <si>
    <t>(PNLD)S&amp;D Expats` Transportation</t>
  </si>
  <si>
    <t>(PNLD)S&amp;D Expats` Education</t>
  </si>
  <si>
    <t>(PNLD)S&amp;D Expats` Phone, Internet, Etc.</t>
  </si>
  <si>
    <t>(PNLD)S&amp;D Expats` Other Expenses</t>
  </si>
  <si>
    <t>(PNLD)S&amp;D Personnel Related Cost</t>
  </si>
  <si>
    <t>(PNLD)S&amp;D Carriage Outwards</t>
  </si>
  <si>
    <t>(PNLD)S&amp;D Transport-Others</t>
  </si>
  <si>
    <t>(PNLD)S&amp;D Road Tax-Motor Vehicle</t>
  </si>
  <si>
    <t>(PNLD)S&amp;D Inspection Fee-Motor Vehicle</t>
  </si>
  <si>
    <t>(PNLD)S&amp;D Leasing of Motor Vehicle</t>
  </si>
  <si>
    <t>(PNLD)S&amp;D Upkeep of Motor Vehicle</t>
  </si>
  <si>
    <t>(PNLD)S&amp;D Endorsement Fees</t>
  </si>
  <si>
    <t>(PNLD)S&amp;D Export Packaging Exps</t>
  </si>
  <si>
    <t>(PNLD)S&amp;D Carriage/Transportation</t>
  </si>
  <si>
    <t>(PNLD)S&amp;D A&amp;P Expenses</t>
  </si>
  <si>
    <t>(PNLD)S&amp;D Exhibition Expenses</t>
  </si>
  <si>
    <t>(PNLD)S&amp;D Business Development</t>
  </si>
  <si>
    <t>(PNLD)S&amp;D Product Development</t>
  </si>
  <si>
    <t>(PNLD)S&amp;D Advertising/Promotion</t>
  </si>
  <si>
    <t>(PNLD)S&amp;D Overseas Travelling</t>
  </si>
  <si>
    <t>(PNLD)S&amp;D Entertainment</t>
  </si>
  <si>
    <t>(PNLD)S&amp;D Travelling/Entertainment</t>
  </si>
  <si>
    <t>(PNLD)S&amp;D Non-capitalised Purchases</t>
  </si>
  <si>
    <t>(PNLD)S&amp;D Leasing of Equipment</t>
  </si>
  <si>
    <t>(PNLD)S&amp;D R&amp;M-Equipment</t>
  </si>
  <si>
    <t>(PNLD)S&amp;D R&amp;M-Machinery</t>
  </si>
  <si>
    <t>(PNLD)S&amp;D R&amp;M-F&amp;F</t>
  </si>
  <si>
    <t>(PNLD)S&amp;D R&amp;M-Office Equip</t>
  </si>
  <si>
    <t>(PNLD)S&amp;D R&amp;M-Computers</t>
  </si>
  <si>
    <t>(PNLD)S&amp;D R&amp;M-Motor Vehicles</t>
  </si>
  <si>
    <t>(PNLD)S&amp;D Insurance of Equipment</t>
  </si>
  <si>
    <t>(PNLD)S&amp;D Insurance of Vehicles</t>
  </si>
  <si>
    <t>(PNLD)S&amp;D Equipment Expenses</t>
  </si>
  <si>
    <t>(PNLD)S&amp;D Rental</t>
  </si>
  <si>
    <t>(PNLD)S&amp;D Upkeep of Premises</t>
  </si>
  <si>
    <t>(PNLD)S&amp;D Waste Disposal</t>
  </si>
  <si>
    <t>(PNLD)S&amp;D Electricity Charges</t>
  </si>
  <si>
    <t>(PNLD)S&amp;D Water Charges</t>
  </si>
  <si>
    <t>(PNLD)S&amp;D Gas Charges</t>
  </si>
  <si>
    <t>(PNLD)S&amp;D Property Tax</t>
  </si>
  <si>
    <t>(PNLD)S&amp;D Licenses Fees</t>
  </si>
  <si>
    <t>(PNLD)S&amp;D Insurance-General</t>
  </si>
  <si>
    <t>(PNLD)S&amp;D Rental/Property Related</t>
  </si>
  <si>
    <t>(PNLD)S&amp;D Dep-Leasehold Land</t>
  </si>
  <si>
    <t>(PNLD)S&amp;D Dep-Land Rights Use</t>
  </si>
  <si>
    <t>(PNLD)S&amp;D Dep-Buildings</t>
  </si>
  <si>
    <t>(PNLD)S&amp;D Dep-Renovations</t>
  </si>
  <si>
    <t>(PNLD)S&amp;D Dep-Machinery</t>
  </si>
  <si>
    <t>(PNLD)S&amp;D Dep-Equipment</t>
  </si>
  <si>
    <t>(PNLD)S&amp;D Dep-Onsite Pipelines</t>
  </si>
  <si>
    <t>(PNLD)S&amp;D Dep-ISO Tanks</t>
  </si>
  <si>
    <t>(PNLD)S&amp;D Dep-Tools</t>
  </si>
  <si>
    <t>(PNLD)S&amp;D Dep-Furniture &amp; Fittings</t>
  </si>
  <si>
    <t>(PNLD)S&amp;D Dep-Office Equip</t>
  </si>
  <si>
    <t>(PNLD)S&amp;D Dep-Computers</t>
  </si>
  <si>
    <t>(PNLD)S&amp;D Dep-Motor Vehicles</t>
  </si>
  <si>
    <t>(PNLD)S&amp;D Depn of Fixed Assets</t>
  </si>
  <si>
    <t>(PNLD)S&amp;D Postage &amp; Mail Charges</t>
  </si>
  <si>
    <t>(PNLD)S&amp;D Printing &amp; Stationaries</t>
  </si>
  <si>
    <t>(PNLD)S&amp;D Telephone/Fax/Videoconference</t>
  </si>
  <si>
    <t>(PNLD)S&amp;D Internet</t>
  </si>
  <si>
    <t>(PNLD)S&amp;D Subscription-Prof Bodies (S&amp;D)</t>
  </si>
  <si>
    <t>(PNLD)S&amp;D Stationery/Printing/Telephone</t>
  </si>
  <si>
    <t>(PNLD)S&amp;D Credit Card Charges</t>
  </si>
  <si>
    <t>(PNLD)S&amp;D Donations</t>
  </si>
  <si>
    <t>(PNLD)S&amp;D Other Misc Expenses</t>
  </si>
  <si>
    <t>(PNLD)S&amp;D A&amp;P Marcom Exps</t>
  </si>
  <si>
    <t>(PNLD)S&amp;D Warehouse &amp; Logistic Exps</t>
  </si>
  <si>
    <t>(PNLD)S&amp;D Product Support Welding</t>
  </si>
  <si>
    <t>(PNLD)S&amp;D Product Support Safety</t>
  </si>
  <si>
    <t>(PNLD)S&amp;D Recovery to/from Interco</t>
  </si>
  <si>
    <t>(PNLD)S&amp;D Head Office Costs/Alloc</t>
  </si>
  <si>
    <t>(PNLD)S&amp;D Other Expenses</t>
  </si>
  <si>
    <t>(PNLD)Total S&amp;D Expenses</t>
  </si>
  <si>
    <t>(PNLD)A&amp;G Salary &amp; Leave</t>
  </si>
  <si>
    <t>(PNLD)A&amp;G Provision for Bonus</t>
  </si>
  <si>
    <t>(PNLD)A&amp;G Comms &amp; Incentives</t>
  </si>
  <si>
    <t>(PNLD)A&amp;G Foreign Workers</t>
  </si>
  <si>
    <t>(PNLD)A&amp;G Casual/Temp Staff</t>
  </si>
  <si>
    <t>(PNLD)A&amp;G Overtime</t>
  </si>
  <si>
    <t>(PNLD)A&amp;G Staff Allow &amp; Incentive</t>
  </si>
  <si>
    <t>(PNLD)A&amp;G Shift Allowance</t>
  </si>
  <si>
    <t>(PNLD)A&amp;G Staff Transport</t>
  </si>
  <si>
    <t>(PNLD)A&amp;G Staff Vehicle Expenses</t>
  </si>
  <si>
    <t>(PNLD)A&amp;G Staff Vehicle Rental</t>
  </si>
  <si>
    <t>(PNLD)A&amp;G Social Securities</t>
  </si>
  <si>
    <t>(PNLD)A&amp;G Workers` Levy</t>
  </si>
  <si>
    <t>(PNLD)A&amp;G Staff Recruitment</t>
  </si>
  <si>
    <t>(PNLD)A&amp;G Staff Training</t>
  </si>
  <si>
    <t>(PNLD)A&amp;G Staff Insurance</t>
  </si>
  <si>
    <t>(PNLD)A&amp;G Staff Medical</t>
  </si>
  <si>
    <t>(PNLD)A&amp;G Staff Welfare</t>
  </si>
  <si>
    <t>(PNLD)A&amp;G Staff Uniforms/PPE</t>
  </si>
  <si>
    <t>(PNLD)A&amp;G Staff Accommodation</t>
  </si>
  <si>
    <t>(PNLD)A&amp;G Other Staff Expenses</t>
  </si>
  <si>
    <t>(PNLD)A&amp;G Expats` Allowance</t>
  </si>
  <si>
    <t>(PNLD)A&amp;G Expats` Housing</t>
  </si>
  <si>
    <t>(PNLD)A&amp;G Expats` Transportation</t>
  </si>
  <si>
    <t>(PNLD)A&amp;G Expats` Education</t>
  </si>
  <si>
    <t>(PNLD)A&amp;G Expats` Phone, Internet, Etc.</t>
  </si>
  <si>
    <t>(PNLD)A&amp;G Expats` Other Expenses</t>
  </si>
  <si>
    <t>(PNLD)A&amp;G Directors Fees</t>
  </si>
  <si>
    <t>(PNLD)A&amp;G Directors Remuneration</t>
  </si>
  <si>
    <t>(PNLD)A&amp;G Directors Allowance</t>
  </si>
  <si>
    <t>(PNLD)A&amp;G Personnel Related Cost</t>
  </si>
  <si>
    <t>(PNLD)A&amp;G Overseas Travelling</t>
  </si>
  <si>
    <t>(PNLD)A&amp;G Transport-Others</t>
  </si>
  <si>
    <t>(PNLD)A&amp;G Road Tax-Motor Vehicle</t>
  </si>
  <si>
    <t>(PNLD)A&amp;G Inspection Fee-Motor Vehicle</t>
  </si>
  <si>
    <t>(PNLD)A&amp;G Leasing of Motor Vehicle</t>
  </si>
  <si>
    <t>(PNLD)A&amp;G Upkeep of Motor Vehicle</t>
  </si>
  <si>
    <t>(PNLD)A&amp;G Entertainment</t>
  </si>
  <si>
    <t>(PNLD)A&amp;G Donations</t>
  </si>
  <si>
    <t>(PNLD)A&amp;G Travelling/Entertainment</t>
  </si>
  <si>
    <t>(PNLD)A&amp;G Leasing of Machinery &amp; Equip</t>
  </si>
  <si>
    <t>(PNLD)A&amp;G Non-Capitalised Purchases</t>
  </si>
  <si>
    <t>(PNLD)A&amp;G R&amp;M-Equipment</t>
  </si>
  <si>
    <t>(PNLD)A&amp;G R&amp;M-Office Equip</t>
  </si>
  <si>
    <t>(PNLD)A&amp;G R&amp;M-F&amp;F</t>
  </si>
  <si>
    <t>(PNLD)A&amp;G R&amp;M-Computers</t>
  </si>
  <si>
    <t>(PNLD)A&amp;G R&amp;M-Motor Vehicles</t>
  </si>
  <si>
    <t>(PNLD)A&amp;G Equipment Expenses</t>
  </si>
  <si>
    <t>(PNLD)A&amp;G Rental of Premises</t>
  </si>
  <si>
    <t>(PNLD)A&amp;G Upkeep of Premises</t>
  </si>
  <si>
    <t>(PNLD)A&amp;G Waste Disposal</t>
  </si>
  <si>
    <t>(PNLD)A&amp;G Electricity Charges</t>
  </si>
  <si>
    <t>(PNLD)A&amp;G Water Charges</t>
  </si>
  <si>
    <t>(PNLD)A&amp;G Gas Charges</t>
  </si>
  <si>
    <t>(PNLD)A&amp;G Property Tax</t>
  </si>
  <si>
    <t>(PNLD)A&amp;G Assessment Fee</t>
  </si>
  <si>
    <t>(PNLD)A&amp;G Stamp Duty</t>
  </si>
  <si>
    <t>(PNLD)A&amp;G Licenses Fees</t>
  </si>
  <si>
    <t>(PNLD)A&amp;G Rental/Property Related</t>
  </si>
  <si>
    <t>(PNLD)A&amp;G Dep-Leasehold Land</t>
  </si>
  <si>
    <t>(PNLD)A&amp;G Dep-Land Rights Use</t>
  </si>
  <si>
    <t>(PNLD)A&amp;G Dep-Buildings</t>
  </si>
  <si>
    <t>(PNLD)A&amp;G Dep-Renovations</t>
  </si>
  <si>
    <t>(PNLD)A&amp;G Dep-Investment Property</t>
  </si>
  <si>
    <t>(PNLD)A&amp;G Dep-Furniture &amp; Fittings</t>
  </si>
  <si>
    <t>(PNLD)A&amp;G Dep-Office Equip</t>
  </si>
  <si>
    <t>(PNLD)A&amp;G Dep-Computers</t>
  </si>
  <si>
    <t>(PNLD)A&amp;G Dep-Motor Vehicles</t>
  </si>
  <si>
    <t>(PNLD)A&amp;G Depn of Fixed Assets</t>
  </si>
  <si>
    <t>(PNLD)A&amp;G Postage &amp; Mail Charges</t>
  </si>
  <si>
    <t>(PNLD)A&amp;G Printing &amp; Stationaries</t>
  </si>
  <si>
    <t>(PNLD)A&amp;G Telephone/Fax/Teleconference</t>
  </si>
  <si>
    <t>(PNLD)A&amp;G Internet</t>
  </si>
  <si>
    <t>(PNLD)A&amp;G Subscription</t>
  </si>
  <si>
    <t>(PNLD)A&amp;G Stationery/Printing/Telephone</t>
  </si>
  <si>
    <t>(PNLD)A&amp;G Directors` Fee</t>
  </si>
  <si>
    <t>(PNLD)A&amp;G Audit Fees</t>
  </si>
  <si>
    <t>(PNLD)A&amp;G Secretarial Fees</t>
  </si>
  <si>
    <t>(PNLD)A&amp;G Tax Fees</t>
  </si>
  <si>
    <t>(PNLD)A&amp;G Legal Fees</t>
  </si>
  <si>
    <t>(PNLD)A&amp;G Professional Fees</t>
  </si>
  <si>
    <t>(PNLD)A&amp;G Consultancy Fees</t>
  </si>
  <si>
    <t>(PNLD)A&amp;G Security Charges</t>
  </si>
  <si>
    <t>(PNLD)A&amp;G Safety Supervision</t>
  </si>
  <si>
    <t>(PNLD)A&amp;G Insurance-General</t>
  </si>
  <si>
    <t>(PNLD)A&amp;G Insurance-Motor Vehicles</t>
  </si>
  <si>
    <t>(PNLD)A&amp;G Insurance-Others</t>
  </si>
  <si>
    <t>(PNLD)A&amp;G Bank Charges</t>
  </si>
  <si>
    <t>(PNLD)A&amp;G Legal/Professional Fee</t>
  </si>
  <si>
    <t>(PNLD)A&amp;G IT System Exps</t>
  </si>
  <si>
    <t>(PNLD)A&amp;G Purchasing Exps</t>
  </si>
  <si>
    <t>(PNLD)A&amp;G Prov for Stock Obsolescence</t>
  </si>
  <si>
    <t>(PNLD)A&amp;G Prov for Pilferage</t>
  </si>
  <si>
    <t>(PNLD)A&amp;G Prov for Doubtful Debt</t>
  </si>
  <si>
    <t>(PNLD)A&amp;G Foreign GST/VAT Expense Off-Interco</t>
  </si>
  <si>
    <t>(PNLD)A&amp;G Stocks Written Down/Written Off</t>
  </si>
  <si>
    <t>(PNLD)A&amp;G Bad Debt Written Off/Recovered</t>
  </si>
  <si>
    <t>(PNLD)A&amp;G GST/VAT Expense Off</t>
  </si>
  <si>
    <t>(PNLD)A&amp;G Recovery to/(from) Interco</t>
  </si>
  <si>
    <t>(PNLD)A&amp;G Head Office Costs/Alloc</t>
  </si>
  <si>
    <t>(PNLD)A&amp;G Other Expenses</t>
  </si>
  <si>
    <t>(PNLD)Total A&amp;G Expenses</t>
  </si>
  <si>
    <t>(PNLD)Total Operating Profit</t>
  </si>
  <si>
    <t>(PNLD)Interest-Bank Overdraft</t>
  </si>
  <si>
    <t>(PNLD)Interest-Factoring/TR/Bill Payback</t>
  </si>
  <si>
    <t>(PNLD)Interest-Short Term Loan</t>
  </si>
  <si>
    <t>(PNLD)Interest-Term Loan</t>
  </si>
  <si>
    <t>(PNLD)Interest-Hire Purchase</t>
  </si>
  <si>
    <t>(PNLD)Interest-Loan from Interco</t>
  </si>
  <si>
    <t>(PNLD)Interest-Loan from Assoc/Rel</t>
  </si>
  <si>
    <t>(PNLD)Interest-Loan from Shareholders</t>
  </si>
  <si>
    <t>(PNLD)Interest-Loan from Others</t>
  </si>
  <si>
    <t>(PNLD)Gain/(loss) on Exch Diff-Reald</t>
  </si>
  <si>
    <t>(PNLD)Gain/(Loss) on Exch Diff-Unreald</t>
  </si>
  <si>
    <t>(PNLD)Finance Expenses</t>
  </si>
  <si>
    <t>(PNLD)Gain/(Loss) on Derivatives-Reald</t>
  </si>
  <si>
    <t>(PNLD)Gain/(Loss) on Derivatives-Unreald</t>
  </si>
  <si>
    <t>(PNLD)Government Grant</t>
  </si>
  <si>
    <t>(PNLD)Insurance Claim - Non-Op</t>
  </si>
  <si>
    <t>(PNLD)Dividend Income</t>
  </si>
  <si>
    <t>(PNLD)Dividend Expenses</t>
  </si>
  <si>
    <t>(PNLD)Interest Income</t>
  </si>
  <si>
    <t>(PNLD)Minority Interest</t>
  </si>
  <si>
    <t>(PNLD)Share of Assoc/JV’s P&amp;L</t>
  </si>
  <si>
    <t>(PNLD)Gain/(Loss) on Disposal of FA</t>
  </si>
  <si>
    <t>(PNLD)Gain/(Loss) on Disposal of Investment</t>
  </si>
  <si>
    <t>(PNLD)Gain/(Loss) on Asset Held for Sales</t>
  </si>
  <si>
    <t>(PNLD)Impairm Loss on Subsidiaries</t>
  </si>
  <si>
    <t>(PNLD)Impairm Loss on Assoc/JV/Rel Co</t>
  </si>
  <si>
    <t>(PNLD)Impairm Loss-Property</t>
  </si>
  <si>
    <t>(PNLD)Impairm Loss-Plant &amp; Equip</t>
  </si>
  <si>
    <t>(PNLD)Impairm Loss-Investment</t>
  </si>
  <si>
    <t>(PNLD)Impairm Loss-Goodwill</t>
  </si>
  <si>
    <t>(PNLD)Impairm Loss-Others</t>
  </si>
  <si>
    <t>(PNLD)Other Non-Operating Exps</t>
  </si>
  <si>
    <t>(PNLD)Real Property Gain Tax</t>
  </si>
  <si>
    <t>(PNLD)Foreign Withholding Tax</t>
  </si>
  <si>
    <t>(PNLD)Negative Goodwill</t>
  </si>
  <si>
    <t>(PNLD)ESOS Expenses</t>
  </si>
  <si>
    <t>(PNLD)Non Operating Income/Expenses</t>
  </si>
  <si>
    <t>(PNLD)Total Non-Op Income/(Exp)</t>
  </si>
  <si>
    <t>(PNLD)Net Profit Before Taxation</t>
  </si>
  <si>
    <t>(PNLD)Title:Less: Taxation</t>
  </si>
  <si>
    <t>(PNLD)Taxation-Current Year</t>
  </si>
  <si>
    <t>(PNLD)Taxation-Prior Year</t>
  </si>
  <si>
    <t>(PNLD)Deferred Tax-Current Year</t>
  </si>
  <si>
    <t>(PNLD)Deferred Tax-Prior Year</t>
  </si>
  <si>
    <t>(PNLD)Net Profit After Taxation</t>
  </si>
  <si>
    <t>(PNLD)Dividends Declared</t>
  </si>
  <si>
    <t>External Sales</t>
  </si>
  <si>
    <t>Interco Sales</t>
  </si>
  <si>
    <t>Assoc/JV/Rel Sales</t>
  </si>
  <si>
    <t>Total Sales</t>
  </si>
  <si>
    <t>Manufacturing Cost</t>
  </si>
  <si>
    <t>Cost of External Sales</t>
  </si>
  <si>
    <t>Cost of Interco Sales</t>
  </si>
  <si>
    <t>Cost of Assoc/JV/Rel Sales</t>
  </si>
  <si>
    <t>Carriage Inwards</t>
  </si>
  <si>
    <t>Insurance</t>
  </si>
  <si>
    <t>Handling Charges</t>
  </si>
  <si>
    <t>Import/Custom Duties</t>
  </si>
  <si>
    <t>Total Cost of Sales</t>
  </si>
  <si>
    <t>Gross Profit</t>
  </si>
  <si>
    <t>Add Other Operating Income</t>
  </si>
  <si>
    <t>Commission Income</t>
  </si>
  <si>
    <t>Property Rental Income</t>
  </si>
  <si>
    <t>Admin/Management Income</t>
  </si>
  <si>
    <t>Gain/(Loss) Disposal of FA</t>
  </si>
  <si>
    <t>Income on Disposal of Scrap</t>
  </si>
  <si>
    <t>Insurance Claim</t>
  </si>
  <si>
    <t>Logistic Service Income</t>
  </si>
  <si>
    <t>Other Misc Income</t>
  </si>
  <si>
    <t>Government Grant</t>
  </si>
  <si>
    <t>Share of Assoc/JV’s P&amp;L</t>
  </si>
  <si>
    <t>Gain on Disposal of Investment</t>
  </si>
  <si>
    <t>Gain on Asset Held for Sales</t>
  </si>
  <si>
    <t>Other Operating Income</t>
  </si>
  <si>
    <t>Less Other Operating Expenses</t>
  </si>
  <si>
    <t>Other Misc Expenses</t>
  </si>
  <si>
    <t xml:space="preserve">Other Non-Operating Exps </t>
  </si>
  <si>
    <t>Loss on Disposal of Investment</t>
  </si>
  <si>
    <t>Loss on Asset Held for Sales</t>
  </si>
  <si>
    <t>Impairm Loss on Subsidiaries</t>
  </si>
  <si>
    <t>Impairm Loss on Assoc/JV/Rel Co</t>
  </si>
  <si>
    <t>Real Property Gain Tax</t>
  </si>
  <si>
    <t>Foreign Withholding Tax</t>
  </si>
  <si>
    <t>Other Operating Expenses</t>
  </si>
  <si>
    <t>Total Other Op Income/(Exp)</t>
  </si>
  <si>
    <t>Salary &amp; Leave</t>
  </si>
  <si>
    <t>Provision for Bonus</t>
  </si>
  <si>
    <t>Comms &amp; Incentives</t>
  </si>
  <si>
    <t>Foreign Workers</t>
  </si>
  <si>
    <t>Casual/Temp Staff</t>
  </si>
  <si>
    <t>Overtime</t>
  </si>
  <si>
    <t>Staff Allow &amp; Incentive</t>
  </si>
  <si>
    <t>Shift Allowance</t>
  </si>
  <si>
    <t>Staff Transport</t>
  </si>
  <si>
    <t>Staff Vehicle Expenses</t>
  </si>
  <si>
    <t>Staff Vehicle Rental</t>
  </si>
  <si>
    <t>Social Securities</t>
  </si>
  <si>
    <t>Staff Recruitment</t>
  </si>
  <si>
    <t>Staff Insurance</t>
  </si>
  <si>
    <t>Staff Medical</t>
  </si>
  <si>
    <t>Staff Welfare</t>
  </si>
  <si>
    <t>Staff Uniforms/PPE</t>
  </si>
  <si>
    <t>Staff Accommodation</t>
  </si>
  <si>
    <t>Other Staff Expenses</t>
  </si>
  <si>
    <t>S&amp;D Personnel Related Cost</t>
  </si>
  <si>
    <t>Carriage Outwards</t>
  </si>
  <si>
    <t>Leasing of Motor Vehicle</t>
  </si>
  <si>
    <t>Upkeep of Motor Vehicle</t>
  </si>
  <si>
    <t>Endorsement Fees</t>
  </si>
  <si>
    <t>Export Packaging Exps</t>
  </si>
  <si>
    <t>S&amp;D Carriage/Transportation</t>
  </si>
  <si>
    <t>A&amp;P Expenses</t>
  </si>
  <si>
    <t>Exhibition Expenses</t>
  </si>
  <si>
    <t>Business Development</t>
  </si>
  <si>
    <t>Product Development</t>
  </si>
  <si>
    <t>S&amp;D Advertising/Promotion</t>
  </si>
  <si>
    <t>Overseas Travelling</t>
  </si>
  <si>
    <t>Entertainment</t>
  </si>
  <si>
    <t>S&amp;D Travelling/Entertainment</t>
  </si>
  <si>
    <t>Non-capitalised Purchases</t>
  </si>
  <si>
    <t>Leasing of Equipment</t>
  </si>
  <si>
    <t>Insurance of Equipment</t>
  </si>
  <si>
    <t>Insurance of Vehicles</t>
  </si>
  <si>
    <t>Upkeep-Machinery</t>
  </si>
  <si>
    <t>Upkeep-Equipment</t>
  </si>
  <si>
    <t>Upkeep-Furniture &amp; Fitting</t>
  </si>
  <si>
    <t>Upkeep-Office Equip</t>
  </si>
  <si>
    <t>Upkeep-Computers</t>
  </si>
  <si>
    <t>S&amp;D Equipment Expenses</t>
  </si>
  <si>
    <t>Rental</t>
  </si>
  <si>
    <t>Upkeep of Premises</t>
  </si>
  <si>
    <t>Waste Disposal</t>
  </si>
  <si>
    <t>Electricity Charges</t>
  </si>
  <si>
    <t>Water Charges</t>
  </si>
  <si>
    <t>Gas Charges</t>
  </si>
  <si>
    <t>Property Tax</t>
  </si>
  <si>
    <t>Licenses Fees</t>
  </si>
  <si>
    <t>S&amp;D Rental/Property Related</t>
  </si>
  <si>
    <t>S&amp;D Depn of Fixed Assets</t>
  </si>
  <si>
    <t>Postage &amp; Mail Charges</t>
  </si>
  <si>
    <t>Printing &amp; Stationaries</t>
  </si>
  <si>
    <t>Telephone/Fax/Videoconference</t>
  </si>
  <si>
    <t>Internet</t>
  </si>
  <si>
    <t>S&amp;D Stationery/Printing/Telephone</t>
  </si>
  <si>
    <t>Credit Card Charges</t>
  </si>
  <si>
    <t>Donations</t>
  </si>
  <si>
    <t>A&amp;P Marcom Exps</t>
  </si>
  <si>
    <t>Warehouse &amp; Logistic Exps</t>
  </si>
  <si>
    <t>Product Support Welding</t>
  </si>
  <si>
    <t>Product Support Safety</t>
  </si>
  <si>
    <t>Recovery to/from Interco</t>
  </si>
  <si>
    <t>Head Office Costs/Alloc</t>
  </si>
  <si>
    <t>Total S&amp;D Expenses</t>
  </si>
  <si>
    <t>Staff Training</t>
  </si>
  <si>
    <t>Directors Fees</t>
  </si>
  <si>
    <t>Directors Remuneration</t>
  </si>
  <si>
    <t>Directors Allowance</t>
  </si>
  <si>
    <t>A&amp;G Personnel Related Cost</t>
  </si>
  <si>
    <t>A&amp;G Travelling/Transportation</t>
  </si>
  <si>
    <t>A&amp;G Entertainment/Donations</t>
  </si>
  <si>
    <t>Leasing of Machinery &amp; Equip</t>
  </si>
  <si>
    <t>Non-Capitalised Purchases</t>
  </si>
  <si>
    <t>A&amp;G Equipment Expenses</t>
  </si>
  <si>
    <t>Rental of Premises</t>
  </si>
  <si>
    <t>Assessment Fee</t>
  </si>
  <si>
    <t>A&amp;G Rental/Property Related</t>
  </si>
  <si>
    <t>A&amp;G Depn of Fixed Assets</t>
  </si>
  <si>
    <t>Telephone/Fax/Teleconference</t>
  </si>
  <si>
    <t>Subscription</t>
  </si>
  <si>
    <t>A&amp;G Stationery/Printing/Telephone</t>
  </si>
  <si>
    <t>Audit Fees</t>
  </si>
  <si>
    <t>Secretarial Fees</t>
  </si>
  <si>
    <t>Tax Fees</t>
  </si>
  <si>
    <t>Legal Fees</t>
  </si>
  <si>
    <t>Professional Fees</t>
  </si>
  <si>
    <t>Consultancy Fees</t>
  </si>
  <si>
    <t>Security Charges</t>
  </si>
  <si>
    <t>Safety Supervision</t>
  </si>
  <si>
    <t>Bank Charges</t>
  </si>
  <si>
    <t>A&amp;G Legal/Professional Fee</t>
  </si>
  <si>
    <t>IT System Exps</t>
  </si>
  <si>
    <t>Purchasing Exps</t>
  </si>
  <si>
    <t>Prov for Stock Obsolescence</t>
  </si>
  <si>
    <t>Prov for Pilferage</t>
  </si>
  <si>
    <t>Prov for Doubtful Debt</t>
  </si>
  <si>
    <t>Bad Debt Written Off/Recovered</t>
  </si>
  <si>
    <t>Stocks Written Down/Written Off</t>
  </si>
  <si>
    <t>GST/VAT Expense Off</t>
  </si>
  <si>
    <t>Foreign GST/VAT Expense Off-Interco</t>
  </si>
  <si>
    <t>Recovery to/(from) Interco</t>
  </si>
  <si>
    <t>A&amp;G Other Expenses</t>
  </si>
  <si>
    <t>Total A&amp;G Expenses</t>
  </si>
  <si>
    <t>Profit from Operations</t>
  </si>
  <si>
    <t>Interest (Expense)</t>
  </si>
  <si>
    <t>Dividend Income</t>
  </si>
  <si>
    <t>Interest Income</t>
  </si>
  <si>
    <t>Negative Goodwill</t>
  </si>
  <si>
    <t>ESOS Expenses</t>
  </si>
  <si>
    <t>Non Operating Income/Expenses</t>
  </si>
  <si>
    <t>Total Non-Op Income/(Exp)</t>
  </si>
  <si>
    <t>Net Profit Before Taxation</t>
  </si>
  <si>
    <r>
      <rPr>
        <b/>
        <sz val="8"/>
        <rFont val="Arial"/>
        <family val="2"/>
      </rPr>
      <t xml:space="preserve">Less: </t>
    </r>
    <r>
      <rPr>
        <b/>
        <u/>
        <sz val="8"/>
        <rFont val="Arial"/>
        <family val="2"/>
      </rPr>
      <t>Taxation</t>
    </r>
  </si>
  <si>
    <t>Taxation</t>
  </si>
  <si>
    <t>Net Profit After Taxation</t>
  </si>
  <si>
    <t>Dividend Declared</t>
  </si>
  <si>
    <t>F141 Old</t>
  </si>
  <si>
    <t>F31 New</t>
  </si>
  <si>
    <t>F31 Diff</t>
  </si>
  <si>
    <t>External Sales-Goods</t>
  </si>
  <si>
    <t>External Sales-Project Sales</t>
  </si>
  <si>
    <t>External Sales-Cylinder Rental</t>
  </si>
  <si>
    <t>External Sales-Equip Rental</t>
  </si>
  <si>
    <t>External Sales-Repair &amp; Service</t>
  </si>
  <si>
    <t>External Sales-Delivery Charges</t>
  </si>
  <si>
    <t>External Sales-Other Charges</t>
  </si>
  <si>
    <t>External Sales-Mgmt Fee</t>
  </si>
  <si>
    <t>Enternal Sales-Property Rental</t>
  </si>
  <si>
    <t>Interco Sales-Goods</t>
  </si>
  <si>
    <t>Interco Sales-Cylinder Rental</t>
  </si>
  <si>
    <t>Interco Sales-Equip Rental</t>
  </si>
  <si>
    <t>Interco Sales-Repair &amp; Service</t>
  </si>
  <si>
    <t>Interco Sales-Delivery Charges</t>
  </si>
  <si>
    <t>Interco Sales-Other Charges</t>
  </si>
  <si>
    <t>Interco Sales-Project Sales</t>
  </si>
  <si>
    <t>Interco Sales-Mgmt Fee</t>
  </si>
  <si>
    <t>Interco Sales-Property Rental</t>
  </si>
  <si>
    <t>Assoc/JV/Rel Sales-Goods</t>
  </si>
  <si>
    <t>Assoc/JV/Rel Sales-Cylinder Rental</t>
  </si>
  <si>
    <t>Assoc/JV/Rel Sales-Equip Rental</t>
  </si>
  <si>
    <t>Assoc/JV/Rel Sales-Repair &amp; Service</t>
  </si>
  <si>
    <t>Assoc/JV/Rel Sales-Delivery Charges</t>
  </si>
  <si>
    <t>Assoc/JV/Rel Sales-Other Charges</t>
  </si>
  <si>
    <t>Assoc/JV/Rel Sales-Project Sales</t>
  </si>
  <si>
    <t>Assoc/JV/Rel Sales-Mgmt Fee</t>
  </si>
  <si>
    <t>Assoc/JV/Rel Sales-Property Rental</t>
  </si>
  <si>
    <t>External COS-Goods</t>
  </si>
  <si>
    <t>External COS-Cylinder Rental</t>
  </si>
  <si>
    <t>External COS-Equip Rental</t>
  </si>
  <si>
    <t>External COS-Repair &amp; Service</t>
  </si>
  <si>
    <t>External COS-Delivery Charges</t>
  </si>
  <si>
    <t>External COS-Other Charges</t>
  </si>
  <si>
    <t>External COS-Project Sales</t>
  </si>
  <si>
    <t>External COS-Prov for Bill Loss</t>
  </si>
  <si>
    <t>Interco COS-Goods</t>
  </si>
  <si>
    <t>Interco COS-Cylinder Rental</t>
  </si>
  <si>
    <t>Interco COS-Equip Rental</t>
  </si>
  <si>
    <t>Interco COS-Repair &amp; Service</t>
  </si>
  <si>
    <t>Interco COS-Delivery Charges</t>
  </si>
  <si>
    <t>Interco COS-Other Charges</t>
  </si>
  <si>
    <t>Interco COS-Project Sales</t>
  </si>
  <si>
    <t>Assoc/JV/Rel COS-Goods</t>
  </si>
  <si>
    <t>Assoc/JV/Rel COS-Cylinder Rental</t>
  </si>
  <si>
    <t>Assoc/JV/Rel COS-Equip Rental</t>
  </si>
  <si>
    <t>Assoc/JV/Rel COS-Repair &amp; Service</t>
  </si>
  <si>
    <t>Assoc/JV/Rel COS-Delivery Charges</t>
  </si>
  <si>
    <t>Assoc/JV/Rel COS-Other Charges</t>
  </si>
  <si>
    <t>Assoc/JV/Rel COS-Project Sales</t>
  </si>
  <si>
    <t>Dep-Rental Equipment</t>
  </si>
  <si>
    <t>Dep-Onsite Plant</t>
  </si>
  <si>
    <t>Dep-Onsite Storage Tanks</t>
  </si>
  <si>
    <t>Dep-Racks &amp; Cylinders</t>
  </si>
  <si>
    <t>Title:Add Other Operating Income</t>
  </si>
  <si>
    <t>Property Rental</t>
  </si>
  <si>
    <t>Insurance Claim - Op</t>
  </si>
  <si>
    <t>Title:Less Other Operating Expenses</t>
  </si>
  <si>
    <t>Amortisation-Trade Name</t>
  </si>
  <si>
    <t>Amortisation-Cust Relationship</t>
  </si>
  <si>
    <t>Amortisation-Trademark &amp; Patent</t>
  </si>
  <si>
    <t>Amortisation-Product License</t>
  </si>
  <si>
    <t>Amortisation-Club Membership</t>
  </si>
  <si>
    <t>Written Off-Trade Name</t>
  </si>
  <si>
    <t>Written Off-Cust Relationship</t>
  </si>
  <si>
    <t>Written Off-Trademark &amp; Patent</t>
  </si>
  <si>
    <t>Written Off-Product License</t>
  </si>
  <si>
    <t>Written Off-Club Membership</t>
  </si>
  <si>
    <t>Total Operating Profit</t>
  </si>
  <si>
    <t>Interest-Bank Overdraft</t>
  </si>
  <si>
    <t>Interest-Factoring/TR/Bill Payback</t>
  </si>
  <si>
    <t>Interest-Short Term Loan</t>
  </si>
  <si>
    <t>Interest-Term Loan</t>
  </si>
  <si>
    <t>Interest-Hire Purchase</t>
  </si>
  <si>
    <t>Interest-Loan from Interco</t>
  </si>
  <si>
    <t>Interest-Loan from Assoc/Rel</t>
  </si>
  <si>
    <t>Interest-Loan from Shareholders</t>
  </si>
  <si>
    <t>Interest-Loan from Others</t>
  </si>
  <si>
    <t>Gain/(loss) on Exch Diff-Reald</t>
  </si>
  <si>
    <t>Gain/(Loss) on Exch Diff-Unreald</t>
  </si>
  <si>
    <t>Finance Expenses</t>
  </si>
  <si>
    <t>Gain/(Loss) on Derivatives-Reald</t>
  </si>
  <si>
    <t>Gain/(Loss) on Derivatives-Unreald</t>
  </si>
  <si>
    <t>Insurance Claim - Non-Op</t>
  </si>
  <si>
    <t>Dividend Expenses</t>
  </si>
  <si>
    <t>Gain/(Loss) on Disposal of FA</t>
  </si>
  <si>
    <t>Gain/(Loss) on Disposal of Investment</t>
  </si>
  <si>
    <t>Gain/(Loss) on Asset Held for Sales</t>
  </si>
  <si>
    <t>Impairm Loss-Property</t>
  </si>
  <si>
    <t>Impairm Loss-Plant &amp; Equip</t>
  </si>
  <si>
    <t>Impairm Loss-Investment</t>
  </si>
  <si>
    <t>Impairm Loss-Goodwill</t>
  </si>
  <si>
    <t>Impairm Loss-Others</t>
  </si>
  <si>
    <t>Other Non-Operating Exps</t>
  </si>
  <si>
    <t>Title:Less: Taxation</t>
  </si>
  <si>
    <t>Taxation-Current Year</t>
  </si>
  <si>
    <t>Taxation-Prior Year</t>
  </si>
  <si>
    <t>Deferred Tax-Current Year</t>
  </si>
  <si>
    <t>Deferred Tax-Prior Year</t>
  </si>
  <si>
    <t>Dividends Declared</t>
  </si>
  <si>
    <t xml:space="preserve">Impairm Loss-Property </t>
  </si>
  <si>
    <t>Transport-Others</t>
  </si>
  <si>
    <t>Road Tax-Motor Vehicle</t>
  </si>
  <si>
    <t>R&amp;M-Machinery</t>
  </si>
  <si>
    <t>R&amp;M-F&amp;F</t>
  </si>
  <si>
    <t>R&amp;M-Office Equip</t>
  </si>
  <si>
    <t>R&amp;M-Computers</t>
  </si>
  <si>
    <t>R&amp;M-Motor Vehicles</t>
  </si>
  <si>
    <t>Dep-Leasehold Land</t>
  </si>
  <si>
    <t>Dep-Land Rights Use</t>
  </si>
  <si>
    <t>Dep-Buildings</t>
  </si>
  <si>
    <t>Dep-Renovations</t>
  </si>
  <si>
    <t>Dep-Machinery</t>
  </si>
  <si>
    <t>Dep-ISO Tanks</t>
  </si>
  <si>
    <t>Dep-Tools</t>
  </si>
  <si>
    <t>Dep-Furniture &amp; Fittings</t>
  </si>
  <si>
    <t>Dep-Office Equip</t>
  </si>
  <si>
    <t>Dep-Computers</t>
  </si>
  <si>
    <t>Dep-Motor Vehicles</t>
  </si>
  <si>
    <t>Subscription-Prof Bodies (S&amp;D)</t>
  </si>
  <si>
    <t>Inspection Fee-Motor Vehicle</t>
  </si>
  <si>
    <t>R&amp;M-Equipment</t>
  </si>
  <si>
    <t>Dep-Investment Property</t>
  </si>
  <si>
    <t>Insurance-General</t>
  </si>
  <si>
    <t>Insurance-Motor Vehicles</t>
  </si>
  <si>
    <t>Insurance-Others</t>
  </si>
  <si>
    <t>Worker`s Levy</t>
  </si>
  <si>
    <t>Expats` Allowance</t>
  </si>
  <si>
    <t>Expats` Housing</t>
  </si>
  <si>
    <t>Expats` Transportation</t>
  </si>
  <si>
    <t>Expats` Education</t>
  </si>
  <si>
    <t>Expats` Phone, Internet, Etc.</t>
  </si>
  <si>
    <t>Expats` Other Expenses</t>
  </si>
  <si>
    <t>Personnel Related Cost</t>
  </si>
  <si>
    <t>Carriage/Transportation</t>
  </si>
  <si>
    <t>Advertising/Promotion</t>
  </si>
  <si>
    <t>Travelling/Entertainment</t>
  </si>
  <si>
    <t>Equipment Expenses</t>
  </si>
  <si>
    <t>Rental/Property Related</t>
  </si>
  <si>
    <t>Dep-Equipment</t>
  </si>
  <si>
    <t>Dep-Onsite Pipelines</t>
  </si>
  <si>
    <t>Depn of Fixed Assets</t>
  </si>
  <si>
    <t>Stationery/Printing/Telephone</t>
  </si>
  <si>
    <t>Other Expenses</t>
  </si>
  <si>
    <t>Total Expenses</t>
  </si>
  <si>
    <t>Worker's Levy</t>
  </si>
  <si>
    <t>Workers` Levy</t>
  </si>
  <si>
    <t>Stamp Duty</t>
  </si>
  <si>
    <t>Directors` Fee</t>
  </si>
  <si>
    <t>Legal/Professional Fee</t>
  </si>
  <si>
    <t>Share of Assoc/JV`s P&amp;L</t>
  </si>
  <si>
    <t>New -ItemSN</t>
  </si>
  <si>
    <t>(PNLD)Property Rental Income</t>
  </si>
  <si>
    <t>(PNLD)Insurance Claim</t>
  </si>
  <si>
    <t>(PNLD)Gain on Disposal of Investment</t>
  </si>
  <si>
    <t>(PNLD)Gain on Asset Held for Sales</t>
  </si>
  <si>
    <t>(PNLD)A&amp;G Entertainment/Donations</t>
  </si>
  <si>
    <t>(PNLD)A&amp;G Travelling/Transportation</t>
  </si>
  <si>
    <t>(PNLD)Interest (Expense)</t>
  </si>
  <si>
    <t>(PNLD)Taxation</t>
  </si>
  <si>
    <t>(PNLD)Loss on Disposal of Investment</t>
  </si>
  <si>
    <t>(PNLD)Loss on Asset Held for Sales</t>
  </si>
  <si>
    <t>(PNLD)S&amp;D Upkeep-Furniture &amp; Fitting</t>
  </si>
  <si>
    <t>(PNLD)S&amp;D Upkeep-Equipment</t>
  </si>
  <si>
    <t>(PNLD)S&amp;D Upkeep-Machinery</t>
  </si>
  <si>
    <t>(PNLD)S&amp;D Upkeep-Office Equip</t>
  </si>
  <si>
    <t>(PNLD)S&amp;D Upkeep-Computers</t>
  </si>
  <si>
    <t>(PNLD)A&amp;G Upkeep-Equipment</t>
  </si>
  <si>
    <t>(PNLD)A&amp;G Upkeep-Office Equip</t>
  </si>
  <si>
    <t>(PNLD)Share of Assoc/JV’s P&amp;L Credit</t>
  </si>
  <si>
    <t>(PNLD)Share of Assoc/JV’s P&amp;L Debit</t>
  </si>
  <si>
    <t>SELECT TOP 10 * FROM tbReport where ReportID = 434;</t>
  </si>
  <si>
    <t xml:space="preserve"> --F142 Detailed Manufacturing Account.rpt</t>
  </si>
  <si>
    <t xml:space="preserve"> --procReportFinanceMADetailByMonth</t>
  </si>
  <si>
    <t xml:space="preserve"> --(MAD)</t>
  </si>
  <si>
    <t>where s.Report = 'MAD'</t>
  </si>
  <si>
    <t>DELETE FROM tbFinanceItemSeq where Report = 'MAD'</t>
  </si>
  <si>
    <t>MAD</t>
  </si>
  <si>
    <t>(MAD)Title:Direct Material</t>
  </si>
  <si>
    <t>(MAD)DM-Raw Materials</t>
  </si>
  <si>
    <t>(MAD)DM-Parts &amp; Access</t>
  </si>
  <si>
    <t>(MAD)DM-Packaging Materials</t>
  </si>
  <si>
    <t>(MAD)DM-Labelling Materials</t>
  </si>
  <si>
    <t>(MAD)DM-Refill Materials</t>
  </si>
  <si>
    <t>(MAD)DM-Others</t>
  </si>
  <si>
    <t>(MAD)DM-Control A/C</t>
  </si>
  <si>
    <t>(MAD)Total Direct Material</t>
  </si>
  <si>
    <t>(MAD)Title:Direct Labour</t>
  </si>
  <si>
    <t>(MAD)DL-Salary &amp; Leave</t>
  </si>
  <si>
    <t>(MAD)DL-Salary Foreign Workers</t>
  </si>
  <si>
    <t>(MAD)DL-Bonus</t>
  </si>
  <si>
    <t>(MAD)DL-Bonus Foreign Workers</t>
  </si>
  <si>
    <t>(MAD)DL-Coms &amp; Incentive</t>
  </si>
  <si>
    <t>(MAD)DL-Foreign Workers</t>
  </si>
  <si>
    <t>(MAD)DL-Contractors</t>
  </si>
  <si>
    <t>(MAD)DL-Casual/Temp Staff</t>
  </si>
  <si>
    <t>(MAD)DL-Overtime</t>
  </si>
  <si>
    <t>(MAD)DL-OT Foreign Workers</t>
  </si>
  <si>
    <t>(MAD)DL-Shift Allow &amp; Incentive</t>
  </si>
  <si>
    <t>(MAD)DL-Worker Allowance</t>
  </si>
  <si>
    <t>(MAD)DL-Worker Transport</t>
  </si>
  <si>
    <t>(MAD)DL-Social Securities</t>
  </si>
  <si>
    <t>(MAD)DL-Worker’s Levy</t>
  </si>
  <si>
    <t>(MAD)DL-Worker Recruitment</t>
  </si>
  <si>
    <t>(MAD)DL-Worker Training</t>
  </si>
  <si>
    <t>(MAD)DL-Worker Insurance</t>
  </si>
  <si>
    <t>(MAD)DL-Worker Medical</t>
  </si>
  <si>
    <t>(MAD)DL-Worker Welfare</t>
  </si>
  <si>
    <t>(MAD)DL-Worker Uniforms/PPE</t>
  </si>
  <si>
    <t>(MAD)DL-Staff Accommodation</t>
  </si>
  <si>
    <t>(MAD)DL-Others</t>
  </si>
  <si>
    <t>(MAD)DL-Control A/C</t>
  </si>
  <si>
    <t>(MAD)Total Direct Labour</t>
  </si>
  <si>
    <t>(MAD)Direct Exps-Electricity</t>
  </si>
  <si>
    <t>(MAD)Direct Exps-LPG</t>
  </si>
  <si>
    <t>(MAD)Direct Exps-Welding Gases</t>
  </si>
  <si>
    <t>(MAD)Prime Cost</t>
  </si>
  <si>
    <t>(MAD)Indirect Material</t>
  </si>
  <si>
    <t>(MAD)Title:Indirect labour</t>
  </si>
  <si>
    <t>(MAD)IL-Salary &amp; Leave</t>
  </si>
  <si>
    <t>(MAD)IL-Bonus</t>
  </si>
  <si>
    <t>(MAD)IL-Coms &amp; Incentive</t>
  </si>
  <si>
    <t>(MAD)IL-Foreign Workers</t>
  </si>
  <si>
    <t>(MAD)IL-Contractors</t>
  </si>
  <si>
    <t>(MAD)IL-Casual/ Temp Staff</t>
  </si>
  <si>
    <t>(MAD)IL-Overtime</t>
  </si>
  <si>
    <t>(MAD)IL-Shift Allow &amp; Incentive</t>
  </si>
  <si>
    <t>(MAD)IL-Worker Allowance</t>
  </si>
  <si>
    <t>(MAD)IL-Staff Transport</t>
  </si>
  <si>
    <t>(MAD)IL-Social Securities</t>
  </si>
  <si>
    <t>(MAD)IL-Worker`s Levy</t>
  </si>
  <si>
    <t>(MAD)IL-Staff Recruitment</t>
  </si>
  <si>
    <t>(MAD)IL-Staff Training</t>
  </si>
  <si>
    <t>(MAD)IL-Staff Insurance</t>
  </si>
  <si>
    <t>(MAD)IL-Staff Medical</t>
  </si>
  <si>
    <t>(MAD)IL-Staff Welfare</t>
  </si>
  <si>
    <t>(MAD)IL-Staff Uniforms/PPE</t>
  </si>
  <si>
    <t>(MAD)IL-Staff Accommodation</t>
  </si>
  <si>
    <t>(MAD)IL-Others</t>
  </si>
  <si>
    <t>(MAD)Expats` Allowance</t>
  </si>
  <si>
    <t>(MAD)Expats` Housing</t>
  </si>
  <si>
    <t>(MAD)Expats` Transportation</t>
  </si>
  <si>
    <t>(MAD)Expats` Education</t>
  </si>
  <si>
    <t>(MAD)Expats` Phone, Internet, Etc.</t>
  </si>
  <si>
    <t>(MAD)Expats` Other Expenses</t>
  </si>
  <si>
    <t>(MAD)Total Indirect Labour</t>
  </si>
  <si>
    <t>(MAD)Electricity Charges</t>
  </si>
  <si>
    <t>(MAD)Water Charges</t>
  </si>
  <si>
    <t>(MAD)Gas Charges</t>
  </si>
  <si>
    <t>(MAD)Carriage Inwards</t>
  </si>
  <si>
    <t>(MAD)Import/Custom Duties</t>
  </si>
  <si>
    <t>(MAD)Handling Charges</t>
  </si>
  <si>
    <t>(MAD)Storage Charges</t>
  </si>
  <si>
    <t>(MAD)Overseas Traveling</t>
  </si>
  <si>
    <t>(MAD)Research &amp; Development</t>
  </si>
  <si>
    <t>(MAD)Product Certification</t>
  </si>
  <si>
    <t>(MAD)Product Testing</t>
  </si>
  <si>
    <t>(MAD)QC Testing</t>
  </si>
  <si>
    <t>(MAD)Manufacturing Loss</t>
  </si>
  <si>
    <t>(MAD)Manufacturing Wastage</t>
  </si>
  <si>
    <t>(MAD)Rejects</t>
  </si>
  <si>
    <t>(MAD)Rework</t>
  </si>
  <si>
    <t>(MAD)Scrap</t>
  </si>
  <si>
    <t>(MAD)Disposal of Sludge</t>
  </si>
  <si>
    <t>(MAD)Total Variable Overhead</t>
  </si>
  <si>
    <t>(MAD)Factory Rental</t>
  </si>
  <si>
    <t>(MAD)Upkeep of Factory</t>
  </si>
  <si>
    <t>(MAD)Property Tax</t>
  </si>
  <si>
    <t>(MAD)Licenses</t>
  </si>
  <si>
    <t>(MAD)Waste Disposal</t>
  </si>
  <si>
    <t>(MAD)R&amp;M-Plant</t>
  </si>
  <si>
    <t>(MAD)R&amp;M-Machinery</t>
  </si>
  <si>
    <t>(MAD)R&amp;M-Equipment</t>
  </si>
  <si>
    <t>(MAD)R&amp;M-Pipelines</t>
  </si>
  <si>
    <t>(MAD)R&amp;M-Storage Tanks</t>
  </si>
  <si>
    <t>(MAD)R&amp;M-ISO Tanks</t>
  </si>
  <si>
    <t>(MAD)R&amp;M-Racks &amp; Cylinders</t>
  </si>
  <si>
    <t>(MAD)R&amp;M-Tools</t>
  </si>
  <si>
    <t>(MAD)R&amp;M-Dies &amp; Moulds</t>
  </si>
  <si>
    <t>(MAD)R&amp;M-Furniture &amp; Fittings</t>
  </si>
  <si>
    <t>(MAD)R&amp;M-Office Equip</t>
  </si>
  <si>
    <t>(MAD)R&amp;M-Computers</t>
  </si>
  <si>
    <t>(MAD)R&amp;M-Vehicles</t>
  </si>
  <si>
    <t>(MAD)Leasing of Machinery &amp; Equip</t>
  </si>
  <si>
    <t>(MAD)Leasing of Vehicles</t>
  </si>
  <si>
    <t>(MAD)Rental of Cylinders</t>
  </si>
  <si>
    <t>(MAD)Dep-Leasehold Land</t>
  </si>
  <si>
    <t>(MAD)Dep-Land Rights Use</t>
  </si>
  <si>
    <t>(MAD)Dep-Buildings</t>
  </si>
  <si>
    <t>(MAD)Dep-Renovations</t>
  </si>
  <si>
    <t>(MAD)Dep-Plant</t>
  </si>
  <si>
    <t>(MAD)Dep-Machinery</t>
  </si>
  <si>
    <t>(MAD)Dep-Equipment</t>
  </si>
  <si>
    <t>(MAD)Dep-Pipelines</t>
  </si>
  <si>
    <t>(MAD)Dep-Storage Tanks</t>
  </si>
  <si>
    <t>(MAD)Dep-Tools</t>
  </si>
  <si>
    <t>(MAD)Dep-Dies &amp; Moulds</t>
  </si>
  <si>
    <t>(MAD)Dep-Spare Parts</t>
  </si>
  <si>
    <t>(MAD)Dep-Furniture &amp; Fittings</t>
  </si>
  <si>
    <t>(MAD)Dep-Office Equip</t>
  </si>
  <si>
    <t>(MAD)Dep-Computers</t>
  </si>
  <si>
    <t>(MAD)Dep-Motor Vehicles</t>
  </si>
  <si>
    <t>(MAD)Amort-Trademark &amp; Patent</t>
  </si>
  <si>
    <t>(MAD)Amort-Product License</t>
  </si>
  <si>
    <t>(MAD)Insurance-General</t>
  </si>
  <si>
    <t>(MAD)Insurance-Motor Vehicles</t>
  </si>
  <si>
    <t>(MAD)Non-Capitalised Purchases</t>
  </si>
  <si>
    <t>(MAD)Postage &amp; Mail Charges</t>
  </si>
  <si>
    <t>(MAD)Printing &amp; Stationeries</t>
  </si>
  <si>
    <t>(MAD)Telephone/Fax/Teleconference</t>
  </si>
  <si>
    <t>(MAD)Internet</t>
  </si>
  <si>
    <t>(MAD)Security Systems</t>
  </si>
  <si>
    <t>(MAD)Subscription-Prof Bodies (Manufac)</t>
  </si>
  <si>
    <t>(MAD)Miscellaneous Expense</t>
  </si>
  <si>
    <t>(MAD)Total Fixed Overhead</t>
  </si>
  <si>
    <t>(MAD)Total Fixed &amp; Variable Overhead</t>
  </si>
  <si>
    <t>(MAD)Total Manufacturing Cost</t>
  </si>
  <si>
    <t>New-ItemSeqID</t>
  </si>
  <si>
    <t>New-ItemSN</t>
  </si>
  <si>
    <t>Direct Material</t>
  </si>
  <si>
    <t>Total Direct Material</t>
  </si>
  <si>
    <t xml:space="preserve">Direct Labour </t>
  </si>
  <si>
    <t>DL-Salary Foreign Workers</t>
  </si>
  <si>
    <t>Total Direct Labour</t>
  </si>
  <si>
    <t>Direct Exps-Electricity</t>
  </si>
  <si>
    <t>Prime Cost</t>
  </si>
  <si>
    <t xml:space="preserve">Indirect Material </t>
  </si>
  <si>
    <t>Indirect labour</t>
  </si>
  <si>
    <t>Expats’ Allowance</t>
  </si>
  <si>
    <t>Expats’ Housing</t>
  </si>
  <si>
    <t>Expats’ Transportation</t>
  </si>
  <si>
    <t>Expats’ Education</t>
  </si>
  <si>
    <t>Expats’ Phone, Internet, Etc.</t>
  </si>
  <si>
    <t>Expats’ Other Expenses</t>
  </si>
  <si>
    <t>QA Allocated Cost</t>
  </si>
  <si>
    <t>PM Allocated Cost</t>
  </si>
  <si>
    <t>Total Indirect Labour</t>
  </si>
  <si>
    <t>Storage Charges</t>
  </si>
  <si>
    <t>Overseas Traveling</t>
  </si>
  <si>
    <t>Research &amp; Development</t>
  </si>
  <si>
    <t>Product Certification</t>
  </si>
  <si>
    <t>Product Testing</t>
  </si>
  <si>
    <t>QC Testing</t>
  </si>
  <si>
    <t>Manufacturing Loss</t>
  </si>
  <si>
    <t>Manufacturing Wastage</t>
  </si>
  <si>
    <t>Rejects</t>
  </si>
  <si>
    <t>Rework</t>
  </si>
  <si>
    <t>Scrap</t>
  </si>
  <si>
    <t>Disposal of Sludge</t>
  </si>
  <si>
    <t xml:space="preserve">Other Variable Overhead </t>
  </si>
  <si>
    <t>Total Variable Overhead</t>
  </si>
  <si>
    <t>Factory Rental</t>
  </si>
  <si>
    <t>Upkeep of Factory</t>
  </si>
  <si>
    <t>Licenses</t>
  </si>
  <si>
    <t>Upkeep-Plant</t>
  </si>
  <si>
    <t>Upkeep-Racks &amp; Cylinders</t>
  </si>
  <si>
    <t>Leasing of Vehicles</t>
  </si>
  <si>
    <t>Rental of Cylinders</t>
  </si>
  <si>
    <t>Printing &amp; Stationeries</t>
  </si>
  <si>
    <t xml:space="preserve">Telephone/Fax/Teleconference </t>
  </si>
  <si>
    <t>Security Systems</t>
  </si>
  <si>
    <t>Miscellaneous Expense</t>
  </si>
  <si>
    <t>Total Fixed Overhead</t>
  </si>
  <si>
    <t>Total Fixed &amp; Variable Overhead</t>
  </si>
  <si>
    <t>Total Manufacturing Cost</t>
  </si>
  <si>
    <t>New Item Name</t>
  </si>
  <si>
    <t>Title:Direct Material</t>
  </si>
  <si>
    <t>DM-Raw Materials</t>
  </si>
  <si>
    <t>DM-Parts &amp; Access</t>
  </si>
  <si>
    <t>DM-Packaging Materials</t>
  </si>
  <si>
    <t>DM-Labelling Materials</t>
  </si>
  <si>
    <t>DM-Refill Materials</t>
  </si>
  <si>
    <t>DM-Others</t>
  </si>
  <si>
    <t>DM-Control A/C</t>
  </si>
  <si>
    <t>Title:Direct Labour</t>
  </si>
  <si>
    <t>DL-Salary &amp; Leave</t>
  </si>
  <si>
    <t>DL-Bonus</t>
  </si>
  <si>
    <t>DL-Bonus Foreign Workers</t>
  </si>
  <si>
    <t>DL-Coms &amp; Incentive</t>
  </si>
  <si>
    <t>DL-Foreign Workers</t>
  </si>
  <si>
    <t>DL-Contractors</t>
  </si>
  <si>
    <t>DL-Casual/Temp Staff</t>
  </si>
  <si>
    <t>DL-Overtime</t>
  </si>
  <si>
    <t>DL-OT Foreign Workers</t>
  </si>
  <si>
    <t>DL-Shift Allow &amp; Incentive</t>
  </si>
  <si>
    <t>DL-Worker Allowance</t>
  </si>
  <si>
    <t>DL-Worker Transport</t>
  </si>
  <si>
    <t>DL-Social Securities</t>
  </si>
  <si>
    <t>DL-Worker’s Levy</t>
  </si>
  <si>
    <t>DL-Worker Recruitment</t>
  </si>
  <si>
    <t>DL-Worker Training</t>
  </si>
  <si>
    <t>DL-Worker Insurance</t>
  </si>
  <si>
    <t>DL-Worker Medical</t>
  </si>
  <si>
    <t>DL-Worker Welfare</t>
  </si>
  <si>
    <t>DL-Worker Uniforms/PPE</t>
  </si>
  <si>
    <t>DL-Staff Accommodation</t>
  </si>
  <si>
    <t>DL-Others</t>
  </si>
  <si>
    <t>DL-Control A/C</t>
  </si>
  <si>
    <t>Direct Exps-LPG</t>
  </si>
  <si>
    <t>Direct Exps-Welding Gases</t>
  </si>
  <si>
    <t>Indirect Material</t>
  </si>
  <si>
    <t>Title:Indirect labour</t>
  </si>
  <si>
    <t>IL-Salary &amp; Leave</t>
  </si>
  <si>
    <t>IL-Bonus</t>
  </si>
  <si>
    <t>IL-Coms &amp; Incentive</t>
  </si>
  <si>
    <t>IL-Foreign Workers</t>
  </si>
  <si>
    <t>IL-Contractors</t>
  </si>
  <si>
    <t>IL-Casual/ Temp Staff</t>
  </si>
  <si>
    <t>IL-Overtime</t>
  </si>
  <si>
    <t>IL-Shift Allow &amp; Incentive</t>
  </si>
  <si>
    <t>IL-Worker Allowance</t>
  </si>
  <si>
    <t>IL-Staff Transport</t>
  </si>
  <si>
    <t>IL-Social Securities</t>
  </si>
  <si>
    <t>IL-Worker`s Levy</t>
  </si>
  <si>
    <t>IL-Staff Recruitment</t>
  </si>
  <si>
    <t>IL-Staff Training</t>
  </si>
  <si>
    <t>IL-Staff Insurance</t>
  </si>
  <si>
    <t>IL-Staff Medical</t>
  </si>
  <si>
    <t>IL-Staff Welfare</t>
  </si>
  <si>
    <t>IL-Staff Uniforms/PPE</t>
  </si>
  <si>
    <t>IL-Staff Accommodation</t>
  </si>
  <si>
    <t>IL-Others</t>
  </si>
  <si>
    <t>R&amp;M-Plant</t>
  </si>
  <si>
    <t>R&amp;M-Pipelines</t>
  </si>
  <si>
    <t>R&amp;M-Storage Tanks</t>
  </si>
  <si>
    <t>R&amp;M-ISO Tanks</t>
  </si>
  <si>
    <t>R&amp;M-Racks &amp; Cylinders</t>
  </si>
  <si>
    <t>R&amp;M-Tools</t>
  </si>
  <si>
    <t>R&amp;M-Dies &amp; Moulds</t>
  </si>
  <si>
    <t>R&amp;M-Furniture &amp; Fittings</t>
  </si>
  <si>
    <t>R&amp;M-Vehicles</t>
  </si>
  <si>
    <t>Dep-Plant</t>
  </si>
  <si>
    <t>Dep-Pipelines</t>
  </si>
  <si>
    <t>Dep-Storage Tanks</t>
  </si>
  <si>
    <t>Dep-Dies &amp; Moulds</t>
  </si>
  <si>
    <t>Dep-Spare Parts</t>
  </si>
  <si>
    <t>Amort-Trademark &amp; Patent</t>
  </si>
  <si>
    <t>Amort-Product License</t>
  </si>
  <si>
    <t>Subscription-Prof Bodies (Manufac)</t>
  </si>
  <si>
    <t>Diff</t>
  </si>
  <si>
    <t xml:space="preserve">DL-Worker Welfare </t>
  </si>
  <si>
    <t xml:space="preserve">DL-Worker Uniforms/PPE </t>
  </si>
  <si>
    <t>Direct Exps-Others</t>
  </si>
  <si>
    <t>IL-Worker’s Levy</t>
  </si>
  <si>
    <t xml:space="preserve">IL-Staff Training </t>
  </si>
  <si>
    <t xml:space="preserve">IL-Staff Medical </t>
  </si>
  <si>
    <t xml:space="preserve">IL-Staff Accommodation </t>
  </si>
  <si>
    <t>R&amp;M-Factory</t>
  </si>
  <si>
    <t xml:space="preserve">R&amp;M-Machinery </t>
  </si>
  <si>
    <t>R&amp;M- Pipelines</t>
  </si>
  <si>
    <t xml:space="preserve">Dep-Equipment </t>
  </si>
  <si>
    <t xml:space="preserve">Insurance-General </t>
  </si>
  <si>
    <t>Remark</t>
  </si>
  <si>
    <t>Dep­Pipelines</t>
  </si>
  <si>
    <t>(MAD)Direct Exps-Others</t>
  </si>
  <si>
    <t>(MAD)QA Allocated Cost</t>
  </si>
  <si>
    <t>(MAD)PM Allocated Cost</t>
  </si>
  <si>
    <t>(MAD)Other Variable Overhead</t>
  </si>
  <si>
    <t>(MAD)R&amp;M-Factory</t>
  </si>
  <si>
    <t>(MAD)Upkeep-Plant</t>
  </si>
  <si>
    <t>(MAD)Upkeep-Machinery</t>
  </si>
  <si>
    <t>(MAD)Upkeep-Equipment</t>
  </si>
  <si>
    <t>(MAD)Upkeep-Racks &amp; Cylinders</t>
  </si>
  <si>
    <t>(MAD)Upkeep-Furniture &amp; Fitting</t>
  </si>
  <si>
    <t>(MAD)Upkeep-Office Equip</t>
  </si>
  <si>
    <t>(MAD)Upkeep-Computers</t>
  </si>
  <si>
    <t>Finance Item</t>
  </si>
  <si>
    <t>6102</t>
  </si>
  <si>
    <t>6103</t>
  </si>
  <si>
    <t>6104</t>
  </si>
  <si>
    <t>6105</t>
  </si>
  <si>
    <t>6106 to 6198</t>
  </si>
  <si>
    <t>6199</t>
  </si>
  <si>
    <t>=SUM(C6:C12)</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</si>
  <si>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</si>
  <si>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</si>
  <si>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</si>
  <si>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</si>
  <si>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</si>
  <si>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</si>
  <si>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</si>
  <si>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</si>
  <si>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</si>
  <si>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</si>
  <si>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</si>
  <si>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</si>
  <si>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</si>
  <si>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</si>
  <si>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</si>
  <si>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</si>
  <si>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</si>
  <si>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</si>
  <si>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</si>
  <si>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</si>
  <si>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</si>
  <si>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</si>
  <si>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</si>
  <si>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6229</t>
  </si>
  <si>
    <t>=SUM(C15:C38)</t>
  </si>
  <si>
    <t>6251</t>
  </si>
  <si>
    <t>6252</t>
  </si>
  <si>
    <t>6253</t>
  </si>
  <si>
    <t>6254</t>
  </si>
  <si>
    <t>=C13+C39+C40:C43</t>
  </si>
  <si>
    <t>6301 to 6310</t>
  </si>
  <si>
    <t>6311</t>
  </si>
  <si>
    <t>6312</t>
  </si>
  <si>
    <t>6313</t>
  </si>
  <si>
    <t>6314</t>
  </si>
  <si>
    <t>6315</t>
  </si>
  <si>
    <t>6316</t>
  </si>
  <si>
    <t>6317</t>
  </si>
  <si>
    <t>6318</t>
  </si>
  <si>
    <t>6319</t>
  </si>
  <si>
    <t>6320</t>
  </si>
  <si>
    <t>6321</t>
  </si>
  <si>
    <t>6322</t>
  </si>
  <si>
    <t>6323</t>
  </si>
  <si>
    <t>6324</t>
  </si>
  <si>
    <t>6325</t>
  </si>
  <si>
    <t>6326</t>
  </si>
  <si>
    <t>6327</t>
  </si>
  <si>
    <t>6328</t>
  </si>
  <si>
    <t>6329</t>
  </si>
  <si>
    <t>6330</t>
  </si>
  <si>
    <t>6351</t>
  </si>
  <si>
    <t>6352</t>
  </si>
  <si>
    <t>6353</t>
  </si>
  <si>
    <t>6354</t>
  </si>
  <si>
    <t>6355</t>
  </si>
  <si>
    <t>6356</t>
  </si>
  <si>
    <t>=SUM(C47:C74)</t>
  </si>
  <si>
    <t>6401</t>
  </si>
  <si>
    <t>6402</t>
  </si>
  <si>
    <t>6403</t>
  </si>
  <si>
    <t>6411</t>
  </si>
  <si>
    <t>6412</t>
  </si>
  <si>
    <t>6413</t>
  </si>
  <si>
    <t>6414</t>
  </si>
  <si>
    <t>6415</t>
  </si>
  <si>
    <t>6421</t>
  </si>
  <si>
    <t>6422</t>
  </si>
  <si>
    <t>6423</t>
  </si>
  <si>
    <t>6424</t>
  </si>
  <si>
    <t>6431</t>
  </si>
  <si>
    <t>6432</t>
  </si>
  <si>
    <t>6433</t>
  </si>
  <si>
    <t>6434</t>
  </si>
  <si>
    <t>6435</t>
  </si>
  <si>
    <t>6436</t>
  </si>
  <si>
    <t>=SUM(C76:C95)</t>
  </si>
  <si>
    <t>=C45+C75+C96</t>
  </si>
  <si>
    <t>6501</t>
  </si>
  <si>
    <t>6502</t>
  </si>
  <si>
    <t>6503</t>
  </si>
  <si>
    <t>6504</t>
  </si>
  <si>
    <t>6505</t>
  </si>
  <si>
    <t>6506</t>
  </si>
  <si>
    <t>6601</t>
  </si>
  <si>
    <t>6602</t>
  </si>
  <si>
    <t>6603</t>
  </si>
  <si>
    <t>6604</t>
  </si>
  <si>
    <t>6605</t>
  </si>
  <si>
    <t>6606</t>
  </si>
  <si>
    <t>6607</t>
  </si>
  <si>
    <t>6608</t>
  </si>
  <si>
    <t>6609</t>
  </si>
  <si>
    <t>6610</t>
  </si>
  <si>
    <t>6611</t>
  </si>
  <si>
    <t>6612</t>
  </si>
  <si>
    <t>6613</t>
  </si>
  <si>
    <t>6620</t>
  </si>
  <si>
    <t>6621</t>
  </si>
  <si>
    <t>6622</t>
  </si>
  <si>
    <t>6623</t>
  </si>
  <si>
    <t>6701</t>
  </si>
  <si>
    <t>6702</t>
  </si>
  <si>
    <t>6703</t>
  </si>
  <si>
    <t>6704</t>
  </si>
  <si>
    <t>6705</t>
  </si>
  <si>
    <t>6706</t>
  </si>
  <si>
    <t>6707</t>
  </si>
  <si>
    <t>6708</t>
  </si>
  <si>
    <t>6709</t>
  </si>
  <si>
    <t>6710</t>
  </si>
  <si>
    <t>6711</t>
  </si>
  <si>
    <t>6712</t>
  </si>
  <si>
    <t>6731</t>
  </si>
  <si>
    <t>6732</t>
  </si>
  <si>
    <t>6733</t>
  </si>
  <si>
    <t>6734</t>
  </si>
  <si>
    <t>6741</t>
  </si>
  <si>
    <t>6742</t>
  </si>
  <si>
    <t>6751</t>
  </si>
  <si>
    <t>6752</t>
  </si>
  <si>
    <t>6761</t>
  </si>
  <si>
    <t>6771</t>
  </si>
  <si>
    <t>6772</t>
  </si>
  <si>
    <t>6773</t>
  </si>
  <si>
    <t>6774</t>
  </si>
  <si>
    <t>6775</t>
  </si>
  <si>
    <t>6776</t>
  </si>
  <si>
    <t>6799</t>
  </si>
  <si>
    <t>=SUM(C98:C156)</t>
  </si>
  <si>
    <t>=C97+C157</t>
  </si>
  <si>
    <t>=C44+C158</t>
  </si>
  <si>
    <t xml:space="preserve"> --(BSD)</t>
  </si>
  <si>
    <t>SELECT TOP 10 * FROM tbReport where ReportID = 432;</t>
  </si>
  <si>
    <t xml:space="preserve"> --F151 Detailed Balance Sheet.rpt</t>
  </si>
  <si>
    <t xml:space="preserve"> --procReportFinanceBSDetailByMonth</t>
  </si>
  <si>
    <t>where s.Report = 'BSD'</t>
  </si>
  <si>
    <t>DELETE FROM tbFinanceItemSeq where Report = 'BSD'</t>
  </si>
  <si>
    <t>BSD</t>
  </si>
  <si>
    <t>(BSD)Cash and Bank Balances</t>
  </si>
  <si>
    <t>(BSD)Fixed Deposits</t>
  </si>
  <si>
    <t>(BSD)Raw Materials</t>
  </si>
  <si>
    <t>(BSD)Prov for Raw Materials</t>
  </si>
  <si>
    <t>(BSD)Semi-Finished Goods</t>
  </si>
  <si>
    <t>(BSD)Work in Progress</t>
  </si>
  <si>
    <t>(BSD)Packing &amp; Labelling Materials</t>
  </si>
  <si>
    <t>(BSD)Prov for Packing &amp; Label Material</t>
  </si>
  <si>
    <t>(BSD)Consumables</t>
  </si>
  <si>
    <t>(BSD)Stocks In Transit</t>
  </si>
  <si>
    <t>(BSD)Finished Goods</t>
  </si>
  <si>
    <t>(BSD)Prov for Finished Goods</t>
  </si>
  <si>
    <t>(BSD)Trading Stocks</t>
  </si>
  <si>
    <t>(BSD)Prov for Trading Stocks</t>
  </si>
  <si>
    <t>(BSD)Prov for Stock Pilferage</t>
  </si>
  <si>
    <t>(BSD)Stocks Adjustment Account</t>
  </si>
  <si>
    <t>(BSD)Trade Debtors</t>
  </si>
  <si>
    <t>(BSD)Prov for Doubtful Debt</t>
  </si>
  <si>
    <t>(BSD)Due from Interco-Trade</t>
  </si>
  <si>
    <t>(BSD)Prov for DD-Interco Trade</t>
  </si>
  <si>
    <t>(BSD)Due from Interco-Non-Trade</t>
  </si>
  <si>
    <t>(BSD)Prov for DD-Interco Non-Trade</t>
  </si>
  <si>
    <t>(BSD)Due from Interco-Loan</t>
  </si>
  <si>
    <t>(BSD)Prov for DD-Interco Loan</t>
  </si>
  <si>
    <t>(BSD)Due from JV Co-Trade</t>
  </si>
  <si>
    <t>(BSD)Prov for DD-JV Co Trade</t>
  </si>
  <si>
    <t>(BSD)Due from JV Co-Non-Trade</t>
  </si>
  <si>
    <t>(BSD)Prov for DD-JV Co Non-Trade</t>
  </si>
  <si>
    <t>(BSD)Due from JV Co-Loan</t>
  </si>
  <si>
    <t>(BSD)Prov for DD-JV Co Loan</t>
  </si>
  <si>
    <t>(BSD)Due from Assoc-Trade</t>
  </si>
  <si>
    <t>(BSD)Prov for DD-Assoc Trade</t>
  </si>
  <si>
    <t>(BSD)Due from Assoc-Non-Trade</t>
  </si>
  <si>
    <t>(BSD)Prov for DD-Assoc Non-Trade</t>
  </si>
  <si>
    <t>(BSD)Due from Assoc-Loan</t>
  </si>
  <si>
    <t>(BSD)Prov for DD-Assoc Loan</t>
  </si>
  <si>
    <t>(BSD)Due from Rel-Trade</t>
  </si>
  <si>
    <t>(BSD)Prov for DD-Rel Trade</t>
  </si>
  <si>
    <t>(BSD)Due from Rel-Non-Trade</t>
  </si>
  <si>
    <t>(BSD)Prov for DD-Rel Non-Trade</t>
  </si>
  <si>
    <t>(BSD)Prov for Gain/Loss in FX (Debtors)</t>
  </si>
  <si>
    <t>(BSD)Marketable Securities</t>
  </si>
  <si>
    <t>(BSD)Prov for Gain/Loss In Mkt Sec</t>
  </si>
  <si>
    <t>(BSD)Derivatives - Current</t>
  </si>
  <si>
    <t>(BSD)Assets Held For Sale</t>
  </si>
  <si>
    <t>(BSD)Tax Recoverable</t>
  </si>
  <si>
    <t>(BSD)GST-Input</t>
  </si>
  <si>
    <t>(BSD)Prepayment</t>
  </si>
  <si>
    <t>(BSD)Deposit</t>
  </si>
  <si>
    <t>(BSD)Advance to Supplier</t>
  </si>
  <si>
    <t>(BSD)Staff Advance</t>
  </si>
  <si>
    <t>(BSD)Staff Loan</t>
  </si>
  <si>
    <t>(BSD)HP Int in Suspense</t>
  </si>
  <si>
    <t>(BSD)Interest Receivables</t>
  </si>
  <si>
    <t>(BSD)Recoverable Exps</t>
  </si>
  <si>
    <t>(BSD)Other Misc Debtors</t>
  </si>
  <si>
    <t>(BSD)Suspense-GST</t>
  </si>
  <si>
    <t>(BSD)Suspense-Others</t>
  </si>
  <si>
    <t>(BSD)TOTAL CURRENT ASSETS</t>
  </si>
  <si>
    <t>(BSD)Land-Freehold</t>
  </si>
  <si>
    <t>(BSD)Land-Leasehold</t>
  </si>
  <si>
    <t>(BSD)Accum Dep-Leasehold land</t>
  </si>
  <si>
    <t>(BSD)Land-Rights</t>
  </si>
  <si>
    <t>(BSD)Accum Dep-Land Rights</t>
  </si>
  <si>
    <t>(BSD)Building</t>
  </si>
  <si>
    <t>(BSD)Accum Dep-Building</t>
  </si>
  <si>
    <t>(BSD)Construction in Progress</t>
  </si>
  <si>
    <t>(BSD)Renovations</t>
  </si>
  <si>
    <t>(BSD)Accum Dep-Renovations</t>
  </si>
  <si>
    <t>(BSD)Investment Property</t>
  </si>
  <si>
    <t>(BSD)Accum Dep-Investment Property</t>
  </si>
  <si>
    <t>(BSD)Plant</t>
  </si>
  <si>
    <t>(BSD)Accum Dep-Plant</t>
  </si>
  <si>
    <t>(BSD)Prov for Impairment-Plant</t>
  </si>
  <si>
    <t>(BSD)Machinery</t>
  </si>
  <si>
    <t>(BSD)Accum Dep-Machinery</t>
  </si>
  <si>
    <t>(BSD)Equipment</t>
  </si>
  <si>
    <t>(BSD)Accum Dep-Equipment</t>
  </si>
  <si>
    <t>(BSD)Rental Equipment</t>
  </si>
  <si>
    <t>(BSD)Accum Dep-Rental Equipment</t>
  </si>
  <si>
    <t>(BSD)Pipelines</t>
  </si>
  <si>
    <t>(BSD)Accum Dep-Pipelines</t>
  </si>
  <si>
    <t>(BSD)Storage Tanks</t>
  </si>
  <si>
    <t>(BSD)Accum Dep-Storage Tanks</t>
  </si>
  <si>
    <t>(BSD)ISO Tanks</t>
  </si>
  <si>
    <t>(BSD)Accum Dep-ISO Tanks</t>
  </si>
  <si>
    <t>(BSD)Racks &amp; Cylinders</t>
  </si>
  <si>
    <t>(BSD)Accum Dep-Racks &amp; Cylinders</t>
  </si>
  <si>
    <t>(BSD)Prov for Impairment–Racks &amp; Cylinders</t>
  </si>
  <si>
    <t>(BSD)Tools</t>
  </si>
  <si>
    <t>(BSD)Accum Dep-Tools</t>
  </si>
  <si>
    <t>(BSD)Dies &amp; Moulds</t>
  </si>
  <si>
    <t>(BSD)Accum Dep-Dies &amp; Moulds</t>
  </si>
  <si>
    <t>(BSD)Spare Parts</t>
  </si>
  <si>
    <t>(BSD)Accum Dep -Spare Parts</t>
  </si>
  <si>
    <t>(BSD)Furniture &amp; Fittings</t>
  </si>
  <si>
    <t>(BSD)Accum Dep-F&amp;F</t>
  </si>
  <si>
    <t>(BSD)Office Equipment</t>
  </si>
  <si>
    <t>(BSD)Accum Dep-Office Equip</t>
  </si>
  <si>
    <t>(BSD)Computer</t>
  </si>
  <si>
    <t>(BSD)Accum Dep-Computer</t>
  </si>
  <si>
    <t>(BSD)Motor Vehicle</t>
  </si>
  <si>
    <t>(BSD)Accum Dep-Motor Vehicle</t>
  </si>
  <si>
    <t>(BSD)NET FIXED ASSETS</t>
  </si>
  <si>
    <t>(BSD)Investment in Subsidiary</t>
  </si>
  <si>
    <t>(BSD)Investment in JV Co</t>
  </si>
  <si>
    <t>(BSD)Investment in Assoc Co</t>
  </si>
  <si>
    <t>(BSD)Investment in Rel Co</t>
  </si>
  <si>
    <t>(BSD)Investment in Quoted shares</t>
  </si>
  <si>
    <t>(BSD)Intangibles-Trade Name</t>
  </si>
  <si>
    <t>(BSD)Intangibles-Customer Relationship</t>
  </si>
  <si>
    <t>(BSD)Intangibles-Trademark &amp; Patent</t>
  </si>
  <si>
    <t>(BSD)Intangibles-Product License</t>
  </si>
  <si>
    <t>(BSD)Intangibles-Club Membership</t>
  </si>
  <si>
    <t>(BSD)Intangibles-Others</t>
  </si>
  <si>
    <t>(BSD)Due From Interco - Non Current</t>
  </si>
  <si>
    <t>(BSD)Due from JV/Assoc</t>
  </si>
  <si>
    <t>(BSD)Due from Rel Parties</t>
  </si>
  <si>
    <t>(BSD)Due from Shareholders - Non Current</t>
  </si>
  <si>
    <t>(BSD)Derivatives - Non Current</t>
  </si>
  <si>
    <t>(BSD)Deferred Tax Assets</t>
  </si>
  <si>
    <t>(BSD)Goodwill</t>
  </si>
  <si>
    <t>(BSD)Less: Impairment/Amortization/Prov</t>
  </si>
  <si>
    <t>(BSD)TOTAL NON CURRENT ASSETS</t>
  </si>
  <si>
    <t>(BSD)TOTAL ASSETS</t>
  </si>
  <si>
    <t>(BSD)Bank Overdraft</t>
  </si>
  <si>
    <t>(BSD)Revolving Credit</t>
  </si>
  <si>
    <t>(BSD)Factoring/Bills Payable/TR</t>
  </si>
  <si>
    <t>(BSD)Short-Term Loan</t>
  </si>
  <si>
    <t>(BSD)Term Loan-Current</t>
  </si>
  <si>
    <t>(BSD)HP Creditors-Current</t>
  </si>
  <si>
    <t>(BSD)Creditors</t>
  </si>
  <si>
    <t>(BSD)Accrued Purchases-External</t>
  </si>
  <si>
    <t>(BSD)Accrued Purchases-Interco</t>
  </si>
  <si>
    <t>(BSD)Accrued Purchases-JV</t>
  </si>
  <si>
    <t>(BSD)Accrued Purchases-Assoc</t>
  </si>
  <si>
    <t>(BSD)Accrued Purchases-Rel</t>
  </si>
  <si>
    <t>(BSD)Due to Interco-Trade</t>
  </si>
  <si>
    <t>(BSD)Due to Interco-Non-Trade</t>
  </si>
  <si>
    <t>(BSD)Due to Interco-Loan - Current Li</t>
  </si>
  <si>
    <t>(BSD)Due to JV-Trade</t>
  </si>
  <si>
    <t>(BSD)Due to JV-Non-Trade</t>
  </si>
  <si>
    <t>(BSD)Due to JV-Loan - Current Li</t>
  </si>
  <si>
    <t>(BSD)Due to Assoc-Trade</t>
  </si>
  <si>
    <t>(BSD)Due to Assoc-Non-Trade</t>
  </si>
  <si>
    <t>(BSD)Due to Assoc-Loan - Current Li</t>
  </si>
  <si>
    <t>(BSD)Due to Rel Parties-Trade</t>
  </si>
  <si>
    <t>(BSD)Due to Rel Parties-Non-Trade</t>
  </si>
  <si>
    <t>(BSD)Due to Interbranch - Current Li</t>
  </si>
  <si>
    <t>(BSD)Due to Shareholders - Current Li</t>
  </si>
  <si>
    <t>(BSD)Prov for Gain/Loss in FX (Creditors)</t>
  </si>
  <si>
    <t>(BSD)Prov for taxation (Current Year)</t>
  </si>
  <si>
    <t>(BSD)Prov for taxation (Prior Year)</t>
  </si>
  <si>
    <t>(BSD)Accruals-Salary and Leave</t>
  </si>
  <si>
    <t>(BSD)Accruals-Social Securities</t>
  </si>
  <si>
    <t>(BSD)Accruals-Other HR Exps</t>
  </si>
  <si>
    <t>(BSD)Accruals-Staff Claims</t>
  </si>
  <si>
    <t>(BSD)Accruals-Transportation</t>
  </si>
  <si>
    <t>(BSD)Accruals-Audit Fees</t>
  </si>
  <si>
    <t>(BSD)Accruals-Tax Fees</t>
  </si>
  <si>
    <t>(BSD)Accruals-Professional Fees</t>
  </si>
  <si>
    <t>(BSD)Accruals-Interest Payables</t>
  </si>
  <si>
    <t>(BSD)Accruals-Others</t>
  </si>
  <si>
    <t>(BSD)Customer Deposit</t>
  </si>
  <si>
    <t>(BSD)Customer down payment</t>
  </si>
  <si>
    <t>(BSD)Deferred Revenue-Cash Vouchers</t>
  </si>
  <si>
    <t>(BSD)Other Creditors-Landed Cost</t>
  </si>
  <si>
    <t>(BSD)Landed Cost Clearing A/C</t>
  </si>
  <si>
    <t>(BSD)Other Creditors-Sundry</t>
  </si>
  <si>
    <t>(BSD)Other Creditors-Bill Lost Clear</t>
  </si>
  <si>
    <t>(BSD)Other Creditors-W/H Tax</t>
  </si>
  <si>
    <t>(BSD)Other Creditors-Others</t>
  </si>
  <si>
    <t>(BSD)GST-output</t>
  </si>
  <si>
    <t>(BSD)Proposed Dividend</t>
  </si>
  <si>
    <t>(BSD)Dividend Payable</t>
  </si>
  <si>
    <t>(BSD)Derivatives - Current Li</t>
  </si>
  <si>
    <t>(BSD)Prov for Bonus</t>
  </si>
  <si>
    <t>(BSD)Prov for Com &amp; Incentives</t>
  </si>
  <si>
    <t>(BSD)Prov for Gratuities</t>
  </si>
  <si>
    <t>(BSD)Prov for A&amp;P</t>
  </si>
  <si>
    <t>(BSD)Prov for Cylinder Loss</t>
  </si>
  <si>
    <t>(BSD)Prov for Plant Maintenance</t>
  </si>
  <si>
    <t>(BSD)TOTAL CURRENT LIABILITIES</t>
  </si>
  <si>
    <t>(BSD)Long-Term Loan</t>
  </si>
  <si>
    <t>(BSD)HP Creditors</t>
  </si>
  <si>
    <t>(BSD)Due to Interco-Loan - Non Current Li</t>
  </si>
  <si>
    <t>(BSD)Due to JV-Loan - Non Current Li</t>
  </si>
  <si>
    <t>(BSD)Due to Assoc-Loan - Non Current Li</t>
  </si>
  <si>
    <t>(BSD)Due to Rel Parties-Loan</t>
  </si>
  <si>
    <t>(BSD)Due to Shareholders - Non Current Li</t>
  </si>
  <si>
    <t>(BSD)Due to Interbranch - Non Current Li</t>
  </si>
  <si>
    <t>(BSD)Deferred Tax Liabilities</t>
  </si>
  <si>
    <t>(BSD)Derivatives - Non Current Li</t>
  </si>
  <si>
    <t>(BSD)TOTAL NON CURRENT LIABILITIES</t>
  </si>
  <si>
    <t>(BSD)TOTAL LIABILITIES</t>
  </si>
  <si>
    <t>(BSD)Share Capital</t>
  </si>
  <si>
    <t>(BSD)Calls in Arrears</t>
  </si>
  <si>
    <t>(BSD)Treasury Shares</t>
  </si>
  <si>
    <t>(BSD)Share Premium</t>
  </si>
  <si>
    <t>(BSD)Convertible Loan</t>
  </si>
  <si>
    <t>(BSD)Quasi-Equity Loan</t>
  </si>
  <si>
    <t>(BSD)Capital Reserve</t>
  </si>
  <si>
    <t>(BSD)Asset Revaluation Reserve</t>
  </si>
  <si>
    <t>(BSD)Statutory Fund Reserve</t>
  </si>
  <si>
    <t>(BSD)Investment Revaluation Reserve</t>
  </si>
  <si>
    <t>(BSD)Fair Value Adjustment Reserve</t>
  </si>
  <si>
    <t>(BSD)Amalgamation Reserve</t>
  </si>
  <si>
    <t>(BSD)General Reserve</t>
  </si>
  <si>
    <t>(BSD)ESOS Reserve</t>
  </si>
  <si>
    <t>(BSD)Accumulated Profit/(Loss)</t>
  </si>
  <si>
    <t>(BSD)Minority Interest</t>
  </si>
  <si>
    <t>(BSD)Foreign Currency Trans Reserve</t>
  </si>
  <si>
    <t>(BSD)TOTAL EQUITY</t>
  </si>
  <si>
    <t>(BSD)TOTAL LIAB &amp; EQUITY</t>
  </si>
  <si>
    <t>Raw Materials</t>
  </si>
  <si>
    <t>Prov for Raw Materials</t>
  </si>
  <si>
    <t>Semi-Finished Goods</t>
  </si>
  <si>
    <t>Work in Progress</t>
  </si>
  <si>
    <t>Packing &amp; Labelling Materials</t>
  </si>
  <si>
    <t>Prov for Packing &amp; Label Material</t>
  </si>
  <si>
    <t>Stocks In Transit</t>
  </si>
  <si>
    <t>Trading Stocks</t>
  </si>
  <si>
    <t>Prov for Trading Stocks</t>
  </si>
  <si>
    <t>Prov for Stock Pilferage</t>
  </si>
  <si>
    <t>Stocks Return</t>
  </si>
  <si>
    <t>COGS Clearing Account</t>
  </si>
  <si>
    <t>Stocks Adjustment Account</t>
  </si>
  <si>
    <t>Due from Interco-Non-Trade Clearing</t>
  </si>
  <si>
    <t>Prov for Gain/Loss in FX (Debtors)</t>
  </si>
  <si>
    <t>Marketable Securities</t>
  </si>
  <si>
    <t>Prov for Gain/Loss In Mkt Sec</t>
  </si>
  <si>
    <t>Assets Held For Sale</t>
  </si>
  <si>
    <t>Interest Receivables</t>
  </si>
  <si>
    <t>Recoverable Exps</t>
  </si>
  <si>
    <t>Other Misc Debtors</t>
  </si>
  <si>
    <t>Prov for Impairment-Freehold Land</t>
  </si>
  <si>
    <t>Prov for Impairment-Leasehold Land</t>
  </si>
  <si>
    <t>Prov for Impairment-Land Rights</t>
  </si>
  <si>
    <t>Building</t>
  </si>
  <si>
    <t>Prov for Impairment-Building</t>
  </si>
  <si>
    <t>Prov for Impairment-Renovations</t>
  </si>
  <si>
    <t>Prov for Impairment-Investment Property</t>
  </si>
  <si>
    <t>Plant</t>
  </si>
  <si>
    <t>Machinery</t>
  </si>
  <si>
    <t>Prov for Impairment-Machinery</t>
  </si>
  <si>
    <t>Equipment</t>
  </si>
  <si>
    <t>Prov for Impairment-Equipment</t>
  </si>
  <si>
    <t>Rental Equipment</t>
  </si>
  <si>
    <t>Prov for Impairment-Rental Equipment</t>
  </si>
  <si>
    <t>Pipelines</t>
  </si>
  <si>
    <t>Prov for Impairment-Pipelines</t>
  </si>
  <si>
    <t>Storage Tanks</t>
  </si>
  <si>
    <t>Prov for Impairment-Storage Tanks</t>
  </si>
  <si>
    <t>ISO Tanks</t>
  </si>
  <si>
    <t>Prov for Impairment-ISO Tanks</t>
  </si>
  <si>
    <t>Racks &amp; Cylinders</t>
  </si>
  <si>
    <t>Tools</t>
  </si>
  <si>
    <t>Prov for Impairment-Tools</t>
  </si>
  <si>
    <t>Dies &amp; Moulds</t>
  </si>
  <si>
    <t>Prov for Impairment-Dies &amp; Moulds</t>
  </si>
  <si>
    <t>Spare Parts</t>
  </si>
  <si>
    <t>Prov for Impairment-Spare Parts</t>
  </si>
  <si>
    <t>Furniture &amp; Fittings</t>
  </si>
  <si>
    <t>Prov for Impairment-F&amp;F</t>
  </si>
  <si>
    <t>Office Equipment</t>
  </si>
  <si>
    <t>Prov for Impairment-Office Equip</t>
  </si>
  <si>
    <t>Prov for Impairment-Computer</t>
  </si>
  <si>
    <t>Motor Vehicle</t>
  </si>
  <si>
    <t>Prov for Impairment-Motor Vehicle</t>
  </si>
  <si>
    <t>Fixed Assets Clearing Account</t>
  </si>
  <si>
    <t>Investment in Subsidiary</t>
  </si>
  <si>
    <t>Investment in JV Co</t>
  </si>
  <si>
    <t>Investment in Assoc Co</t>
  </si>
  <si>
    <t>Investment in Rel Co</t>
  </si>
  <si>
    <t>Investment in Quoted shares</t>
  </si>
  <si>
    <t>Due from JV/Assoc-Non Current</t>
  </si>
  <si>
    <t>Due from Rel-Non Current</t>
  </si>
  <si>
    <t>Due from Shareholders</t>
  </si>
  <si>
    <t>Derivatives Asset</t>
  </si>
  <si>
    <t>Bank Overdraft</t>
  </si>
  <si>
    <t>Revolving Credit</t>
  </si>
  <si>
    <t>Factoring/Bills Payable/TR</t>
  </si>
  <si>
    <t>Short-Term Loan</t>
  </si>
  <si>
    <t>HP Int in Suspense</t>
  </si>
  <si>
    <t>Prov for Gain/Loss in FX (Creditors)</t>
  </si>
  <si>
    <t>Prov for taxation (Current Year)</t>
  </si>
  <si>
    <t>Prov for taxation (Prior Year)</t>
  </si>
  <si>
    <t>Customer Deposit</t>
  </si>
  <si>
    <t>Overpayment For Bill Lost</t>
  </si>
  <si>
    <t>Landed Cost Clearing A/C</t>
  </si>
  <si>
    <t>GST-output</t>
  </si>
  <si>
    <t>Proposed Dividend</t>
  </si>
  <si>
    <t>Dividend Payable</t>
  </si>
  <si>
    <t>Prov for Com &amp; Incentives</t>
  </si>
  <si>
    <t>Prov for A&amp;P</t>
  </si>
  <si>
    <t>Prov for Cylinder Loss</t>
  </si>
  <si>
    <t>Prov for Plant Maintenance</t>
  </si>
  <si>
    <t>Long-Term Loan</t>
  </si>
  <si>
    <t>HP Creditors</t>
  </si>
  <si>
    <t>Derivatives Liability</t>
  </si>
  <si>
    <t>Share Capital</t>
  </si>
  <si>
    <t>Calls in Arrears</t>
  </si>
  <si>
    <t>Treasury Shares</t>
  </si>
  <si>
    <t>Share Premium</t>
  </si>
  <si>
    <t>Convertible Loan</t>
  </si>
  <si>
    <t>Capital Reserve</t>
  </si>
  <si>
    <t>Asset Revaluation Reserve</t>
  </si>
  <si>
    <t>Statutory Fund Reserve</t>
  </si>
  <si>
    <t>Investment Revaluation Reserve</t>
  </si>
  <si>
    <t>Fair Value Adjustment Reserve</t>
  </si>
  <si>
    <t>Amalgamation Reserve</t>
  </si>
  <si>
    <t>General Reserve</t>
  </si>
  <si>
    <t>ESOS Reserve</t>
  </si>
  <si>
    <t>Accumulated Profit/(Loss)</t>
  </si>
  <si>
    <t>Foreign Currency Trans Reserve</t>
  </si>
  <si>
    <t>Consumables</t>
  </si>
  <si>
    <t>Finished Goods</t>
  </si>
  <si>
    <t>Prov for Finished Goods</t>
  </si>
  <si>
    <t>Due from Interco-Trade</t>
  </si>
  <si>
    <t>Prov for DD-Interco Trade</t>
  </si>
  <si>
    <t>Due from Interco-Non-Trade</t>
  </si>
  <si>
    <t>Prov for DD-Interco Non-Trade</t>
  </si>
  <si>
    <t>Due from Interco-Loan</t>
  </si>
  <si>
    <t>Prov for DD-Interco Loan</t>
  </si>
  <si>
    <t>Due from JV Co-Trade</t>
  </si>
  <si>
    <t>Prov for DD-JV Co Trade</t>
  </si>
  <si>
    <t>Due from JV Co-Non-Trade</t>
  </si>
  <si>
    <t>Prov for DD-JV Co Non-Trade</t>
  </si>
  <si>
    <t>Due from JV Co-Loan</t>
  </si>
  <si>
    <t>Prov for DD-JV Co Loan</t>
  </si>
  <si>
    <t>Due from Assoc-Trade</t>
  </si>
  <si>
    <t>Prov for DD-Assoc Trade</t>
  </si>
  <si>
    <t>Due from Assoc-Non-Trade</t>
  </si>
  <si>
    <t>Prov for DD-Assoc Non-Trade</t>
  </si>
  <si>
    <t>Due from Assoc-Loan</t>
  </si>
  <si>
    <t>Prov for DD-Assoc Loan</t>
  </si>
  <si>
    <t>Due from Rel-Trade</t>
  </si>
  <si>
    <t>Prov for DD-Rel Trade</t>
  </si>
  <si>
    <t>Due from Rel-Non-Trade</t>
  </si>
  <si>
    <t>Prov for DD-Rel Non-Trade</t>
  </si>
  <si>
    <t>Derivatives - Current</t>
  </si>
  <si>
    <t>Tax Recoverable</t>
  </si>
  <si>
    <t>GST-Input</t>
  </si>
  <si>
    <t>Prepayment</t>
  </si>
  <si>
    <t>Deposit</t>
  </si>
  <si>
    <t>Advance to Supplier</t>
  </si>
  <si>
    <t>Staff Advance</t>
  </si>
  <si>
    <t>Staff Loan</t>
  </si>
  <si>
    <t>Suspense-GST</t>
  </si>
  <si>
    <t>Suspense-Others</t>
  </si>
  <si>
    <t>Land-Freehold</t>
  </si>
  <si>
    <t>Land-Leasehold</t>
  </si>
  <si>
    <t>Accum Dep-Leasehold land</t>
  </si>
  <si>
    <t>Land-Rights</t>
  </si>
  <si>
    <t>Accum Dep-Land Rights</t>
  </si>
  <si>
    <t>Accum Dep-Building</t>
  </si>
  <si>
    <t>Accum Dep-Renovations</t>
  </si>
  <si>
    <t>Accum Dep-Investment Property</t>
  </si>
  <si>
    <t>Accum Dep-Plant</t>
  </si>
  <si>
    <t>Prov for Impairment-Plant</t>
  </si>
  <si>
    <t>Accum Dep-Machinery</t>
  </si>
  <si>
    <t>Accum Dep-Equipment</t>
  </si>
  <si>
    <t>Accum Dep-Rental Equipment</t>
  </si>
  <si>
    <t>Accum Dep-Pipelines</t>
  </si>
  <si>
    <t>Accum Dep-Storage Tanks</t>
  </si>
  <si>
    <t>Accum Dep-ISO Tanks</t>
  </si>
  <si>
    <t>Accum Dep-Racks &amp; Cylinders</t>
  </si>
  <si>
    <t>Accum Dep-Tools</t>
  </si>
  <si>
    <t>Accum Dep-Dies &amp; Moulds</t>
  </si>
  <si>
    <t>Accum Dep -Spare Parts</t>
  </si>
  <si>
    <t>Accum Dep-F&amp;F</t>
  </si>
  <si>
    <t>Accum Dep-Office Equip</t>
  </si>
  <si>
    <t>Computer</t>
  </si>
  <si>
    <t>Accum Dep-Computer</t>
  </si>
  <si>
    <t>Accum Dep-Motor Vehicle</t>
  </si>
  <si>
    <t>Intangibles-Trade Name</t>
  </si>
  <si>
    <t>Intangibles-Customer Relationship</t>
  </si>
  <si>
    <t>Intangibles-Trademark &amp; Patent</t>
  </si>
  <si>
    <t>Intangibles-Product License</t>
  </si>
  <si>
    <t>Intangibles-Club Membership</t>
  </si>
  <si>
    <t>Intangibles-Others</t>
  </si>
  <si>
    <t>Due from Rel Parties</t>
  </si>
  <si>
    <t>Due from Shareholders - Non Current</t>
  </si>
  <si>
    <t>Term Loan-Current</t>
  </si>
  <si>
    <t>HP Creditors-Current</t>
  </si>
  <si>
    <t>Creditors</t>
  </si>
  <si>
    <t>Accrued Purchases-External</t>
  </si>
  <si>
    <t>Accrued Purchases-Interco</t>
  </si>
  <si>
    <t>Accrued Purchases-JV</t>
  </si>
  <si>
    <t>Accrued Purchases-Assoc</t>
  </si>
  <si>
    <t>Accrued Purchases-Rel</t>
  </si>
  <si>
    <t>Due to Interco-Trade</t>
  </si>
  <si>
    <t>Due to Interco-Non-Trade</t>
  </si>
  <si>
    <t>Due to Interco-Loan - Current Li</t>
  </si>
  <si>
    <t>Due to JV-Trade</t>
  </si>
  <si>
    <t>Due to JV-Non-Trade</t>
  </si>
  <si>
    <t>Due to JV-Loan - Current Li</t>
  </si>
  <si>
    <t>Due to Assoc-Trade</t>
  </si>
  <si>
    <t>Due to Assoc-Non-Trade</t>
  </si>
  <si>
    <t>Due to Assoc-Loan - Current Li</t>
  </si>
  <si>
    <t>Due to Rel Parties-Trade</t>
  </si>
  <si>
    <t>Due to Rel Parties-Non-Trade</t>
  </si>
  <si>
    <t>Due to Interbranch - Current Li</t>
  </si>
  <si>
    <t>Due to Shareholders - Current Li</t>
  </si>
  <si>
    <t>Accruals-Salary and Leave</t>
  </si>
  <si>
    <t>Accruals-Social Securities</t>
  </si>
  <si>
    <t>Accruals-Other HR Exps</t>
  </si>
  <si>
    <t>Accruals-Staff Claims</t>
  </si>
  <si>
    <t>Accruals-Transportation</t>
  </si>
  <si>
    <t>Accruals-Audit Fees</t>
  </si>
  <si>
    <t>Accruals-Tax Fees</t>
  </si>
  <si>
    <t>Accruals-Professional Fees</t>
  </si>
  <si>
    <t>Accruals-Interest Payables</t>
  </si>
  <si>
    <t>Accruals-Others</t>
  </si>
  <si>
    <t>Customer down payment</t>
  </si>
  <si>
    <t>Deferred Revenue-Cash Vouchers</t>
  </si>
  <si>
    <t>Other Creditors-Landed Cost</t>
  </si>
  <si>
    <t>Other Creditors-Sundry</t>
  </si>
  <si>
    <t>Other Creditors-Bill Lost Clear</t>
  </si>
  <si>
    <t>Other Creditors-W/H Tax</t>
  </si>
  <si>
    <t>Other Creditors-Others</t>
  </si>
  <si>
    <t>Derivatives - Current Li</t>
  </si>
  <si>
    <t>Prov for Bonus</t>
  </si>
  <si>
    <t>Prov for Gratuities</t>
  </si>
  <si>
    <t>Due to Interco-Loan - Non Current Li</t>
  </si>
  <si>
    <t>Due to JV-Loan - Non Current Li</t>
  </si>
  <si>
    <t>Due to Assoc-Loan - Non Current Li</t>
  </si>
  <si>
    <t>Due to Rel Parties-Loan</t>
  </si>
  <si>
    <t>Due to Shareholders - Non Current Li</t>
  </si>
  <si>
    <t>Due to Interbranch - Non Current Li</t>
  </si>
  <si>
    <t>Due from Assoc-Non-Trade Clearing</t>
  </si>
  <si>
    <t>Due from Rel-Non-Trade Clearing</t>
  </si>
  <si>
    <t>Suspense-HR</t>
  </si>
  <si>
    <t>Prov for Impairment-Racks &amp; Cylinders</t>
  </si>
  <si>
    <t xml:space="preserve">Prov for Impairment-Subsidiary </t>
  </si>
  <si>
    <t>Prov for Impairment-JV Co</t>
  </si>
  <si>
    <t>Prov for Impairment-Assoc Co</t>
  </si>
  <si>
    <t>Prov for Impairment-Rel Co</t>
  </si>
  <si>
    <t>Prov for Impairment-Quoted Shares</t>
  </si>
  <si>
    <t>Amort-Trade Name</t>
  </si>
  <si>
    <t>Amort-Customer Relationship</t>
  </si>
  <si>
    <t>Amort-Club Membership</t>
  </si>
  <si>
    <t>Prov for DD-Interco-Non Current</t>
  </si>
  <si>
    <t>Prov for DD-JV/Assoc-Non Current</t>
  </si>
  <si>
    <t>Prov for DD-Rel-Non Current</t>
  </si>
  <si>
    <t>Is Exist</t>
  </si>
  <si>
    <t>Due to Interco-Loan</t>
  </si>
  <si>
    <t>Existing Name</t>
  </si>
  <si>
    <t>Is New</t>
  </si>
  <si>
    <t>Is Remove</t>
  </si>
  <si>
    <t>New ItemSeqID</t>
  </si>
  <si>
    <t>New ItemSN</t>
  </si>
  <si>
    <t>COA Mapping</t>
  </si>
  <si>
    <t>(BSD)Stocks Return</t>
  </si>
  <si>
    <t>(BSD)COGS Clearing Account</t>
  </si>
  <si>
    <t>(BSD)Due from Interco-Non-Trade Clearing</t>
  </si>
  <si>
    <t>(BSD)Due from Assoc-Non-Trade Clearing</t>
  </si>
  <si>
    <t>(BSD)Due from Rel-Non-Trade Clearing</t>
  </si>
  <si>
    <t>(BSD)Suspense-HR</t>
  </si>
  <si>
    <t>(BSD)Prov for Impairment-Freehold Land</t>
  </si>
  <si>
    <t>(BSD)Prov for Impairment-Leasehold Land</t>
  </si>
  <si>
    <t>(BSD)Prov for Impairment-Building</t>
  </si>
  <si>
    <t>(BSD)Prov for Impairment-Renovations</t>
  </si>
  <si>
    <t>(BSD)Prov for Impairment-Investment Property</t>
  </si>
  <si>
    <t>(BSD)Prov for Impairment-Machinery</t>
  </si>
  <si>
    <t>(BSD)Prov for Impairment-Rental Equipment</t>
  </si>
  <si>
    <t>(BSD)Prov for Impairment-Pipelines</t>
  </si>
  <si>
    <t>(BSD)Prov for Impairment-Storage Tanks</t>
  </si>
  <si>
    <t>(BSD)Prov for Impairment-ISO Tanks</t>
  </si>
  <si>
    <t>(BSD)Prov for Impairment-Tools</t>
  </si>
  <si>
    <t>(BSD)Prov for Impairment-Dies &amp; Moulds</t>
  </si>
  <si>
    <t>(BSD)Prov for Impairment-Spare Parts</t>
  </si>
  <si>
    <t>(BSD)Prov for Impairment-F&amp;F</t>
  </si>
  <si>
    <t>(BSD)Prov for Impairment-Office Equip</t>
  </si>
  <si>
    <t>(BSD)Prov for Impairment-Computer</t>
  </si>
  <si>
    <t>(BSD)Prov for Impairment-Motor Vehicle</t>
  </si>
  <si>
    <t>(BSD)Fixed Assets Clearing Account</t>
  </si>
  <si>
    <t xml:space="preserve">(BSD)Prov for Impairment-Subsidiary </t>
  </si>
  <si>
    <t>(BSD)Amort-Trade Name</t>
  </si>
  <si>
    <t>(BSD)Amort-Customer Relationship</t>
  </si>
  <si>
    <t>(BSD)Amort-Trademark &amp; Patent</t>
  </si>
  <si>
    <t>(BSD)Amort-Club Membership</t>
  </si>
  <si>
    <t>(BSD)Due From JV/Assoc - Non Current</t>
  </si>
  <si>
    <t>(BSD)Due From Rel - Non Current</t>
  </si>
  <si>
    <t>(BSD)Prov for DD-JV/Assoc - Non Current</t>
  </si>
  <si>
    <t>(BSD)Prov for DD-Interco - Non Current</t>
  </si>
  <si>
    <t>UPDATE tbFinanceItem SET ItemName = '(BSD)Due From Rel - Non Current' WHERE ItemName = '(BSD)Due From Rel Parties - Non Current';</t>
  </si>
  <si>
    <t>(BSD)Prov for DD-Rel-Non Current</t>
  </si>
  <si>
    <t>(BSD)Derivatives Asset - Non Current</t>
  </si>
  <si>
    <t>(BSD)Trade Creditors</t>
  </si>
  <si>
    <t>UPDATE tbFinanceItem SET ItemName = '(BSD)Trade Creditors' WHERE ItemName = '(BSD)Creditors';</t>
  </si>
  <si>
    <t>(BSD)Overpayment For Bill Lost</t>
  </si>
  <si>
    <t>(BSD)Dividend Declared</t>
  </si>
  <si>
    <t>1000 to 1099Debit, 3000 to 3099Debit</t>
  </si>
  <si>
    <t xml:space="preserve">1100 to 1199 </t>
  </si>
  <si>
    <t>1201</t>
  </si>
  <si>
    <t>1201Z</t>
  </si>
  <si>
    <t>1211</t>
  </si>
  <si>
    <t>1212</t>
  </si>
  <si>
    <t>1221</t>
  </si>
  <si>
    <t>1221Z</t>
  </si>
  <si>
    <t>1222</t>
  </si>
  <si>
    <t>1231</t>
  </si>
  <si>
    <t>1241</t>
  </si>
  <si>
    <t>1241Z</t>
  </si>
  <si>
    <t>1242</t>
  </si>
  <si>
    <t>1242Z</t>
  </si>
  <si>
    <t>1242L</t>
  </si>
  <si>
    <t>1297</t>
  </si>
  <si>
    <t>1298</t>
  </si>
  <si>
    <t>1299</t>
  </si>
  <si>
    <t>1301</t>
  </si>
  <si>
    <t>1301Z</t>
  </si>
  <si>
    <t xml:space="preserve">1401 </t>
  </si>
  <si>
    <t xml:space="preserve">1401Z </t>
  </si>
  <si>
    <t xml:space="preserve">1402 </t>
  </si>
  <si>
    <t xml:space="preserve">1402Z </t>
  </si>
  <si>
    <t xml:space="preserve">1403 </t>
  </si>
  <si>
    <t xml:space="preserve">1403Z </t>
  </si>
  <si>
    <t>1404</t>
  </si>
  <si>
    <t xml:space="preserve">1411 </t>
  </si>
  <si>
    <t xml:space="preserve">1411Z </t>
  </si>
  <si>
    <t>1412, 1414</t>
  </si>
  <si>
    <t xml:space="preserve">1412Z </t>
  </si>
  <si>
    <t>1413</t>
  </si>
  <si>
    <t xml:space="preserve">1413Z </t>
  </si>
  <si>
    <t xml:space="preserve">1421 </t>
  </si>
  <si>
    <t xml:space="preserve">1421Z </t>
  </si>
  <si>
    <t xml:space="preserve">1422 </t>
  </si>
  <si>
    <t xml:space="preserve">1422Z </t>
  </si>
  <si>
    <t xml:space="preserve">1423 </t>
  </si>
  <si>
    <t xml:space="preserve">1423Z </t>
  </si>
  <si>
    <t>1424</t>
  </si>
  <si>
    <t xml:space="preserve">1431 </t>
  </si>
  <si>
    <t xml:space="preserve">1431Z </t>
  </si>
  <si>
    <t xml:space="preserve">1432 </t>
  </si>
  <si>
    <t xml:space="preserve">1432Z </t>
  </si>
  <si>
    <t>1433</t>
  </si>
  <si>
    <t>1499</t>
  </si>
  <si>
    <t>1501</t>
  </si>
  <si>
    <t>1501Z</t>
  </si>
  <si>
    <t>1600</t>
  </si>
  <si>
    <t>1700</t>
  </si>
  <si>
    <t>1801</t>
  </si>
  <si>
    <t>1802</t>
  </si>
  <si>
    <t>1803</t>
  </si>
  <si>
    <t>1804</t>
  </si>
  <si>
    <t>1811</t>
  </si>
  <si>
    <t>1812</t>
  </si>
  <si>
    <t>1822</t>
  </si>
  <si>
    <t>1831</t>
  </si>
  <si>
    <t>1841</t>
  </si>
  <si>
    <t>1901</t>
  </si>
  <si>
    <t>1908</t>
  </si>
  <si>
    <t>1909</t>
  </si>
  <si>
    <t>=SUM(C4:C65)</t>
  </si>
  <si>
    <t>2001</t>
  </si>
  <si>
    <t>2001Z</t>
  </si>
  <si>
    <t>2002</t>
  </si>
  <si>
    <t>2002D</t>
  </si>
  <si>
    <t>2002Z</t>
  </si>
  <si>
    <t>2003</t>
  </si>
  <si>
    <t>2003D</t>
  </si>
  <si>
    <t>2003Z</t>
  </si>
  <si>
    <t>2011</t>
  </si>
  <si>
    <t>2011D</t>
  </si>
  <si>
    <t>2011Z</t>
  </si>
  <si>
    <t>2021</t>
  </si>
  <si>
    <t>2022</t>
  </si>
  <si>
    <t>2022D</t>
  </si>
  <si>
    <t>2022Z</t>
  </si>
  <si>
    <t>2031</t>
  </si>
  <si>
    <t>2031D</t>
  </si>
  <si>
    <t>2031Z</t>
  </si>
  <si>
    <t>2101</t>
  </si>
  <si>
    <t>2101D</t>
  </si>
  <si>
    <t>2101Z</t>
  </si>
  <si>
    <t>2102</t>
  </si>
  <si>
    <t>2102D</t>
  </si>
  <si>
    <t>2102Z</t>
  </si>
  <si>
    <t>2103</t>
  </si>
  <si>
    <t>2103D</t>
  </si>
  <si>
    <t>2103Z</t>
  </si>
  <si>
    <t>2104</t>
  </si>
  <si>
    <t>2104D</t>
  </si>
  <si>
    <t>2104Z</t>
  </si>
  <si>
    <t>2111</t>
  </si>
  <si>
    <t>2111D</t>
  </si>
  <si>
    <t>2111Z</t>
  </si>
  <si>
    <t>2112</t>
  </si>
  <si>
    <t>2112D</t>
  </si>
  <si>
    <t>2112Z</t>
  </si>
  <si>
    <t>2113</t>
  </si>
  <si>
    <t>2113D</t>
  </si>
  <si>
    <t>2113Z</t>
  </si>
  <si>
    <t>2114</t>
  </si>
  <si>
    <t>2114D</t>
  </si>
  <si>
    <t>2114Z</t>
  </si>
  <si>
    <t>2121</t>
  </si>
  <si>
    <t>2121D</t>
  </si>
  <si>
    <t>2121Z</t>
  </si>
  <si>
    <t>2122</t>
  </si>
  <si>
    <t>2122D</t>
  </si>
  <si>
    <t>2122Z</t>
  </si>
  <si>
    <t>2123</t>
  </si>
  <si>
    <t>2123D</t>
  </si>
  <si>
    <t>2123Z</t>
  </si>
  <si>
    <t>2201</t>
  </si>
  <si>
    <t>2201D</t>
  </si>
  <si>
    <t>2201Z</t>
  </si>
  <si>
    <t>2301</t>
  </si>
  <si>
    <t>2301D</t>
  </si>
  <si>
    <t>2301Z</t>
  </si>
  <si>
    <t>2302</t>
  </si>
  <si>
    <t>2302D</t>
  </si>
  <si>
    <t>2302Z</t>
  </si>
  <si>
    <t>2401</t>
  </si>
  <si>
    <t>2401D</t>
  </si>
  <si>
    <t>2401Z</t>
  </si>
  <si>
    <t>2499</t>
  </si>
  <si>
    <t>=SUM(C67:C130)</t>
  </si>
  <si>
    <t>2501</t>
  </si>
  <si>
    <t>2501Z</t>
  </si>
  <si>
    <t>2502</t>
  </si>
  <si>
    <t>2502Z</t>
  </si>
  <si>
    <t>2503</t>
  </si>
  <si>
    <t>2503Z</t>
  </si>
  <si>
    <t>2504</t>
  </si>
  <si>
    <t>2504Z</t>
  </si>
  <si>
    <t>2601</t>
  </si>
  <si>
    <t>2601Z</t>
  </si>
  <si>
    <t>2701</t>
  </si>
  <si>
    <t>2701A</t>
  </si>
  <si>
    <t>2702</t>
  </si>
  <si>
    <t>2702A</t>
  </si>
  <si>
    <t>2703</t>
  </si>
  <si>
    <t>2703A</t>
  </si>
  <si>
    <t>2704</t>
  </si>
  <si>
    <t>2704A</t>
  </si>
  <si>
    <t>2711</t>
  </si>
  <si>
    <t>2711A</t>
  </si>
  <si>
    <t>2719</t>
  </si>
  <si>
    <t>2721</t>
  </si>
  <si>
    <t>2721Z</t>
  </si>
  <si>
    <t>2722</t>
  </si>
  <si>
    <t>2722Z</t>
  </si>
  <si>
    <t>2723</t>
  </si>
  <si>
    <t>2723Z</t>
  </si>
  <si>
    <t>2724</t>
  </si>
  <si>
    <t>1502, 2801</t>
  </si>
  <si>
    <t>2811</t>
  </si>
  <si>
    <t>2901</t>
  </si>
  <si>
    <t>=SUM(C131:C162)</t>
  </si>
  <si>
    <t>=C66+C163</t>
  </si>
  <si>
    <t>1000 to 1099Credit, 3000 to 3099Credit</t>
  </si>
  <si>
    <t>3100 to 3199</t>
  </si>
  <si>
    <t>3200 to 3299</t>
  </si>
  <si>
    <t>3300 to 3399</t>
  </si>
  <si>
    <t>3400 to 3499</t>
  </si>
  <si>
    <t>3501</t>
  </si>
  <si>
    <t>3599</t>
  </si>
  <si>
    <t>3601</t>
  </si>
  <si>
    <t>3611</t>
  </si>
  <si>
    <t>3612</t>
  </si>
  <si>
    <t>3701</t>
  </si>
  <si>
    <t>3702</t>
  </si>
  <si>
    <t>3703</t>
  </si>
  <si>
    <t>3613</t>
  </si>
  <si>
    <t>3614</t>
  </si>
  <si>
    <t>3615</t>
  </si>
  <si>
    <t>3704</t>
  </si>
  <si>
    <t>3705</t>
  </si>
  <si>
    <t>3706</t>
  </si>
  <si>
    <t>3707</t>
  </si>
  <si>
    <t>3708</t>
  </si>
  <si>
    <t>3709</t>
  </si>
  <si>
    <t>3710</t>
  </si>
  <si>
    <t>3711</t>
  </si>
  <si>
    <t>3731</t>
  </si>
  <si>
    <t>3799</t>
  </si>
  <si>
    <t>3801</t>
  </si>
  <si>
    <t>3802</t>
  </si>
  <si>
    <t>3901</t>
  </si>
  <si>
    <t>3902</t>
  </si>
  <si>
    <t>3903</t>
  </si>
  <si>
    <t>3904</t>
  </si>
  <si>
    <t>3911</t>
  </si>
  <si>
    <t>3921</t>
  </si>
  <si>
    <t>3922</t>
  </si>
  <si>
    <t>3923</t>
  </si>
  <si>
    <t>3924</t>
  </si>
  <si>
    <t>3929</t>
  </si>
  <si>
    <t>3931</t>
  </si>
  <si>
    <t>3932</t>
  </si>
  <si>
    <t>3933</t>
  </si>
  <si>
    <t>3934</t>
  </si>
  <si>
    <t>3941</t>
  </si>
  <si>
    <t>3943</t>
  </si>
  <si>
    <t>3944</t>
  </si>
  <si>
    <t>3945</t>
  </si>
  <si>
    <t>3946</t>
  </si>
  <si>
    <t>3950</t>
  </si>
  <si>
    <t>3960</t>
  </si>
  <si>
    <t>3961</t>
  </si>
  <si>
    <t>3981</t>
  </si>
  <si>
    <t>3982</t>
  </si>
  <si>
    <t>3983</t>
  </si>
  <si>
    <t>3991</t>
  </si>
  <si>
    <t>3992</t>
  </si>
  <si>
    <t>3993</t>
  </si>
  <si>
    <t>=SUM(C165:C220)</t>
  </si>
  <si>
    <t>4100 to 4199</t>
  </si>
  <si>
    <t>4200 to 4299</t>
  </si>
  <si>
    <t>4301</t>
  </si>
  <si>
    <t>4302</t>
  </si>
  <si>
    <t>4303</t>
  </si>
  <si>
    <t>4304</t>
  </si>
  <si>
    <t>4305</t>
  </si>
  <si>
    <t>3721, 4306</t>
  </si>
  <si>
    <t>4401</t>
  </si>
  <si>
    <t>3970, 4450</t>
  </si>
  <si>
    <t>=SUM(C222:C231)</t>
  </si>
  <si>
    <t>=C221+C232</t>
  </si>
  <si>
    <t>4501</t>
  </si>
  <si>
    <t>4502</t>
  </si>
  <si>
    <t>4510</t>
  </si>
  <si>
    <t>4520</t>
  </si>
  <si>
    <t>4601</t>
  </si>
  <si>
    <t>4602</t>
  </si>
  <si>
    <t>4701</t>
  </si>
  <si>
    <t>4710</t>
  </si>
  <si>
    <t>4720</t>
  </si>
  <si>
    <t>4730</t>
  </si>
  <si>
    <t>4740</t>
  </si>
  <si>
    <t>4750</t>
  </si>
  <si>
    <t>4801</t>
  </si>
  <si>
    <t>4810</t>
  </si>
  <si>
    <t>4901 to 4909, 5000 to 9999</t>
  </si>
  <si>
    <t>4902</t>
  </si>
  <si>
    <t>4910</t>
  </si>
  <si>
    <t>4920</t>
  </si>
  <si>
    <t>=SUM(C234:C251)</t>
  </si>
  <si>
    <t>=C233+C252</t>
  </si>
  <si>
    <t>(BSD)Prov for Impairment-Land Rights</t>
  </si>
  <si>
    <t>(BSD)Prov for Impairment-Equipment</t>
  </si>
  <si>
    <t>(BSD)Prov for Impairment-JV Co</t>
  </si>
  <si>
    <t>(BSD)Prov for Impairment-Assoc Co</t>
  </si>
  <si>
    <t>(BSD)Prov for Impairment-Rel Co</t>
  </si>
  <si>
    <t>(BSD)Prov for Impairment-Quoted Shares</t>
  </si>
  <si>
    <t>(BSD)Amort-Product License</t>
  </si>
  <si>
    <t>SELECT TOP 10 * FROM tbReport where ReportID = 433;</t>
  </si>
  <si>
    <t xml:space="preserve"> --F121 Manufacturing Account.rpt</t>
  </si>
  <si>
    <t xml:space="preserve"> --procReportFinanceMA</t>
  </si>
  <si>
    <t>where s.Report = 'MA'</t>
  </si>
  <si>
    <t>DELETE FROM tbFinanceItemSeq where Report = 'MA'</t>
  </si>
  <si>
    <t>MA</t>
  </si>
  <si>
    <t>(MA)Planned Production (M3 / KG)</t>
  </si>
  <si>
    <t>(MA)Actual Production (M3 / KG)</t>
  </si>
  <si>
    <t>(MA)Variance  (M3 / KG)</t>
  </si>
  <si>
    <t>(MA)Manufacturing Costs</t>
  </si>
  <si>
    <t>(MA)DM-Raw Materials</t>
  </si>
  <si>
    <t>(MA)DM-Parts &amp; Access</t>
  </si>
  <si>
    <t>(MA)DM-Packing &amp; Label Materials</t>
  </si>
  <si>
    <t>(MA)DM-Others</t>
  </si>
  <si>
    <t>(MA)Direct Material</t>
  </si>
  <si>
    <t>(MA)DL-Salary &amp; Leave</t>
  </si>
  <si>
    <t>(MA)DL-Bonus</t>
  </si>
  <si>
    <t>(MA)DL-Foreign Workers/Casual/Temp</t>
  </si>
  <si>
    <t>(MA)DL-Contractors</t>
  </si>
  <si>
    <t>(MA)DL-Overtime</t>
  </si>
  <si>
    <t>(MA)DL-Shift Allowance &amp; Incentive</t>
  </si>
  <si>
    <t>(MA)DL-Staff Transport/Vehicle Rental</t>
  </si>
  <si>
    <t>(MA)DL-Social Security Contribution</t>
  </si>
  <si>
    <t>(MA)DL-Workers` Levy</t>
  </si>
  <si>
    <t>(MA)DL-Others Direct Labor Costs</t>
  </si>
  <si>
    <t>(MA)Direct Labor</t>
  </si>
  <si>
    <t>(MA)Direct Expenses</t>
  </si>
  <si>
    <t>(MA)Prime Cost</t>
  </si>
  <si>
    <t>(MA)Indirect Material</t>
  </si>
  <si>
    <t>(MA)IL-Salary &amp; Leave</t>
  </si>
  <si>
    <t>(MA)IL-Bonus</t>
  </si>
  <si>
    <t>(MA)IL-Foreign Workers/Casual/Temp</t>
  </si>
  <si>
    <t>(MA)IL-Overtime</t>
  </si>
  <si>
    <t>(MA)IL-Shift Allowance &amp; Incentive</t>
  </si>
  <si>
    <t>(MA)IL-Staff Transport/Vehicle Rental</t>
  </si>
  <si>
    <t>(MA)IL-Social Security Contribution</t>
  </si>
  <si>
    <t>(MA)IL-Workers` Levy</t>
  </si>
  <si>
    <t>(MA)IL-Expats` Expenses</t>
  </si>
  <si>
    <t>(MA)IL-Other Indirect Labor Costs</t>
  </si>
  <si>
    <t>(MA)Indirect Labor</t>
  </si>
  <si>
    <t>(MA)Utilities - Elec, Water, Gas</t>
  </si>
  <si>
    <t>(MA)Product Development/Testing</t>
  </si>
  <si>
    <t>(MA)Carriage/Transport</t>
  </si>
  <si>
    <t>(MA)Manufacturing Loss/Wastage</t>
  </si>
  <si>
    <t>(MA)Rejects/Reworks/Scrap</t>
  </si>
  <si>
    <t>(MA)Sales of Scrap Production</t>
  </si>
  <si>
    <t>(MA)Disposal of Slurge</t>
  </si>
  <si>
    <t>(MA)Variable Overhead</t>
  </si>
  <si>
    <t>(MA)Work in Progress</t>
  </si>
  <si>
    <t>(MA)Total Variable Costs</t>
  </si>
  <si>
    <t>(MA)Factory Rental/Upkeep</t>
  </si>
  <si>
    <t>(MA)Property Tax for Factory</t>
  </si>
  <si>
    <t>(MA)Repair &amp; Maintainance</t>
  </si>
  <si>
    <t>(MA)Leasing of Mac &amp; Equip/Vehicles</t>
  </si>
  <si>
    <t>(MA)Depreciation</t>
  </si>
  <si>
    <t>(MA)Licenses &amp; Insurance</t>
  </si>
  <si>
    <t>(MA)Non Capitalised Purchases</t>
  </si>
  <si>
    <t>(MA)Others Fixed Overhead</t>
  </si>
  <si>
    <t>(MA)Fixed Overhead</t>
  </si>
  <si>
    <t>(MA)Cost of Goods Manufactured</t>
  </si>
  <si>
    <t>(MA)Direct Material (m3 / Kg)</t>
  </si>
  <si>
    <t>(MA)Direct Labour (m3 / Kg)</t>
  </si>
  <si>
    <t>(MA)Direct Exps (m3 / Kg)</t>
  </si>
  <si>
    <t>(MA)Indirect Material (m3 / Kg)</t>
  </si>
  <si>
    <t>(MA)Indirect Labour (m3 / Kg)</t>
  </si>
  <si>
    <t>(MA)Variable Overhead (m3 / Kg)</t>
  </si>
  <si>
    <t>(MA)Total Variable (m3 / Kg)</t>
  </si>
  <si>
    <t>(MA)Fixed Overhead (m3 / Kg)</t>
  </si>
  <si>
    <t>(MA)Manufacturing Costs (m3/ Kg)</t>
  </si>
  <si>
    <t>Manufacturing Costs</t>
  </si>
  <si>
    <t>Bonus</t>
  </si>
  <si>
    <t>Foreign Workers/Casual/Temp</t>
  </si>
  <si>
    <t>Indirect Labor</t>
  </si>
  <si>
    <t>Utilities - Elec, Water, Gas</t>
  </si>
  <si>
    <t>Carriage/Transport/Storage</t>
  </si>
  <si>
    <t>Manufacturing Loss/Wastage</t>
  </si>
  <si>
    <t>Rejects/Reworks/Scrap</t>
  </si>
  <si>
    <t>Disposal of Sludge/Others</t>
  </si>
  <si>
    <t xml:space="preserve">Total Variable Overhead </t>
  </si>
  <si>
    <t>Factory Rental/Upkeep</t>
  </si>
  <si>
    <t>Property Tax for Factory</t>
  </si>
  <si>
    <t>Repair &amp; Maintainance/Upkeep</t>
  </si>
  <si>
    <t>Leasing of Mac&amp;Equip/Vehicles/Cyl</t>
  </si>
  <si>
    <t>Depreciation</t>
  </si>
  <si>
    <t>Licenses &amp; Insurance</t>
  </si>
  <si>
    <t>Non Capitalised Purchases</t>
  </si>
  <si>
    <t>Others Fixed Overhead</t>
  </si>
  <si>
    <t>Fixed Overhead</t>
  </si>
  <si>
    <t>Cost of Goods Manufactured</t>
  </si>
  <si>
    <t>Planned Production (M3 / KG)</t>
  </si>
  <si>
    <t>Actual Production (M3 / KG)</t>
  </si>
  <si>
    <t>Variance  (M3 / KG)</t>
  </si>
  <si>
    <t>DM-Packing &amp; Label Materials</t>
  </si>
  <si>
    <t>DL-Shift Allowance &amp; Incentive</t>
  </si>
  <si>
    <t>DL-Staff Transport/Vehicle Rental</t>
  </si>
  <si>
    <t>DL-Social Security Contribution</t>
  </si>
  <si>
    <t>DL-Workers` Levy</t>
  </si>
  <si>
    <t>DL-Others Direct Labor Costs</t>
  </si>
  <si>
    <t>Direct Labor</t>
  </si>
  <si>
    <t>Direct Expenses</t>
  </si>
  <si>
    <t>IL-Foreign Workers/Casual/Temp</t>
  </si>
  <si>
    <t>IL-Shift Allowance &amp; Incentive</t>
  </si>
  <si>
    <t>IL-Staff Transport/Vehicle Rental</t>
  </si>
  <si>
    <t>IL-Social Security Contribution</t>
  </si>
  <si>
    <t>IL-Workers` Levy</t>
  </si>
  <si>
    <t>IL-Expats` Expenses</t>
  </si>
  <si>
    <t>IL-Other Indirect Labor Costs</t>
  </si>
  <si>
    <t>Product Development/Testing</t>
  </si>
  <si>
    <t>Carriage/Transport</t>
  </si>
  <si>
    <t>Sales of Scrap Production</t>
  </si>
  <si>
    <t>Disposal of Slurge</t>
  </si>
  <si>
    <t>Variable Overhead</t>
  </si>
  <si>
    <t>Total Variable Costs</t>
  </si>
  <si>
    <t>Repair &amp; Maintainance</t>
  </si>
  <si>
    <t>Leasing of Mac &amp; Equip/Vehicles</t>
  </si>
  <si>
    <t>Direct Material (m3 / Kg)</t>
  </si>
  <si>
    <t>Direct Labour (m3 / Kg)</t>
  </si>
  <si>
    <t>Direct Exps (m3 / Kg)</t>
  </si>
  <si>
    <t>Indirect Material (m3 / Kg)</t>
  </si>
  <si>
    <t>Indirect Labour (m3 / Kg)</t>
  </si>
  <si>
    <t>Variable Overhead (m3 / Kg)</t>
  </si>
  <si>
    <t>Total Variable (m3 / Kg)</t>
  </si>
  <si>
    <t>Fixed Overhead (m3 / Kg)</t>
  </si>
  <si>
    <t>Manufacturing Costs (m3/ Kg)</t>
  </si>
  <si>
    <t>Is Exist Name</t>
  </si>
  <si>
    <t>Contractors</t>
  </si>
  <si>
    <t>(MA)QA Allocated Cost</t>
  </si>
  <si>
    <t>(MA)PM Allocated Cost</t>
  </si>
  <si>
    <t>(MA)Carriage/Transport/Storage</t>
  </si>
  <si>
    <t>(MA)Disposal of Slurge/Others</t>
  </si>
  <si>
    <t>(MA)Repair &amp; Maintainance/Upkeep</t>
  </si>
  <si>
    <t>(MA)Leasing of Mac &amp; Equip/Vehicles/Cyl</t>
  </si>
  <si>
    <t>6103 to 6104</t>
  </si>
  <si>
    <t>6105 to 6199</t>
  </si>
  <si>
    <t>=SUM(C7:C10)</t>
  </si>
  <si>
    <t>6201 to 6202</t>
  </si>
  <si>
    <t>6203 to 6204</t>
  </si>
  <si>
    <t>6206, 6208</t>
  </si>
  <si>
    <t>6209 to 6210</t>
  </si>
  <si>
    <t>6205, 6211 to 6212</t>
  </si>
  <si>
    <t>6207, 6216 to 6229</t>
  </si>
  <si>
    <t>=SUM(C12:C20)</t>
  </si>
  <si>
    <t>6251 to 6299</t>
  </si>
  <si>
    <t>=C11+C21+C22</t>
  </si>
  <si>
    <t>6314, 6316</t>
  </si>
  <si>
    <t>6313, 6318 to 6319</t>
  </si>
  <si>
    <t>6351 to 6399</t>
  </si>
  <si>
    <t>6315, 6323 to 6349</t>
  </si>
  <si>
    <t>=SUM(C25:C36)</t>
  </si>
  <si>
    <t>6401 to 6410</t>
  </si>
  <si>
    <t>6421 to 6430</t>
  </si>
  <si>
    <t>6411 to 6420</t>
  </si>
  <si>
    <t>6431, 6432</t>
  </si>
  <si>
    <t>6433 to 6435</t>
  </si>
  <si>
    <t>6436 to 6499</t>
  </si>
  <si>
    <t>=SUM(C38:C45)</t>
  </si>
  <si>
    <t>=C24+C37+C46</t>
  </si>
  <si>
    <t>6501 to 6502, 6506</t>
  </si>
  <si>
    <t>6601 to 6620</t>
  </si>
  <si>
    <t>6621 to 6623</t>
  </si>
  <si>
    <t>6701 to 6749</t>
  </si>
  <si>
    <t>6504, 6751 to 6759</t>
  </si>
  <si>
    <t>6761 to 6769</t>
  </si>
  <si>
    <t>6505, 6771 to 6799</t>
  </si>
  <si>
    <t>=SUM(C48:C57)</t>
  </si>
  <si>
    <t>=C23+C47+C58</t>
  </si>
  <si>
    <t>(MA)IL-QA Allocated Cost</t>
  </si>
  <si>
    <t>(MA)IL-PM Allocated Cost</t>
  </si>
  <si>
    <t>(MA)VO-QA Allocated Cost</t>
  </si>
  <si>
    <t>(MA)VO-PM Allocated Cost</t>
  </si>
  <si>
    <t>(MA)Other Variable Overhead</t>
  </si>
  <si>
    <t>(MA)Total Variable Overhead</t>
  </si>
  <si>
    <t>SELECT TOP 10 * FROM tbReport where ReportID = 426;</t>
  </si>
  <si>
    <t xml:space="preserve"> -- F101 Profit &amp; Loss Account.rpt</t>
  </si>
  <si>
    <t xml:space="preserve"> -- F101S Profit &amp; Loss Account.rpt</t>
  </si>
  <si>
    <t>Update Name</t>
  </si>
  <si>
    <t>Existing</t>
  </si>
  <si>
    <t>COAMapping</t>
  </si>
  <si>
    <t>UPDATE tbFinanceItem SET ItemName = '(PNLD)Property Rental Income' WHERE ItemName = '(PNLD)Property Rental';</t>
  </si>
  <si>
    <t>5001</t>
  </si>
  <si>
    <t>5002</t>
  </si>
  <si>
    <t>5003</t>
  </si>
  <si>
    <t>5004</t>
  </si>
  <si>
    <t>5005</t>
  </si>
  <si>
    <t>5006</t>
  </si>
  <si>
    <t>5007</t>
  </si>
  <si>
    <t>5021</t>
  </si>
  <si>
    <t>5022</t>
  </si>
  <si>
    <t>=SUM(C4:C12)</t>
  </si>
  <si>
    <t>5031</t>
  </si>
  <si>
    <t>5032</t>
  </si>
  <si>
    <t>5033</t>
  </si>
  <si>
    <t>5034</t>
  </si>
  <si>
    <t>5035</t>
  </si>
  <si>
    <t>5036</t>
  </si>
  <si>
    <t>5037</t>
  </si>
  <si>
    <t>5041</t>
  </si>
  <si>
    <t xml:space="preserve">5042 </t>
  </si>
  <si>
    <t>=SUM(C14:C22)</t>
  </si>
  <si>
    <t>5051</t>
  </si>
  <si>
    <t>5052</t>
  </si>
  <si>
    <t>5053</t>
  </si>
  <si>
    <t>5054</t>
  </si>
  <si>
    <t>5055</t>
  </si>
  <si>
    <t>5056</t>
  </si>
  <si>
    <t>5057</t>
  </si>
  <si>
    <t>5061</t>
  </si>
  <si>
    <t>5062</t>
  </si>
  <si>
    <t>=SUM(C24:C32)</t>
  </si>
  <si>
    <t>=C13+C23+C33</t>
  </si>
  <si>
    <t>5101</t>
  </si>
  <si>
    <t>5102</t>
  </si>
  <si>
    <t>5103</t>
  </si>
  <si>
    <t>5104</t>
  </si>
  <si>
    <t>5105</t>
  </si>
  <si>
    <t>5106</t>
  </si>
  <si>
    <t>5107</t>
  </si>
  <si>
    <t>5108</t>
  </si>
  <si>
    <t>6000 to 6999</t>
  </si>
  <si>
    <t>=SUM(C35:C43)</t>
  </si>
  <si>
    <t>5121</t>
  </si>
  <si>
    <t>5122</t>
  </si>
  <si>
    <t>5123</t>
  </si>
  <si>
    <t>5124</t>
  </si>
  <si>
    <t>5125</t>
  </si>
  <si>
    <t>5126</t>
  </si>
  <si>
    <t>5127</t>
  </si>
  <si>
    <t>5128</t>
  </si>
  <si>
    <t>=SUM(C45:C52)</t>
  </si>
  <si>
    <t>5141</t>
  </si>
  <si>
    <t>5142</t>
  </si>
  <si>
    <t>5143</t>
  </si>
  <si>
    <t>5144</t>
  </si>
  <si>
    <t>5145</t>
  </si>
  <si>
    <t>5146</t>
  </si>
  <si>
    <t>5147</t>
  </si>
  <si>
    <t>=SUM(C54:C60)</t>
  </si>
  <si>
    <t>5201</t>
  </si>
  <si>
    <t>5202</t>
  </si>
  <si>
    <t>5203</t>
  </si>
  <si>
    <t>5204</t>
  </si>
  <si>
    <t>5211</t>
  </si>
  <si>
    <t>5221</t>
  </si>
  <si>
    <t>5222</t>
  </si>
  <si>
    <t>5223</t>
  </si>
  <si>
    <t>=C44+C53+C61+C62:C69</t>
  </si>
  <si>
    <t>=C34+C70</t>
  </si>
  <si>
    <t xml:space="preserve">5501 </t>
  </si>
  <si>
    <t>5502</t>
  </si>
  <si>
    <t>5503</t>
  </si>
  <si>
    <t>9101</t>
  </si>
  <si>
    <t>5511</t>
  </si>
  <si>
    <t>5512, 9011</t>
  </si>
  <si>
    <t>5513</t>
  </si>
  <si>
    <t>5519</t>
  </si>
  <si>
    <t>9041Credit</t>
  </si>
  <si>
    <t>9102Credit</t>
  </si>
  <si>
    <t>9103Credit</t>
  </si>
  <si>
    <t>=SUM(C73:C84)</t>
  </si>
  <si>
    <t>5629</t>
  </si>
  <si>
    <t>9199</t>
  </si>
  <si>
    <t>9041Debit</t>
  </si>
  <si>
    <t>9102Debit</t>
  </si>
  <si>
    <t>9103Debit</t>
  </si>
  <si>
    <t>=SUM(C87:C102)</t>
  </si>
  <si>
    <t>=C85+C103</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</si>
  <si>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</si>
  <si>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</si>
  <si>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</si>
  <si>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</si>
  <si>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</si>
  <si>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</si>
  <si>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</si>
  <si>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</si>
  <si>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</si>
  <si>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</si>
  <si>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</si>
  <si>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</si>
  <si>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</si>
  <si>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</si>
  <si>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</si>
  <si>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</si>
  <si>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</si>
  <si>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</si>
  <si>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</si>
  <si>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</si>
  <si>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</si>
  <si>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7031</t>
  </si>
  <si>
    <t>7032</t>
  </si>
  <si>
    <t>7033</t>
  </si>
  <si>
    <t>7034</t>
  </si>
  <si>
    <t>7035</t>
  </si>
  <si>
    <t>7036</t>
  </si>
  <si>
    <t>=SUM(C105:C131)</t>
  </si>
  <si>
    <t>7101</t>
  </si>
  <si>
    <t>7102</t>
  </si>
  <si>
    <t>7103</t>
  </si>
  <si>
    <t>7104</t>
  </si>
  <si>
    <t>7105</t>
  </si>
  <si>
    <t>7106</t>
  </si>
  <si>
    <t>7107</t>
  </si>
  <si>
    <t>7108</t>
  </si>
  <si>
    <t>=SUM(C133:C140)</t>
  </si>
  <si>
    <t>7201</t>
  </si>
  <si>
    <t>7901</t>
  </si>
  <si>
    <t>7202</t>
  </si>
  <si>
    <t>7203</t>
  </si>
  <si>
    <t>7204</t>
  </si>
  <si>
    <t>=SUM(C142:C146)</t>
  </si>
  <si>
    <t>7301</t>
  </si>
  <si>
    <t>7302</t>
  </si>
  <si>
    <t>=SUM(C148:C149)</t>
  </si>
  <si>
    <t>7401</t>
  </si>
  <si>
    <t>7402</t>
  </si>
  <si>
    <t>7403</t>
  </si>
  <si>
    <t>7404</t>
  </si>
  <si>
    <t>7405</t>
  </si>
  <si>
    <t>7406</t>
  </si>
  <si>
    <t>7407</t>
  </si>
  <si>
    <t>7408</t>
  </si>
  <si>
    <t>7409</t>
  </si>
  <si>
    <t>7410</t>
  </si>
  <si>
    <t>=SUM(C151:C165)</t>
  </si>
  <si>
    <t>7501</t>
  </si>
  <si>
    <t xml:space="preserve">7502 </t>
  </si>
  <si>
    <t>7503</t>
  </si>
  <si>
    <t>7504</t>
  </si>
  <si>
    <t>7505</t>
  </si>
  <si>
    <t>7506</t>
  </si>
  <si>
    <t>7507</t>
  </si>
  <si>
    <t>7508</t>
  </si>
  <si>
    <t>7509</t>
  </si>
  <si>
    <t>=SUM(C167:C175)</t>
  </si>
  <si>
    <t>7601</t>
  </si>
  <si>
    <t>7602</t>
  </si>
  <si>
    <t>7603</t>
  </si>
  <si>
    <t>7604</t>
  </si>
  <si>
    <t>7605</t>
  </si>
  <si>
    <t>7606</t>
  </si>
  <si>
    <t>7607</t>
  </si>
  <si>
    <t>7608</t>
  </si>
  <si>
    <t>7609</t>
  </si>
  <si>
    <t>7610</t>
  </si>
  <si>
    <t>7611</t>
  </si>
  <si>
    <t>7612</t>
  </si>
  <si>
    <t>7613</t>
  </si>
  <si>
    <t>=SUM(C177:C189)</t>
  </si>
  <si>
    <t>7701</t>
  </si>
  <si>
    <t>7702</t>
  </si>
  <si>
    <t>7703</t>
  </si>
  <si>
    <t>7704</t>
  </si>
  <si>
    <t>7705</t>
  </si>
  <si>
    <t>=SUM(C191:C195)</t>
  </si>
  <si>
    <t>7706</t>
  </si>
  <si>
    <t>7707</t>
  </si>
  <si>
    <t>7708</t>
  </si>
  <si>
    <t>7903</t>
  </si>
  <si>
    <t>7910</t>
  </si>
  <si>
    <t>7920</t>
  </si>
  <si>
    <t>7998</t>
  </si>
  <si>
    <t>7999</t>
  </si>
  <si>
    <t>=C132+C141+C147+C150+C166+C176+C190+C196+C197:C204</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</si>
  <si>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</si>
  <si>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</si>
  <si>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</si>
  <si>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</si>
  <si>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</si>
  <si>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</si>
  <si>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</si>
  <si>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</si>
  <si>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</si>
  <si>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</si>
  <si>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</si>
  <si>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</si>
  <si>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</si>
  <si>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</si>
  <si>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</si>
  <si>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</si>
  <si>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</si>
  <si>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</si>
  <si>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</si>
  <si>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</si>
  <si>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</si>
  <si>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8031</t>
  </si>
  <si>
    <t>8032</t>
  </si>
  <si>
    <t>8033</t>
  </si>
  <si>
    <t>8034</t>
  </si>
  <si>
    <t>8035</t>
  </si>
  <si>
    <t>8036</t>
  </si>
  <si>
    <t>8041</t>
  </si>
  <si>
    <t>8042</t>
  </si>
  <si>
    <t>8043</t>
  </si>
  <si>
    <t>=SUM(C206:C235)</t>
  </si>
  <si>
    <t>8101</t>
  </si>
  <si>
    <t>8102</t>
  </si>
  <si>
    <t>8103</t>
  </si>
  <si>
    <t>8104</t>
  </si>
  <si>
    <t>8105</t>
  </si>
  <si>
    <t>8106</t>
  </si>
  <si>
    <t>=SUM(C237:C242)</t>
  </si>
  <si>
    <t>8151</t>
  </si>
  <si>
    <t>8152</t>
  </si>
  <si>
    <t>=SUM(C244:C245)</t>
  </si>
  <si>
    <t>8201</t>
  </si>
  <si>
    <t>8202</t>
  </si>
  <si>
    <t>8203</t>
  </si>
  <si>
    <t>8204</t>
  </si>
  <si>
    <t>8205</t>
  </si>
  <si>
    <t>8206</t>
  </si>
  <si>
    <t>8207</t>
  </si>
  <si>
    <t>=SUM(C247:C255)</t>
  </si>
  <si>
    <t>8301</t>
  </si>
  <si>
    <t>8302</t>
  </si>
  <si>
    <t>8303</t>
  </si>
  <si>
    <t>8304</t>
  </si>
  <si>
    <t>8305</t>
  </si>
  <si>
    <t>8306</t>
  </si>
  <si>
    <t>8307</t>
  </si>
  <si>
    <t>8308</t>
  </si>
  <si>
    <t>8309</t>
  </si>
  <si>
    <t>8310</t>
  </si>
  <si>
    <t>=SUM(C257:C266)</t>
  </si>
  <si>
    <t>8401</t>
  </si>
  <si>
    <t>8402</t>
  </si>
  <si>
    <t>8403</t>
  </si>
  <si>
    <t>8404</t>
  </si>
  <si>
    <t>8405</t>
  </si>
  <si>
    <t>8406</t>
  </si>
  <si>
    <t>8407</t>
  </si>
  <si>
    <t>8408</t>
  </si>
  <si>
    <t>8409</t>
  </si>
  <si>
    <t>=SUM(C268:C276)</t>
  </si>
  <si>
    <t>8501</t>
  </si>
  <si>
    <t>8502</t>
  </si>
  <si>
    <t>8503</t>
  </si>
  <si>
    <t>8504</t>
  </si>
  <si>
    <t>8505</t>
  </si>
  <si>
    <t>=SUM(C278:C282)</t>
  </si>
  <si>
    <t>8601</t>
  </si>
  <si>
    <t>8602</t>
  </si>
  <si>
    <t>8603</t>
  </si>
  <si>
    <t>8604</t>
  </si>
  <si>
    <t>8605</t>
  </si>
  <si>
    <t>8606</t>
  </si>
  <si>
    <t>8607</t>
  </si>
  <si>
    <t>8608</t>
  </si>
  <si>
    <t>8610</t>
  </si>
  <si>
    <t>8621</t>
  </si>
  <si>
    <t>8622</t>
  </si>
  <si>
    <t>8623</t>
  </si>
  <si>
    <t>8631</t>
  </si>
  <si>
    <t>=SUM(C284:C296)</t>
  </si>
  <si>
    <t>8651</t>
  </si>
  <si>
    <t>8653</t>
  </si>
  <si>
    <t>8701</t>
  </si>
  <si>
    <t>8702</t>
  </si>
  <si>
    <t>8703</t>
  </si>
  <si>
    <t>8704</t>
  </si>
  <si>
    <t>8705</t>
  </si>
  <si>
    <t>8711</t>
  </si>
  <si>
    <t>8712</t>
  </si>
  <si>
    <t>8798</t>
  </si>
  <si>
    <t>8799</t>
  </si>
  <si>
    <t>=SUM(C300:C308)</t>
  </si>
  <si>
    <t>=C236+C243+C246+C256+C267+C277+C283+C297+C298+C299+C309</t>
  </si>
  <si>
    <t>=C71+C104+C205+C310</t>
  </si>
  <si>
    <t>8801</t>
  </si>
  <si>
    <t>8802</t>
  </si>
  <si>
    <t>8803</t>
  </si>
  <si>
    <t>8804</t>
  </si>
  <si>
    <t>8805</t>
  </si>
  <si>
    <t>8806</t>
  </si>
  <si>
    <t>8807</t>
  </si>
  <si>
    <t>8808</t>
  </si>
  <si>
    <t>8809</t>
  </si>
  <si>
    <t>=SUM(C312:C320)</t>
  </si>
  <si>
    <t>8821</t>
  </si>
  <si>
    <t>8822</t>
  </si>
  <si>
    <t>8831</t>
  </si>
  <si>
    <t>8832</t>
  </si>
  <si>
    <t>9021</t>
  </si>
  <si>
    <t>9023</t>
  </si>
  <si>
    <t>9031</t>
  </si>
  <si>
    <t>9116</t>
  </si>
  <si>
    <t>9201</t>
  </si>
  <si>
    <t>9211</t>
  </si>
  <si>
    <t>=SUM(C322:C331)</t>
  </si>
  <si>
    <t>=C321+C332</t>
  </si>
  <si>
    <t>=C311+C333</t>
  </si>
  <si>
    <t>9401</t>
  </si>
  <si>
    <t>9402</t>
  </si>
  <si>
    <t>9403</t>
  </si>
  <si>
    <t>9404</t>
  </si>
  <si>
    <t>=SUM(C336:C339)</t>
  </si>
  <si>
    <t>=C334+C340</t>
  </si>
  <si>
    <t>PNL Item Name</t>
  </si>
  <si>
    <t>PNLR</t>
  </si>
  <si>
    <t>PNLR - Item Name</t>
  </si>
  <si>
    <t>New ItemSNNO</t>
  </si>
  <si>
    <t xml:space="preserve">INSERT INTO </t>
  </si>
  <si>
    <t>tbReport</t>
  </si>
  <si>
    <t>(ReportCategoryID,Description,FileName,StoredProcName,CreatedBy,CreatedDate,ModifiedBy,ModifiedDate,IsActive,IsExternalReport)</t>
  </si>
  <si>
    <t>VALUES</t>
  </si>
  <si>
    <t>(MAD)IL-QA Allocated Cost</t>
  </si>
  <si>
    <t>(MAD)IL-PM Allocated Cost</t>
  </si>
  <si>
    <t>(MAD)VO-QA Allocated Cost</t>
  </si>
  <si>
    <t>(MAD)VO-PM Allocated Cost</t>
  </si>
  <si>
    <t>1100 to 1199</t>
  </si>
  <si>
    <t>1200 to 1299</t>
  </si>
  <si>
    <t>1300 to 1399, 1499</t>
  </si>
  <si>
    <t>1411 to 1433</t>
  </si>
  <si>
    <t>1401 to 1404</t>
  </si>
  <si>
    <t>1501 to 1699 Except 1502</t>
  </si>
  <si>
    <t>1700, 1800 to 1999</t>
  </si>
  <si>
    <t>=SUM(C5:C12)</t>
  </si>
  <si>
    <t>2001 (Exclude A-Z)</t>
  </si>
  <si>
    <t>2002 to 2019 (Exclude A-Z)</t>
  </si>
  <si>
    <t>2021 (Exclude A-Z)</t>
  </si>
  <si>
    <t>2022 (Exclude A-Z)</t>
  </si>
  <si>
    <t>2031 to 2099 (Exclude A-Z)</t>
  </si>
  <si>
    <t>2101 to 2200 (Exclude A-Z)</t>
  </si>
  <si>
    <t>2201 to 2299 (Exclude A-Z)</t>
  </si>
  <si>
    <t>2301 to 2399 (Exclude A-Z)</t>
  </si>
  <si>
    <t>2401 to 2499 (Exclude A-Z)</t>
  </si>
  <si>
    <t>2001 to 2499 A-Z</t>
  </si>
  <si>
    <t>=SUM(C14:C23)</t>
  </si>
  <si>
    <t>2501 (Exclude Z)</t>
  </si>
  <si>
    <t>2502 to 2699 (Exclude Z)</t>
  </si>
  <si>
    <t>2701 to 2719</t>
  </si>
  <si>
    <t>2722 to 2723</t>
  </si>
  <si>
    <t>2724 to 2799</t>
  </si>
  <si>
    <t>2811 to 2899</t>
  </si>
  <si>
    <t>1502, 2801 to 2809</t>
  </si>
  <si>
    <t>2901 to 2999</t>
  </si>
  <si>
    <t>2501 to 2601Z</t>
  </si>
  <si>
    <t>=SUM(C24:C34)</t>
  </si>
  <si>
    <t>=C13+C35</t>
  </si>
  <si>
    <t>1000 to 1099Credit, 3000 to 3099Credit, 3100 to 3199</t>
  </si>
  <si>
    <t>3500 to 3599</t>
  </si>
  <si>
    <t>3601 to 3611, 3799</t>
  </si>
  <si>
    <t>3613 to 3615, 3704 to 3719, 3731</t>
  </si>
  <si>
    <t>3612, 3701 to 3703</t>
  </si>
  <si>
    <t xml:space="preserve">3801 to 3899 </t>
  </si>
  <si>
    <t>3900 to 3999 Except 3970</t>
  </si>
  <si>
    <t>=SUM(C37:C46)</t>
  </si>
  <si>
    <t>4302 to 4305</t>
  </si>
  <si>
    <t>=SUM(C48:C54)</t>
  </si>
  <si>
    <t>=C47+C55</t>
  </si>
  <si>
    <t>4501 to 4599, 4801</t>
  </si>
  <si>
    <t>4601 to 4700</t>
  </si>
  <si>
    <t>4701 to 4899 Except 4801</t>
  </si>
  <si>
    <t>4910 to 4919</t>
  </si>
  <si>
    <t>4920 to 4999</t>
  </si>
  <si>
    <t>=SUM(C57:C62)</t>
  </si>
  <si>
    <t>=C56+C63</t>
  </si>
  <si>
    <t>(Trade debtors + provision for debts)/ (External sales + External sales other) x No. of days to date</t>
  </si>
  <si>
    <t>(Stock + Provision for stock obsolescence)/ -(Total Cost of sales)  x No. of days to date</t>
  </si>
  <si>
    <t>Account Payable/Cost of Goods Sold x No. of days to date</t>
  </si>
  <si>
    <t>Total Liabilities / Total Equity</t>
  </si>
  <si>
    <t>Total Borrowings / Total Equity. Total Borrowings refers to summation of OD or factoring or revolving credit, Trust receipts or ST loans, current portion of Term Loans, Current HP creditors, Long Term Loans and HP Creditors.</t>
  </si>
  <si>
    <t>1201Z, 1221Z, 1241Z, 1242Z, 1241L</t>
  </si>
  <si>
    <t xml:space="preserve">Update tbReport </t>
  </si>
  <si>
    <t>set FileName = 'F101 Profit &amp; Loss Account.rpt' ,</t>
  </si>
  <si>
    <t>Description = '[COA2016] F21 Profit &amp; Loss Account'</t>
  </si>
  <si>
    <t>where ReportID = 426;</t>
  </si>
  <si>
    <t>(1,'[COA2016] F21R Profit &amp; loss Account (Raw)','F21R Profit &amp; Loss Account (Raw).rpt',null,1,CURRENT_TIMESTAMP,Null,Null,1,0);</t>
  </si>
  <si>
    <t>(1,'[COA2016] F30R Balance Sheet (Raw)','F30R Balance Sheet (Raw).rpt',null,1,CURRENT_TIMESTAMP,Null,Null,1,0);</t>
  </si>
  <si>
    <t>where ReportID = 428;</t>
  </si>
  <si>
    <t>set FileName = 'F102 Profit &amp; Loss Account By Month.rpt' ,</t>
  </si>
  <si>
    <t>Description = '[COA2016] F22 Profit &amp; Loss Account By Month'</t>
  </si>
  <si>
    <t>where ReportID = 427;</t>
  </si>
  <si>
    <t>set FileName = 'F101S Profit &amp; Loss Account.rpt' ,</t>
  </si>
  <si>
    <t>Description = '[COA2016] F21S Profit &amp; Loss Account'</t>
  </si>
  <si>
    <t>where ReportID =433;</t>
  </si>
  <si>
    <t>Description = '[COA2016] F24 Manufacturing Account'</t>
  </si>
  <si>
    <t>set FileName = 'F121 Manufacturing Account.rpt' ,</t>
  </si>
  <si>
    <t>set FileName = 'F131 Balance Sheet.rpt' ,</t>
  </si>
  <si>
    <t>where ReportID =431;</t>
  </si>
  <si>
    <t>Description = '[COA2016] F30 Balance Sheet'</t>
  </si>
  <si>
    <t>where ReportID =430;</t>
  </si>
  <si>
    <t>set FileName = 'F141 Detailed Profit &amp; Loss Account.rpt' ,</t>
  </si>
  <si>
    <t>Description = '[COA2016] F31 Detailed Profit &amp; Loss Account'</t>
  </si>
  <si>
    <t>Description = '[COA2016] F32 Detailed Manufacturing Account'</t>
  </si>
  <si>
    <t>set FileName = 'F142 Detailed Manufacturing Account.rpt' ,</t>
  </si>
  <si>
    <t>where ReportID =432;</t>
  </si>
  <si>
    <t>set FileName = 'F151 Detailed Balance Sheet.rpt' ,</t>
  </si>
  <si>
    <t>Description = '[COA2016] F33 Detailed Balance Sheet'</t>
  </si>
  <si>
    <t>(PNL)Profits After Taxation</t>
  </si>
  <si>
    <t>(PNLD)Profit From Operations</t>
  </si>
  <si>
    <t>UPDATE tbFinanceItem SET ItemName = '(PNLD)Profit From Operations' WHERE ItemName = '(PNLD)Total Operating Profit';</t>
  </si>
  <si>
    <t>(PNL)A&amp;G Legal/Prof Fees/Ins/Safety</t>
  </si>
  <si>
    <t>(BSD)Sundry Debtors</t>
  </si>
  <si>
    <t>(BSD)Derivatives Liability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</si>
</sst>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gt;-500]#,##0,;\(#,##0,\)"/>
  </numFmts>
  <fonts count="3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6100"/>
      <name val="Calibri"/>
      <family val="2"/>
      <scheme val="minor"/>
    </font>
    <font>
      <sz val="10"/>
      <name val="Arial"/>
      <family val="2"/>
    </font>
    <font>
      <sz val="8"/>
      <name val="Arial"/>
      <family val="2"/>
    </font>
    <font>
      <b/>
      <sz val="8"/>
      <name val="Arial"/>
      <family val="2"/>
    </font>
    <font>
      <b/>
      <u/>
      <sz val="8"/>
      <name val="Arial"/>
      <family val="2"/>
    </font>
    <font>
      <i/>
      <sz val="8"/>
      <name val="Arial"/>
      <family val="2"/>
    </font>
    <font>
      <b/>
      <sz val="8.8000000000000007"/>
      <name val="Arial"/>
      <family val="2"/>
    </font>
    <font>
      <sz val="11"/>
      <color theme="0"/>
      <name val="Calibri (Body)"/>
    </font>
    <font>
      <sz val="11"/>
      <color indexed="8"/>
      <name val="Calibri"/>
      <family val="2"/>
    </font>
    <font>
      <sz val="8"/>
      <color rgb="FFFF0000"/>
      <name val="Arial"/>
      <family val="2"/>
    </font>
    <font>
      <b/>
      <u/>
      <sz val="8"/>
      <color rgb="FFFF0000"/>
      <name val="Arial"/>
      <family val="2"/>
    </font>
    <font>
      <b/>
      <sz val="8"/>
      <color rgb="FFFF0000"/>
      <name val="Arial"/>
      <family val="2"/>
    </font>
    <font>
      <sz val="8"/>
      <color indexed="8"/>
      <name val="Arial"/>
      <family val="2"/>
    </font>
    <font>
      <b/>
      <sz val="8"/>
      <color indexed="8"/>
      <name val="Arial"/>
      <family val="2"/>
    </font>
    <font>
      <b/>
      <sz val="8.8000000000000007"/>
      <color rgb="FFFF0000"/>
      <name val="Arial"/>
      <family val="2"/>
    </font>
    <font>
      <i/>
      <sz val="8"/>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4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style="double">
        <color auto="1"/>
      </bottom>
      <diagonal/>
    </border>
    <border>
      <left style="thin">
        <color auto="1"/>
      </left>
      <right style="thin">
        <color auto="1"/>
      </right>
      <top style="thin">
        <color auto="1"/>
      </top>
      <bottom style="thin">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hair">
        <color auto="1"/>
      </left>
      <right style="thin">
        <color auto="1"/>
      </right>
      <top style="hair">
        <color auto="1"/>
      </top>
      <bottom/>
      <diagonal/>
    </border>
    <border>
      <left style="hair">
        <color auto="1"/>
      </left>
      <right style="thin">
        <color auto="1"/>
      </right>
      <top style="hair">
        <color auto="1"/>
      </top>
      <bottom style="hair">
        <color auto="1"/>
      </bottom>
      <diagonal/>
    </border>
    <border>
      <left style="hair">
        <color auto="1"/>
      </left>
      <right style="thin">
        <color auto="1"/>
      </right>
      <top style="thin">
        <color auto="1"/>
      </top>
      <bottom style="thin">
        <color auto="1"/>
      </bottom>
      <diagonal/>
    </border>
    <border>
      <left style="hair">
        <color auto="1"/>
      </left>
      <right style="thin">
        <color auto="1"/>
      </right>
      <top/>
      <bottom/>
      <diagonal/>
    </border>
    <border>
      <left style="thin">
        <color auto="1"/>
      </left>
      <right/>
      <top style="hair">
        <color auto="1"/>
      </top>
      <bottom style="hair">
        <color auto="1"/>
      </bottom>
      <diagonal/>
    </border>
    <border>
      <left style="thin">
        <color auto="1"/>
      </left>
      <right style="thin">
        <color auto="1"/>
      </right>
      <top/>
      <bottom style="thin">
        <color auto="1"/>
      </bottom>
      <diagonal/>
    </border>
    <border>
      <left/>
      <right/>
      <top/>
      <bottom style="hair">
        <color auto="1"/>
      </bottom>
      <diagonal/>
    </border>
    <border>
      <left/>
      <right/>
      <top style="hair">
        <color auto="1"/>
      </top>
      <bottom/>
      <diagonal/>
    </border>
    <border>
      <left/>
      <right/>
      <top style="hair">
        <color auto="1"/>
      </top>
      <bottom style="hair">
        <color auto="1"/>
      </bottom>
      <diagonal/>
    </border>
    <border>
      <left style="hair">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double">
        <color auto="1"/>
      </bottom>
      <diagonal/>
    </border>
    <border>
      <left style="thin">
        <color auto="1"/>
      </left>
      <right style="thin">
        <color auto="1"/>
      </right>
      <top style="hair">
        <color auto="1"/>
      </top>
      <bottom style="hair">
        <color auto="1"/>
      </bottom>
      <diagonal/>
    </border>
    <border>
      <left style="hair">
        <color auto="1"/>
      </left>
      <right style="thin">
        <color auto="1"/>
      </right>
      <top style="thin">
        <color auto="1"/>
      </top>
      <bottom style="double">
        <color auto="1"/>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thin">
        <color auto="1"/>
      </right>
      <top/>
      <bottom style="double">
        <color auto="1"/>
      </bottom>
      <diagonal/>
    </border>
    <border>
      <left style="thin">
        <color auto="1"/>
      </left>
      <right style="thin">
        <color auto="1"/>
      </right>
      <top style="double">
        <color auto="1"/>
      </top>
      <bottom style="thin">
        <color auto="1"/>
      </bottom>
      <diagonal/>
    </border>
    <border>
      <left style="thin">
        <color auto="1"/>
      </left>
      <right/>
      <top/>
      <bottom/>
      <diagonal/>
    </border>
    <border>
      <left style="thin">
        <color auto="1"/>
      </left>
      <right style="thin">
        <color auto="1"/>
      </right>
      <top style="thin">
        <color auto="1"/>
      </top>
      <bottom/>
      <diagonal/>
    </border>
  </borders>
  <cellStyleXfs count="5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19" fillId="0" borderId="0"/>
    <xf numFmtId="0" fontId="19" fillId="0" borderId="0"/>
    <xf numFmtId="0" fontId="19" fillId="0" borderId="0"/>
    <xf numFmtId="43" fontId="26" fillId="0" borderId="0" applyFont="0" applyFill="0" applyBorder="0" applyAlignment="0" applyProtection="0"/>
    <xf numFmtId="43" fontId="19"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19" fillId="0" borderId="0"/>
    <xf numFmtId="9" fontId="26" fillId="0" borderId="0" applyFont="0" applyFill="0" applyBorder="0" applyAlignment="0" applyProtection="0"/>
    <xf numFmtId="9" fontId="19" fillId="0" borderId="0" applyFont="0" applyFill="0" applyBorder="0" applyAlignment="0" applyProtection="0"/>
    <xf numFmtId="9" fontId="26" fillId="0" borderId="0" applyFont="0" applyFill="0" applyBorder="0" applyAlignment="0" applyProtection="0"/>
    <xf numFmtId="0" fontId="1" fillId="0" borderId="0"/>
    <xf numFmtId="43" fontId="19" fillId="0" borderId="0" applyFont="0" applyFill="0" applyBorder="0" applyAlignment="0" applyProtection="0"/>
    <xf numFmtId="0" fontId="26" fillId="0" borderId="0"/>
  </cellStyleXfs>
  <cellXfs count="150">
    <xf numFmtId="0" fontId="0" fillId="0" borderId="0" xfId="0"/>
    <xf numFmtId="0" fontId="6" fillId="2" borderId="0" xfId="6"/>
    <xf numFmtId="0" fontId="7" fillId="3" borderId="0" xfId="7"/>
    <xf numFmtId="0" fontId="17" fillId="9" borderId="0" xfId="18"/>
    <xf numFmtId="0" fontId="16" fillId="0" borderId="0" xfId="0" applyFont="1" applyAlignment="1">
      <alignment horizontal="center"/>
    </xf>
    <xf numFmtId="0" fontId="16" fillId="0" borderId="0" xfId="0" applyFont="1" applyAlignment="1">
      <alignment horizontal="center" vertical="center"/>
    </xf>
    <xf numFmtId="0" fontId="18" fillId="2" borderId="0" xfId="6" applyFont="1" applyAlignment="1">
      <alignment horizontal="center" vertical="center"/>
    </xf>
    <xf numFmtId="0" fontId="17" fillId="13" borderId="0" xfId="22"/>
    <xf numFmtId="0" fontId="8" fillId="4" borderId="0" xfId="8"/>
    <xf numFmtId="0" fontId="20" fillId="0" borderId="10" xfId="42" applyFont="1" applyFill="1" applyBorder="1" applyAlignment="1" applyProtection="1">
      <alignment vertical="center"/>
    </xf>
    <xf numFmtId="0" fontId="20" fillId="0" borderId="0" xfId="42" applyFont="1" applyFill="1" applyBorder="1" applyAlignment="1" applyProtection="1">
      <alignment vertical="center"/>
    </xf>
    <xf numFmtId="0" fontId="21" fillId="0" borderId="11" xfId="42" applyFont="1" applyFill="1" applyBorder="1" applyAlignment="1" applyProtection="1">
      <alignment vertical="center"/>
    </xf>
    <xf numFmtId="37" fontId="20" fillId="0" borderId="0" xfId="42" applyNumberFormat="1" applyFont="1" applyFill="1" applyBorder="1" applyAlignment="1" applyProtection="1">
      <alignment vertical="center"/>
    </xf>
    <xf numFmtId="0" fontId="20" fillId="0" borderId="12" xfId="42" applyFont="1" applyFill="1" applyBorder="1" applyAlignment="1" applyProtection="1">
      <alignment vertical="center"/>
    </xf>
    <xf numFmtId="0" fontId="20" fillId="0" borderId="13" xfId="42" applyFont="1" applyFill="1" applyBorder="1" applyAlignment="1" applyProtection="1">
      <alignment vertical="center"/>
    </xf>
    <xf numFmtId="0" fontId="21" fillId="0" borderId="14" xfId="42" applyFont="1" applyFill="1" applyBorder="1" applyAlignment="1" applyProtection="1">
      <alignment vertical="center"/>
    </xf>
    <xf numFmtId="0" fontId="22" fillId="0" borderId="14" xfId="42" applyFont="1" applyFill="1" applyBorder="1" applyAlignment="1" applyProtection="1">
      <alignment vertical="center"/>
    </xf>
    <xf numFmtId="37" fontId="23" fillId="0" borderId="0" xfId="43" applyNumberFormat="1" applyFont="1" applyFill="1" applyBorder="1" applyAlignment="1"/>
    <xf numFmtId="0" fontId="23" fillId="0" borderId="0" xfId="42" applyFont="1" applyFill="1" applyBorder="1"/>
    <xf numFmtId="0" fontId="23" fillId="0" borderId="15" xfId="42" applyFont="1" applyFill="1" applyBorder="1"/>
    <xf numFmtId="0" fontId="6" fillId="2" borderId="0" xfId="6" applyBorder="1" applyAlignment="1" applyProtection="1">
      <alignment vertical="center"/>
    </xf>
    <xf numFmtId="0" fontId="7" fillId="3" borderId="0" xfId="7" applyBorder="1" applyAlignment="1" applyProtection="1">
      <alignment vertical="center"/>
    </xf>
    <xf numFmtId="37" fontId="17" fillId="9" borderId="0" xfId="18" applyNumberFormat="1" applyBorder="1" applyAlignment="1"/>
    <xf numFmtId="0" fontId="6" fillId="2" borderId="0" xfId="6" applyBorder="1"/>
    <xf numFmtId="0" fontId="20" fillId="0" borderId="0" xfId="0" applyFont="1" applyFill="1" applyBorder="1" applyAlignment="1">
      <alignment vertical="center"/>
    </xf>
    <xf numFmtId="37" fontId="21" fillId="0" borderId="11" xfId="0" applyNumberFormat="1" applyFont="1" applyFill="1" applyBorder="1" applyAlignment="1"/>
    <xf numFmtId="0" fontId="20" fillId="0" borderId="0" xfId="0" applyFont="1" applyFill="1" applyBorder="1"/>
    <xf numFmtId="37" fontId="21" fillId="0" borderId="11" xfId="0" applyNumberFormat="1" applyFont="1" applyFill="1" applyBorder="1" applyAlignment="1">
      <alignment vertical="center"/>
    </xf>
    <xf numFmtId="37" fontId="21" fillId="0" borderId="16" xfId="0" applyNumberFormat="1" applyFont="1" applyFill="1" applyBorder="1" applyAlignment="1"/>
    <xf numFmtId="37" fontId="22" fillId="0" borderId="0" xfId="0" applyNumberFormat="1" applyFont="1" applyFill="1" applyBorder="1" applyAlignment="1"/>
    <xf numFmtId="37" fontId="20" fillId="0" borderId="0" xfId="0" applyNumberFormat="1" applyFont="1" applyFill="1" applyBorder="1" applyAlignment="1"/>
    <xf numFmtId="37" fontId="24" fillId="0" borderId="11" xfId="0" applyNumberFormat="1" applyFont="1" applyFill="1" applyBorder="1" applyAlignment="1"/>
    <xf numFmtId="0" fontId="22" fillId="0" borderId="0" xfId="0" applyFont="1" applyFill="1" applyBorder="1" applyAlignment="1">
      <alignment vertical="center"/>
    </xf>
    <xf numFmtId="0" fontId="21" fillId="0" borderId="11" xfId="0" applyFont="1" applyFill="1" applyBorder="1" applyAlignment="1">
      <alignment vertical="center"/>
    </xf>
    <xf numFmtId="0" fontId="21" fillId="0" borderId="11" xfId="0" applyFont="1" applyFill="1" applyBorder="1"/>
    <xf numFmtId="0" fontId="21" fillId="0" borderId="15" xfId="0" applyFont="1" applyFill="1" applyBorder="1"/>
    <xf numFmtId="0" fontId="21" fillId="0" borderId="16" xfId="0" applyFont="1" applyFill="1" applyBorder="1"/>
    <xf numFmtId="0" fontId="21" fillId="0" borderId="15" xfId="0" applyFont="1" applyFill="1" applyBorder="1" applyAlignment="1">
      <alignment vertical="center"/>
    </xf>
    <xf numFmtId="37" fontId="20" fillId="0" borderId="15" xfId="0" applyNumberFormat="1" applyFont="1" applyFill="1" applyBorder="1" applyAlignment="1"/>
    <xf numFmtId="0" fontId="9" fillId="5" borderId="4" xfId="9"/>
    <xf numFmtId="0" fontId="9" fillId="5" borderId="4" xfId="9" applyAlignment="1">
      <alignment vertical="center"/>
    </xf>
    <xf numFmtId="0" fontId="17" fillId="9" borderId="0" xfId="18" applyBorder="1" applyAlignment="1">
      <alignment vertical="center"/>
    </xf>
    <xf numFmtId="0" fontId="17" fillId="9" borderId="11" xfId="18" applyBorder="1" applyAlignment="1">
      <alignment vertical="center"/>
    </xf>
    <xf numFmtId="0" fontId="7" fillId="3" borderId="4" xfId="7" applyBorder="1"/>
    <xf numFmtId="0" fontId="7" fillId="3" borderId="4" xfId="7" applyBorder="1" applyAlignment="1">
      <alignment vertical="center"/>
    </xf>
    <xf numFmtId="0" fontId="25" fillId="9" borderId="0" xfId="18" applyFont="1"/>
    <xf numFmtId="0" fontId="0" fillId="0" borderId="0" xfId="0" applyFont="1"/>
    <xf numFmtId="0" fontId="0" fillId="0" borderId="0" xfId="0" applyAlignment="1">
      <alignment horizontal="center"/>
    </xf>
    <xf numFmtId="49" fontId="27" fillId="0" borderId="26" xfId="51" applyNumberFormat="1" applyFont="1" applyFill="1" applyBorder="1" applyAlignment="1">
      <alignment horizontal="center" vertical="center"/>
    </xf>
    <xf numFmtId="49" fontId="27" fillId="0" borderId="27" xfId="51" applyNumberFormat="1" applyFont="1" applyFill="1" applyBorder="1" applyAlignment="1">
      <alignment horizontal="center" vertical="center"/>
    </xf>
    <xf numFmtId="49" fontId="29" fillId="0" borderId="11" xfId="51" applyNumberFormat="1" applyFont="1" applyFill="1" applyBorder="1" applyAlignment="1">
      <alignment horizontal="center" vertical="center"/>
    </xf>
    <xf numFmtId="49" fontId="27" fillId="0" borderId="0" xfId="51" applyNumberFormat="1" applyFont="1" applyFill="1" applyBorder="1" applyAlignment="1">
      <alignment horizontal="center" vertical="center"/>
    </xf>
    <xf numFmtId="49" fontId="28" fillId="0" borderId="26" xfId="51" applyNumberFormat="1" applyFont="1" applyFill="1" applyBorder="1" applyAlignment="1">
      <alignment horizontal="center" vertical="center"/>
    </xf>
    <xf numFmtId="49" fontId="29" fillId="0" borderId="11" xfId="50" applyNumberFormat="1" applyFont="1" applyFill="1" applyBorder="1" applyAlignment="1">
      <alignment horizontal="center" vertical="center"/>
    </xf>
    <xf numFmtId="49" fontId="27" fillId="0" borderId="11" xfId="50" applyNumberFormat="1" applyFont="1" applyFill="1" applyBorder="1" applyAlignment="1">
      <alignment horizontal="center" vertical="center"/>
    </xf>
    <xf numFmtId="49" fontId="28" fillId="0" borderId="0" xfId="50" applyNumberFormat="1" applyFont="1" applyFill="1" applyBorder="1" applyAlignment="1">
      <alignment horizontal="center" vertical="center"/>
    </xf>
    <xf numFmtId="49" fontId="27" fillId="0" borderId="24" xfId="51" applyNumberFormat="1" applyFont="1" applyFill="1" applyBorder="1" applyAlignment="1">
      <alignment horizontal="center" vertical="center"/>
    </xf>
    <xf numFmtId="49" fontId="29" fillId="0" borderId="17" xfId="51" applyNumberFormat="1" applyFont="1" applyFill="1" applyBorder="1" applyAlignment="1">
      <alignment horizontal="center" vertical="center"/>
    </xf>
    <xf numFmtId="49" fontId="27" fillId="0" borderId="26" xfId="50" applyNumberFormat="1" applyFont="1" applyFill="1" applyBorder="1" applyAlignment="1">
      <alignment horizontal="center" vertical="center"/>
    </xf>
    <xf numFmtId="49" fontId="27" fillId="0" borderId="28" xfId="50" applyNumberFormat="1" applyFont="1" applyFill="1" applyBorder="1" applyAlignment="1">
      <alignment horizontal="center" vertical="center"/>
    </xf>
    <xf numFmtId="49" fontId="27" fillId="0" borderId="27" xfId="50" applyNumberFormat="1" applyFont="1" applyFill="1" applyBorder="1" applyAlignment="1">
      <alignment horizontal="center" vertical="center"/>
    </xf>
    <xf numFmtId="49" fontId="29" fillId="0" borderId="17" xfId="50" applyNumberFormat="1" applyFont="1" applyFill="1" applyBorder="1" applyAlignment="1">
      <alignment horizontal="center" vertical="center"/>
    </xf>
    <xf numFmtId="49" fontId="29" fillId="0" borderId="25" xfId="50" applyNumberFormat="1" applyFont="1" applyFill="1" applyBorder="1" applyAlignment="1">
      <alignment horizontal="center" vertical="center"/>
    </xf>
    <xf numFmtId="0" fontId="1" fillId="10" borderId="0" xfId="19" applyAlignment="1">
      <alignment horizontal="center"/>
    </xf>
    <xf numFmtId="0" fontId="1" fillId="10" borderId="18" xfId="19" applyBorder="1" applyAlignment="1">
      <alignment vertical="center"/>
    </xf>
    <xf numFmtId="0" fontId="1" fillId="10" borderId="23" xfId="19" applyBorder="1" applyAlignment="1">
      <alignment vertical="center"/>
    </xf>
    <xf numFmtId="0" fontId="1" fillId="10" borderId="22" xfId="19" applyBorder="1" applyAlignment="1">
      <alignment vertical="center"/>
    </xf>
    <xf numFmtId="0" fontId="1" fillId="10" borderId="21" xfId="19" applyBorder="1" applyAlignment="1">
      <alignment vertical="center"/>
    </xf>
    <xf numFmtId="37" fontId="1" fillId="10" borderId="22" xfId="19" applyNumberFormat="1" applyBorder="1" applyAlignment="1">
      <alignment vertical="center"/>
    </xf>
    <xf numFmtId="0" fontId="1" fillId="10" borderId="20" xfId="19" applyBorder="1" applyAlignment="1">
      <alignment vertical="center"/>
    </xf>
    <xf numFmtId="37" fontId="1" fillId="10" borderId="23" xfId="19" applyNumberFormat="1" applyBorder="1" applyAlignment="1">
      <alignment vertical="center"/>
    </xf>
    <xf numFmtId="0" fontId="1" fillId="10" borderId="19" xfId="19" applyBorder="1" applyAlignment="1">
      <alignment vertical="center"/>
    </xf>
    <xf numFmtId="0" fontId="1" fillId="10" borderId="21" xfId="19" applyBorder="1" applyAlignment="1">
      <alignment horizontal="left" vertical="center"/>
    </xf>
    <xf numFmtId="0" fontId="1" fillId="10" borderId="29" xfId="19" applyBorder="1" applyAlignment="1">
      <alignment vertical="center"/>
    </xf>
    <xf numFmtId="0" fontId="1" fillId="10" borderId="22" xfId="19" applyBorder="1" applyAlignment="1">
      <alignment horizontal="left" vertical="center"/>
    </xf>
    <xf numFmtId="0" fontId="1" fillId="10" borderId="0" xfId="19"/>
    <xf numFmtId="0" fontId="0" fillId="10" borderId="20" xfId="19" applyFont="1" applyBorder="1" applyAlignment="1">
      <alignment vertical="center"/>
    </xf>
    <xf numFmtId="0" fontId="0" fillId="10" borderId="21" xfId="19" applyFont="1" applyBorder="1" applyAlignment="1">
      <alignment vertical="center"/>
    </xf>
    <xf numFmtId="0" fontId="0" fillId="10" borderId="22" xfId="19" applyFont="1" applyBorder="1" applyAlignment="1">
      <alignment vertical="center"/>
    </xf>
    <xf numFmtId="0" fontId="0" fillId="10" borderId="18" xfId="19" applyFont="1" applyBorder="1" applyAlignment="1">
      <alignment vertical="center"/>
    </xf>
    <xf numFmtId="0" fontId="17" fillId="9" borderId="21" xfId="18" applyBorder="1" applyAlignment="1">
      <alignment vertical="center"/>
    </xf>
    <xf numFmtId="49" fontId="27" fillId="0" borderId="30" xfId="42" applyNumberFormat="1" applyFont="1" applyFill="1" applyBorder="1" applyAlignment="1" applyProtection="1">
      <alignment horizontal="center"/>
    </xf>
    <xf numFmtId="49" fontId="27" fillId="0" borderId="13" xfId="42" applyNumberFormat="1" applyFont="1" applyFill="1" applyBorder="1" applyAlignment="1" applyProtection="1">
      <alignment horizontal="center"/>
    </xf>
    <xf numFmtId="49" fontId="29" fillId="0" borderId="14" xfId="42" applyNumberFormat="1" applyFont="1" applyFill="1" applyBorder="1" applyAlignment="1" applyProtection="1">
      <alignment horizontal="center"/>
    </xf>
    <xf numFmtId="0" fontId="16" fillId="0" borderId="0" xfId="0" applyFont="1"/>
    <xf numFmtId="0" fontId="20" fillId="0" borderId="18" xfId="51" applyFont="1" applyFill="1" applyBorder="1" applyAlignment="1">
      <alignment vertical="center"/>
    </xf>
    <xf numFmtId="0" fontId="20" fillId="0" borderId="20" xfId="51" applyFont="1" applyFill="1" applyBorder="1" applyAlignment="1">
      <alignment vertical="center"/>
    </xf>
    <xf numFmtId="0" fontId="22" fillId="0" borderId="22" xfId="51" applyFont="1" applyFill="1" applyBorder="1" applyAlignment="1">
      <alignment vertical="center"/>
    </xf>
    <xf numFmtId="0" fontId="20" fillId="0" borderId="21" xfId="51" applyFont="1" applyFill="1" applyBorder="1" applyAlignment="1">
      <alignment vertical="center"/>
    </xf>
    <xf numFmtId="0" fontId="21" fillId="0" borderId="22" xfId="51" applyFont="1" applyFill="1" applyBorder="1" applyAlignment="1">
      <alignment vertical="center"/>
    </xf>
    <xf numFmtId="37" fontId="20" fillId="0" borderId="18" xfId="49" applyNumberFormat="1" applyFont="1" applyFill="1" applyBorder="1" applyAlignment="1">
      <alignment vertical="center"/>
    </xf>
    <xf numFmtId="37" fontId="20" fillId="0" borderId="21" xfId="49" applyNumberFormat="1" applyFont="1" applyFill="1" applyBorder="1" applyAlignment="1">
      <alignment vertical="center"/>
    </xf>
    <xf numFmtId="0" fontId="30" fillId="0" borderId="20" xfId="51" applyFont="1" applyFill="1" applyBorder="1" applyAlignment="1">
      <alignment horizontal="left" vertical="center"/>
    </xf>
    <xf numFmtId="0" fontId="21" fillId="0" borderId="23" xfId="51" applyFont="1" applyFill="1" applyBorder="1" applyAlignment="1">
      <alignment vertical="center"/>
    </xf>
    <xf numFmtId="0" fontId="21" fillId="0" borderId="33" xfId="51" applyFont="1" applyFill="1" applyBorder="1" applyAlignment="1">
      <alignment vertical="center"/>
    </xf>
    <xf numFmtId="0" fontId="31" fillId="0" borderId="22" xfId="51" applyFont="1" applyFill="1" applyBorder="1" applyAlignment="1">
      <alignment horizontal="left" vertical="center"/>
    </xf>
    <xf numFmtId="0" fontId="30" fillId="0" borderId="18" xfId="51" applyFont="1" applyFill="1" applyBorder="1" applyAlignment="1">
      <alignment horizontal="left" vertical="center"/>
    </xf>
    <xf numFmtId="0" fontId="30" fillId="0" borderId="21" xfId="51" applyFont="1" applyFill="1" applyBorder="1" applyAlignment="1">
      <alignment horizontal="left" vertical="center"/>
    </xf>
    <xf numFmtId="0" fontId="20" fillId="0" borderId="23" xfId="51" applyFont="1" applyFill="1" applyBorder="1" applyAlignment="1">
      <alignment vertical="center"/>
    </xf>
    <xf numFmtId="49" fontId="27" fillId="0" borderId="26" xfId="51" applyNumberFormat="1" applyFont="1" applyFill="1" applyBorder="1" applyAlignment="1">
      <alignment horizontal="center" vertical="center"/>
    </xf>
    <xf numFmtId="49" fontId="27" fillId="0" borderId="27" xfId="51" applyNumberFormat="1" applyFont="1" applyFill="1" applyBorder="1" applyAlignment="1">
      <alignment horizontal="center" vertical="center"/>
    </xf>
    <xf numFmtId="49" fontId="27" fillId="0" borderId="28" xfId="51" applyNumberFormat="1" applyFont="1" applyFill="1" applyBorder="1" applyAlignment="1">
      <alignment horizontal="center" vertical="center"/>
    </xf>
    <xf numFmtId="49" fontId="29" fillId="0" borderId="11" xfId="51" applyNumberFormat="1" applyFont="1" applyFill="1" applyBorder="1" applyAlignment="1">
      <alignment horizontal="center" vertical="center"/>
    </xf>
    <xf numFmtId="49" fontId="27" fillId="0" borderId="26" xfId="49" applyNumberFormat="1" applyFont="1" applyFill="1" applyBorder="1" applyAlignment="1">
      <alignment horizontal="center" vertical="center"/>
    </xf>
    <xf numFmtId="49" fontId="27" fillId="0" borderId="28" xfId="49" applyNumberFormat="1" applyFont="1" applyFill="1" applyBorder="1" applyAlignment="1">
      <alignment horizontal="center" vertical="center"/>
    </xf>
    <xf numFmtId="49" fontId="29" fillId="0" borderId="0" xfId="51" applyNumberFormat="1" applyFont="1" applyFill="1" applyBorder="1" applyAlignment="1">
      <alignment horizontal="center" vertical="center"/>
    </xf>
    <xf numFmtId="49" fontId="29" fillId="0" borderId="16" xfId="51" applyNumberFormat="1" applyFont="1" applyFill="1" applyBorder="1" applyAlignment="1">
      <alignment horizontal="center" vertical="center"/>
    </xf>
    <xf numFmtId="49" fontId="27" fillId="0" borderId="0" xfId="51" applyNumberFormat="1" applyFont="1" applyFill="1" applyBorder="1" applyAlignment="1">
      <alignment horizontal="center" vertical="center"/>
    </xf>
    <xf numFmtId="49" fontId="27" fillId="0" borderId="32" xfId="51" applyNumberFormat="1" applyFont="1" applyFill="1" applyBorder="1" applyAlignment="1">
      <alignment horizontal="center" vertical="center"/>
    </xf>
    <xf numFmtId="49" fontId="29" fillId="0" borderId="31" xfId="51" applyNumberFormat="1" applyFont="1" applyFill="1" applyBorder="1" applyAlignment="1">
      <alignment horizontal="center" vertical="center"/>
    </xf>
    <xf numFmtId="49" fontId="17" fillId="9" borderId="28" xfId="18" applyNumberFormat="1" applyBorder="1" applyAlignment="1">
      <alignment horizontal="center" vertical="center"/>
    </xf>
    <xf numFmtId="49" fontId="7" fillId="3" borderId="28" xfId="7" applyNumberFormat="1" applyBorder="1" applyAlignment="1">
      <alignment horizontal="center" vertical="center"/>
    </xf>
    <xf numFmtId="0" fontId="0" fillId="0" borderId="0" xfId="0" applyAlignment="1"/>
    <xf numFmtId="49" fontId="27" fillId="0" borderId="34" xfId="0" applyNumberFormat="1" applyFont="1" applyFill="1" applyBorder="1" applyAlignment="1" applyProtection="1">
      <alignment horizontal="center"/>
    </xf>
    <xf numFmtId="49" fontId="27" fillId="0" borderId="32" xfId="0" applyNumberFormat="1" applyFont="1" applyFill="1" applyBorder="1" applyAlignment="1" applyProtection="1">
      <alignment horizontal="center"/>
    </xf>
    <xf numFmtId="49" fontId="27" fillId="0" borderId="35" xfId="0" applyNumberFormat="1" applyFont="1" applyFill="1" applyBorder="1" applyAlignment="1" applyProtection="1">
      <alignment horizontal="center"/>
    </xf>
    <xf numFmtId="49" fontId="29" fillId="0" borderId="17" xfId="0" applyNumberFormat="1" applyFont="1" applyFill="1" applyBorder="1" applyAlignment="1" applyProtection="1">
      <alignment horizontal="center"/>
    </xf>
    <xf numFmtId="49" fontId="27" fillId="0" borderId="30" xfId="0" applyNumberFormat="1" applyFont="1" applyFill="1" applyBorder="1" applyAlignment="1" applyProtection="1">
      <alignment horizontal="center"/>
    </xf>
    <xf numFmtId="49" fontId="32" fillId="0" borderId="17" xfId="0" applyNumberFormat="1" applyFont="1" applyFill="1" applyBorder="1" applyAlignment="1" applyProtection="1">
      <alignment horizontal="center"/>
    </xf>
    <xf numFmtId="49" fontId="29" fillId="0" borderId="31" xfId="0" applyNumberFormat="1" applyFont="1" applyFill="1" applyBorder="1" applyAlignment="1" applyProtection="1">
      <alignment horizontal="center"/>
    </xf>
    <xf numFmtId="49" fontId="29" fillId="0" borderId="32" xfId="0" applyNumberFormat="1" applyFont="1" applyFill="1" applyBorder="1" applyAlignment="1" applyProtection="1">
      <alignment horizontal="center"/>
    </xf>
    <xf numFmtId="49" fontId="29" fillId="0" borderId="34" xfId="0" applyNumberFormat="1" applyFont="1" applyFill="1" applyBorder="1" applyAlignment="1" applyProtection="1">
      <alignment horizontal="center"/>
    </xf>
    <xf numFmtId="49" fontId="27" fillId="0" borderId="32" xfId="0" applyNumberFormat="1" applyFont="1" applyFill="1" applyBorder="1" applyAlignment="1">
      <alignment horizontal="center"/>
    </xf>
    <xf numFmtId="49" fontId="27" fillId="0" borderId="35" xfId="0" applyNumberFormat="1" applyFont="1" applyFill="1" applyBorder="1" applyAlignment="1">
      <alignment horizontal="center"/>
    </xf>
    <xf numFmtId="49" fontId="29" fillId="0" borderId="17" xfId="0" applyNumberFormat="1" applyFont="1" applyFill="1" applyBorder="1" applyAlignment="1">
      <alignment horizontal="center"/>
    </xf>
    <xf numFmtId="49" fontId="27" fillId="0" borderId="34" xfId="0" applyNumberFormat="1" applyFont="1" applyFill="1" applyBorder="1" applyAlignment="1">
      <alignment horizontal="center"/>
    </xf>
    <xf numFmtId="49" fontId="27" fillId="0" borderId="30" xfId="0" applyNumberFormat="1" applyFont="1" applyFill="1" applyBorder="1" applyAlignment="1">
      <alignment horizontal="center"/>
    </xf>
    <xf numFmtId="49" fontId="29" fillId="0" borderId="25" xfId="0" applyNumberFormat="1" applyFont="1" applyFill="1" applyBorder="1" applyAlignment="1">
      <alignment horizontal="center"/>
    </xf>
    <xf numFmtId="49" fontId="29" fillId="0" borderId="36" xfId="0" applyNumberFormat="1" applyFont="1" applyFill="1" applyBorder="1" applyAlignment="1">
      <alignment horizontal="center"/>
    </xf>
    <xf numFmtId="49" fontId="29" fillId="0" borderId="30" xfId="0" applyNumberFormat="1" applyFont="1" applyFill="1" applyBorder="1" applyAlignment="1" applyProtection="1">
      <alignment horizontal="center"/>
    </xf>
    <xf numFmtId="49" fontId="27" fillId="0" borderId="37" xfId="0" applyNumberFormat="1" applyFont="1" applyFill="1" applyBorder="1" applyAlignment="1">
      <alignment horizontal="center"/>
    </xf>
    <xf numFmtId="49" fontId="29" fillId="0" borderId="30" xfId="0" applyNumberFormat="1" applyFont="1" applyFill="1" applyBorder="1" applyAlignment="1">
      <alignment horizontal="center"/>
    </xf>
    <xf numFmtId="49" fontId="17" fillId="9" borderId="30" xfId="18" applyNumberFormat="1" applyBorder="1" applyAlignment="1" applyProtection="1">
      <alignment horizontal="center"/>
    </xf>
    <xf numFmtId="49" fontId="27" fillId="0" borderId="38" xfId="42" applyNumberFormat="1" applyFont="1" applyFill="1" applyBorder="1" applyAlignment="1" applyProtection="1">
      <alignment horizontal="center"/>
    </xf>
    <xf numFmtId="49" fontId="29" fillId="0" borderId="17" xfId="42" applyNumberFormat="1" applyFont="1" applyFill="1" applyBorder="1" applyAlignment="1" applyProtection="1">
      <alignment horizontal="center"/>
    </xf>
    <xf numFmtId="49" fontId="27" fillId="0" borderId="38" xfId="42" applyNumberFormat="1" applyFont="1" applyFill="1" applyBorder="1" applyAlignment="1" applyProtection="1">
      <alignment horizontal="center" wrapText="1"/>
    </xf>
    <xf numFmtId="0" fontId="27" fillId="0" borderId="30" xfId="0" applyFont="1" applyFill="1" applyBorder="1" applyAlignment="1">
      <alignment horizontal="center"/>
    </xf>
    <xf numFmtId="164" fontId="27" fillId="0" borderId="38" xfId="42" quotePrefix="1" applyNumberFormat="1" applyFont="1" applyFill="1" applyBorder="1" applyAlignment="1" applyProtection="1">
      <alignment horizontal="center"/>
    </xf>
    <xf numFmtId="164" fontId="27" fillId="0" borderId="0" xfId="42" quotePrefix="1" applyNumberFormat="1" applyFont="1" applyFill="1" applyBorder="1" applyAlignment="1" applyProtection="1">
      <alignment horizontal="center"/>
    </xf>
    <xf numFmtId="49" fontId="27" fillId="0" borderId="0" xfId="42" applyNumberFormat="1" applyFont="1" applyFill="1" applyBorder="1" applyAlignment="1" applyProtection="1">
      <alignment horizontal="center"/>
    </xf>
    <xf numFmtId="49" fontId="29" fillId="0" borderId="0" xfId="42" applyNumberFormat="1" applyFont="1" applyFill="1" applyBorder="1" applyAlignment="1" applyProtection="1">
      <alignment horizontal="center"/>
    </xf>
    <xf numFmtId="0" fontId="28" fillId="0" borderId="10" xfId="42" applyFont="1" applyFill="1" applyBorder="1" applyAlignment="1" applyProtection="1">
      <alignment horizontal="center" vertical="center"/>
    </xf>
    <xf numFmtId="1" fontId="33" fillId="0" borderId="39" xfId="42" applyNumberFormat="1" applyFont="1" applyFill="1" applyBorder="1" applyAlignment="1">
      <alignment horizontal="center"/>
    </xf>
    <xf numFmtId="164" fontId="27" fillId="0" borderId="30" xfId="42" applyNumberFormat="1" applyFont="1" applyFill="1" applyBorder="1" applyAlignment="1">
      <alignment horizontal="center"/>
    </xf>
    <xf numFmtId="1" fontId="33" fillId="0" borderId="30" xfId="42" applyNumberFormat="1" applyFont="1" applyFill="1" applyBorder="1" applyAlignment="1">
      <alignment horizontal="center"/>
    </xf>
    <xf numFmtId="164" fontId="27" fillId="0" borderId="25" xfId="42" quotePrefix="1" applyNumberFormat="1" applyFont="1" applyFill="1" applyBorder="1" applyAlignment="1">
      <alignment horizontal="center"/>
    </xf>
    <xf numFmtId="49" fontId="7" fillId="3" borderId="30" xfId="7" applyNumberFormat="1" applyBorder="1" applyAlignment="1" applyProtection="1">
      <alignment horizontal="center"/>
    </xf>
    <xf numFmtId="0" fontId="17" fillId="9" borderId="0" xfId="18" applyAlignment="1">
      <alignment horizontal="center" vertical="center"/>
    </xf>
    <xf numFmtId="0" fontId="7" fillId="3" borderId="0" xfId="7" applyAlignment="1">
      <alignment horizontal="center" vertical="center"/>
    </xf>
    <xf numFmtId="0" fontId="0" fillId="0" borderId="0" xfId="0" applyAlignment="1">
      <alignment horizontal="center" vertical="center"/>
    </xf>
  </cellXfs>
  <cellStyles count="58">
    <cellStyle name="0,0_x000d__x000a_NA_x000d__x000a_" xfId="43"/>
    <cellStyle name="0,0_x000d__x000a_NA_x000d__x000a_ 10" xfId="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56"/>
    <cellStyle name="Comma 9" xfId="46"/>
    <cellStyle name="Comma 9 2" xfId="47"/>
    <cellStyle name="Comma 9 3" xfId="48"/>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9"/>
    <cellStyle name="Normal 2 2" xfId="57"/>
    <cellStyle name="Normal 3" xfId="50"/>
    <cellStyle name="Normal 4" xfId="51"/>
    <cellStyle name="Normal 5" xfId="55"/>
    <cellStyle name="Normal 6" xfId="44"/>
    <cellStyle name="Normal_SAFs" xfId="42"/>
    <cellStyle name="Note" xfId="15" builtinId="10" customBuiltin="1"/>
    <cellStyle name="Output" xfId="10" builtinId="21" customBuiltin="1"/>
    <cellStyle name="Percent 6" xfId="52"/>
    <cellStyle name="Percent 6 2" xfId="53"/>
    <cellStyle name="Percent 6 3" xfId="54"/>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157" sqref="A157"/>
    </sheetView>
  </sheetViews>
  <sheetFormatPr defaultColWidth="8.85546875" defaultRowHeight="15"/>
  <sheetData>
    <row r="1" spans="1:1">
      <c r="A1" s="1" t="s">
        <v>75</v>
      </c>
    </row>
    <row r="2" spans="1:1">
      <c r="A2" s="8" t="s">
        <v>91</v>
      </c>
    </row>
    <row r="3" spans="1:1">
      <c r="A3" s="2" t="s">
        <v>76</v>
      </c>
    </row>
    <row r="4" spans="1:1">
      <c r="A4" s="3" t="s">
        <v>75</v>
      </c>
    </row>
    <row r="5" spans="1:1">
      <c r="A5" s="7"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sheetViews>
  <sheetFormatPr defaultColWidth="8.85546875" defaultRowHeight="15"/>
  <sheetData>
    <row r="1" spans="1:1">
      <c r="A1" t="s">
        <v>93</v>
      </c>
    </row>
    <row r="3" spans="1:1">
      <c r="A3" t="s">
        <v>77</v>
      </c>
    </row>
    <row r="4" spans="1:1">
      <c r="A4" t="s">
        <v>78</v>
      </c>
    </row>
    <row r="5" spans="1:1">
      <c r="A5" t="s">
        <v>94</v>
      </c>
    </row>
    <row r="6" spans="1:1">
      <c r="A6" t="s">
        <v>79</v>
      </c>
    </row>
    <row r="8" spans="1:1">
      <c r="A8" t="s">
        <v>162</v>
      </c>
    </row>
    <row r="11" spans="1:1">
      <c r="A11" t="s">
        <v>2356</v>
      </c>
    </row>
    <row r="12" spans="1:1">
      <c r="A12" t="s">
        <v>2357</v>
      </c>
    </row>
    <row r="15" spans="1:1">
      <c r="A15" t="s">
        <v>2745</v>
      </c>
    </row>
    <row r="16" spans="1:1">
      <c r="A16" t="s">
        <v>2746</v>
      </c>
    </row>
    <row r="17" spans="1:1">
      <c r="A17" t="s">
        <v>2747</v>
      </c>
    </row>
    <row r="18" spans="1:1">
      <c r="A18" t="s">
        <v>2748</v>
      </c>
    </row>
    <row r="20" spans="1:1">
      <c r="A20" t="s">
        <v>2745</v>
      </c>
    </row>
    <row r="21" spans="1:1">
      <c r="A21" t="s">
        <v>2755</v>
      </c>
    </row>
    <row r="22" spans="1:1">
      <c r="A22" t="s">
        <v>2756</v>
      </c>
    </row>
    <row r="23" spans="1:1">
      <c r="A23" t="s">
        <v>2754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5"/>
  <sheetViews>
    <sheetView workbookViewId="0"/>
  </sheetViews>
  <sheetFormatPr defaultColWidth="8.85546875" defaultRowHeight="15"/>
  <sheetData>
    <row r="1" spans="1:1">
      <c r="A1" t="s">
        <v>95</v>
      </c>
    </row>
    <row r="2" spans="1:1">
      <c r="A2" t="s">
        <v>96</v>
      </c>
    </row>
    <row r="3" spans="1:1">
      <c r="A3" t="s">
        <v>97</v>
      </c>
    </row>
    <row r="4" spans="1:1">
      <c r="A4" t="s">
        <v>98</v>
      </c>
    </row>
    <row r="5" spans="1:1">
      <c r="A5" t="s">
        <v>99</v>
      </c>
    </row>
    <row r="6" spans="1:1">
      <c r="A6" t="s">
        <v>100</v>
      </c>
    </row>
    <row r="7" spans="1:1">
      <c r="A7" t="s">
        <v>101</v>
      </c>
    </row>
    <row r="8" spans="1:1">
      <c r="A8" t="s">
        <v>102</v>
      </c>
    </row>
    <row r="9" spans="1:1">
      <c r="A9" t="s">
        <v>103</v>
      </c>
    </row>
    <row r="10" spans="1:1">
      <c r="A10" t="s">
        <v>104</v>
      </c>
    </row>
    <row r="11" spans="1:1">
      <c r="A11" t="s">
        <v>105</v>
      </c>
    </row>
    <row r="12" spans="1:1">
      <c r="A12" t="s">
        <v>106</v>
      </c>
    </row>
    <row r="13" spans="1:1">
      <c r="A13" t="s">
        <v>107</v>
      </c>
    </row>
    <row r="14" spans="1:1">
      <c r="A14" t="s">
        <v>108</v>
      </c>
    </row>
    <row r="15" spans="1:1">
      <c r="A15" t="s">
        <v>109</v>
      </c>
    </row>
    <row r="16" spans="1:1">
      <c r="A16" t="s">
        <v>110</v>
      </c>
    </row>
    <row r="17" spans="1:1">
      <c r="A17" t="s">
        <v>111</v>
      </c>
    </row>
    <row r="18" spans="1:1">
      <c r="A18" t="s">
        <v>112</v>
      </c>
    </row>
    <row r="19" spans="1:1">
      <c r="A19" t="s">
        <v>113</v>
      </c>
    </row>
    <row r="20" spans="1:1">
      <c r="A20" t="s">
        <v>114</v>
      </c>
    </row>
    <row r="21" spans="1:1">
      <c r="A21" t="s">
        <v>115</v>
      </c>
    </row>
    <row r="22" spans="1:1">
      <c r="A22" t="s">
        <v>116</v>
      </c>
    </row>
    <row r="23" spans="1:1">
      <c r="A23" t="s">
        <v>117</v>
      </c>
    </row>
    <row r="24" spans="1:1">
      <c r="A24" t="s">
        <v>118</v>
      </c>
    </row>
    <row r="25" spans="1:1">
      <c r="A25" t="s">
        <v>119</v>
      </c>
    </row>
    <row r="26" spans="1:1">
      <c r="A26" t="s">
        <v>120</v>
      </c>
    </row>
    <row r="27" spans="1:1">
      <c r="A27" t="s">
        <v>121</v>
      </c>
    </row>
    <row r="28" spans="1:1">
      <c r="A28" t="s">
        <v>122</v>
      </c>
    </row>
    <row r="29" spans="1:1">
      <c r="A29" t="s">
        <v>123</v>
      </c>
    </row>
    <row r="30" spans="1:1">
      <c r="A30" t="s">
        <v>124</v>
      </c>
    </row>
    <row r="31" spans="1:1">
      <c r="A31" t="s">
        <v>125</v>
      </c>
    </row>
    <row r="32" spans="1:1">
      <c r="A32" t="s">
        <v>126</v>
      </c>
    </row>
    <row r="33" spans="1:1">
      <c r="A33" t="s">
        <v>127</v>
      </c>
    </row>
    <row r="34" spans="1:1">
      <c r="A34" t="s">
        <v>128</v>
      </c>
    </row>
    <row r="35" spans="1:1">
      <c r="A35" t="s">
        <v>129</v>
      </c>
    </row>
    <row r="36" spans="1:1">
      <c r="A36" t="s">
        <v>130</v>
      </c>
    </row>
    <row r="37" spans="1:1">
      <c r="A37" t="s">
        <v>131</v>
      </c>
    </row>
    <row r="38" spans="1:1">
      <c r="A38" t="s">
        <v>132</v>
      </c>
    </row>
    <row r="39" spans="1:1">
      <c r="A39" t="s">
        <v>133</v>
      </c>
    </row>
    <row r="40" spans="1:1">
      <c r="A40" t="s">
        <v>134</v>
      </c>
    </row>
    <row r="41" spans="1:1">
      <c r="A41" t="s">
        <v>135</v>
      </c>
    </row>
    <row r="42" spans="1:1">
      <c r="A42" t="s">
        <v>136</v>
      </c>
    </row>
    <row r="43" spans="1:1">
      <c r="A43" t="s">
        <v>137</v>
      </c>
    </row>
    <row r="44" spans="1:1">
      <c r="A44" t="s">
        <v>138</v>
      </c>
    </row>
    <row r="45" spans="1:1">
      <c r="A45" t="s">
        <v>139</v>
      </c>
    </row>
    <row r="46" spans="1:1">
      <c r="A46" t="s">
        <v>140</v>
      </c>
    </row>
    <row r="47" spans="1:1">
      <c r="A47" t="s">
        <v>141</v>
      </c>
    </row>
    <row r="48" spans="1:1">
      <c r="A48" t="s">
        <v>142</v>
      </c>
    </row>
    <row r="49" spans="1:1">
      <c r="A49" t="s">
        <v>143</v>
      </c>
    </row>
    <row r="50" spans="1:1">
      <c r="A50" t="s">
        <v>144</v>
      </c>
    </row>
    <row r="51" spans="1:1">
      <c r="A51" t="s">
        <v>145</v>
      </c>
    </row>
    <row r="52" spans="1:1">
      <c r="A52" t="s">
        <v>146</v>
      </c>
    </row>
    <row r="53" spans="1:1">
      <c r="A53" t="s">
        <v>147</v>
      </c>
    </row>
    <row r="54" spans="1:1">
      <c r="A54" t="s">
        <v>148</v>
      </c>
    </row>
    <row r="55" spans="1:1">
      <c r="A55" t="s">
        <v>149</v>
      </c>
    </row>
    <row r="56" spans="1:1">
      <c r="A56" t="s">
        <v>150</v>
      </c>
    </row>
    <row r="57" spans="1:1">
      <c r="A57" t="s">
        <v>151</v>
      </c>
    </row>
    <row r="58" spans="1:1">
      <c r="A58" t="s">
        <v>152</v>
      </c>
    </row>
    <row r="59" spans="1:1">
      <c r="A59" t="s">
        <v>153</v>
      </c>
    </row>
    <row r="60" spans="1:1">
      <c r="A60" t="s">
        <v>154</v>
      </c>
    </row>
    <row r="61" spans="1:1">
      <c r="A61" t="s">
        <v>155</v>
      </c>
    </row>
    <row r="62" spans="1:1">
      <c r="A62" t="s">
        <v>156</v>
      </c>
    </row>
    <row r="63" spans="1:1">
      <c r="A63" t="s">
        <v>157</v>
      </c>
    </row>
    <row r="64" spans="1:1">
      <c r="A64" t="s">
        <v>158</v>
      </c>
    </row>
    <row r="65" spans="1:1">
      <c r="A65"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Views>
    <sheetView topLeftCell="G58" workbookViewId="0">
      <selection activeCell="I73" sqref="I2:I73"/>
    </sheetView>
  </sheetViews>
  <sheetFormatPr defaultColWidth="8.85546875" defaultRowHeight="15"/>
  <cols>
    <col min="3" max="3" width="16.140625" style="1" bestFit="1" customWidth="1"/>
    <col min="4" max="4" width="10.28515625" bestFit="1" customWidth="1"/>
    <col min="5" max="5" width="13.42578125" style="1" bestFit="1" customWidth="1"/>
    <col min="6" max="6" width="7.42578125" bestFit="1" customWidth="1"/>
    <col min="7" max="7" width="39.5703125" customWidth="1"/>
    <col min="8" max="8" width="38.7109375" bestFit="1" customWidth="1"/>
    <col min="9" max="9" width="127.42578125" bestFit="1" customWidth="1"/>
  </cols>
  <sheetData>
    <row r="1" spans="1:9">
      <c r="A1" s="4" t="s">
        <v>73</v>
      </c>
      <c r="B1" s="5" t="s">
        <v>65</v>
      </c>
      <c r="C1" s="6" t="s">
        <v>69</v>
      </c>
      <c r="D1" s="5" t="s">
        <v>66</v>
      </c>
      <c r="E1" s="6" t="s">
        <v>70</v>
      </c>
      <c r="F1" s="5" t="s">
        <v>67</v>
      </c>
      <c r="G1" s="5" t="s">
        <v>68</v>
      </c>
      <c r="H1" s="4" t="s">
        <v>71</v>
      </c>
      <c r="I1" s="4" t="s">
        <v>72</v>
      </c>
    </row>
    <row r="2" spans="1:9">
      <c r="A2" t="s">
        <v>74</v>
      </c>
      <c r="B2" t="s">
        <v>0</v>
      </c>
      <c r="C2" s="1">
        <f>D2</f>
        <v>1</v>
      </c>
      <c r="D2">
        <v>1</v>
      </c>
      <c r="E2" s="1">
        <f>F2</f>
        <v>1</v>
      </c>
      <c r="F2">
        <v>1</v>
      </c>
      <c r="G2">
        <v>1081</v>
      </c>
      <c r="H2" t="s">
        <v>1</v>
      </c>
      <c r="I2" t="str">
        <f>IF(A2&lt;&gt;"Remove",CONCATENATE("INSERT INTO tbFinanceItemSeq(Report,ItemSeqID,ItemSN,ItemID) VALUES('",B2,"',",C2,",",E2,",",G2,")"),"")</f>
        <v>INSERT INTO tbFinanceItemSeq(Report,ItemSeqID,ItemSN,ItemID) VALUES('PNL',1,1,1081)</v>
      </c>
    </row>
    <row r="3" spans="1:9">
      <c r="A3" t="s">
        <v>74</v>
      </c>
      <c r="B3" t="s">
        <v>0</v>
      </c>
      <c r="C3" s="1">
        <f t="shared" ref="C3:C9" si="0">D3</f>
        <v>2</v>
      </c>
      <c r="D3">
        <v>2</v>
      </c>
      <c r="E3" s="1">
        <f t="shared" ref="E3:E9" si="1">F3</f>
        <v>2</v>
      </c>
      <c r="F3">
        <v>2</v>
      </c>
      <c r="G3">
        <v>1082</v>
      </c>
      <c r="H3" t="s">
        <v>2</v>
      </c>
      <c r="I3" t="str">
        <f t="shared" ref="I3:I70" si="2">IF(A3&lt;&gt;"Remove",CONCATENATE("INSERT INTO tbFinanceItemSeq(Report,ItemSeqID,ItemSN,ItemID) VALUES('",B3,"',",C3,",",E3,",",G3,")"),"")</f>
        <v>INSERT INTO tbFinanceItemSeq(Report,ItemSeqID,ItemSN,ItemID) VALUES('PNL',2,2,1082)</v>
      </c>
    </row>
    <row r="4" spans="1:9">
      <c r="A4" t="s">
        <v>74</v>
      </c>
      <c r="B4" t="s">
        <v>0</v>
      </c>
      <c r="C4" s="1">
        <f t="shared" si="0"/>
        <v>3</v>
      </c>
      <c r="D4">
        <v>3</v>
      </c>
      <c r="E4" s="1">
        <f t="shared" si="1"/>
        <v>3</v>
      </c>
      <c r="F4">
        <v>3</v>
      </c>
      <c r="G4">
        <v>1083</v>
      </c>
      <c r="H4" t="s">
        <v>3</v>
      </c>
      <c r="I4" t="str">
        <f t="shared" si="2"/>
        <v>INSERT INTO tbFinanceItemSeq(Report,ItemSeqID,ItemSN,ItemID) VALUES('PNL',3,3,1083)</v>
      </c>
    </row>
    <row r="5" spans="1:9">
      <c r="A5" t="s">
        <v>74</v>
      </c>
      <c r="B5" t="s">
        <v>0</v>
      </c>
      <c r="C5" s="1">
        <f t="shared" si="0"/>
        <v>4</v>
      </c>
      <c r="D5">
        <v>4</v>
      </c>
      <c r="E5" s="1">
        <f t="shared" si="1"/>
        <v>4</v>
      </c>
      <c r="F5">
        <v>4</v>
      </c>
      <c r="G5">
        <v>1084</v>
      </c>
      <c r="H5" t="s">
        <v>4</v>
      </c>
      <c r="I5" t="str">
        <f t="shared" si="2"/>
        <v>INSERT INTO tbFinanceItemSeq(Report,ItemSeqID,ItemSN,ItemID) VALUES('PNL',4,4,1084)</v>
      </c>
    </row>
    <row r="6" spans="1:9">
      <c r="A6" t="s">
        <v>74</v>
      </c>
      <c r="B6" t="s">
        <v>0</v>
      </c>
      <c r="C6" s="1">
        <f t="shared" si="0"/>
        <v>5</v>
      </c>
      <c r="D6">
        <v>5</v>
      </c>
      <c r="E6" s="1">
        <f t="shared" si="1"/>
        <v>5</v>
      </c>
      <c r="F6">
        <v>5</v>
      </c>
      <c r="G6">
        <v>1085</v>
      </c>
      <c r="H6" t="s">
        <v>5</v>
      </c>
      <c r="I6" t="str">
        <f t="shared" si="2"/>
        <v>INSERT INTO tbFinanceItemSeq(Report,ItemSeqID,ItemSN,ItemID) VALUES('PNL',5,5,1085)</v>
      </c>
    </row>
    <row r="7" spans="1:9">
      <c r="A7" t="s">
        <v>74</v>
      </c>
      <c r="B7" t="s">
        <v>0</v>
      </c>
      <c r="C7" s="1">
        <f t="shared" si="0"/>
        <v>6</v>
      </c>
      <c r="D7">
        <v>6</v>
      </c>
      <c r="E7" s="1">
        <f t="shared" si="1"/>
        <v>6</v>
      </c>
      <c r="F7">
        <v>6</v>
      </c>
      <c r="G7">
        <v>1086</v>
      </c>
      <c r="H7" t="s">
        <v>6</v>
      </c>
      <c r="I7" t="str">
        <f t="shared" si="2"/>
        <v>INSERT INTO tbFinanceItemSeq(Report,ItemSeqID,ItemSN,ItemID) VALUES('PNL',6,6,1086)</v>
      </c>
    </row>
    <row r="8" spans="1:9">
      <c r="A8" t="s">
        <v>74</v>
      </c>
      <c r="B8" t="s">
        <v>0</v>
      </c>
      <c r="C8" s="1">
        <f t="shared" si="0"/>
        <v>7</v>
      </c>
      <c r="D8">
        <v>7</v>
      </c>
      <c r="E8" s="1">
        <f t="shared" si="1"/>
        <v>7</v>
      </c>
      <c r="F8">
        <v>7</v>
      </c>
      <c r="G8">
        <v>1087</v>
      </c>
      <c r="H8" t="s">
        <v>7</v>
      </c>
      <c r="I8" t="str">
        <f t="shared" si="2"/>
        <v>INSERT INTO tbFinanceItemSeq(Report,ItemSeqID,ItemSN,ItemID) VALUES('PNL',7,7,1087)</v>
      </c>
    </row>
    <row r="9" spans="1:9">
      <c r="A9" t="s">
        <v>74</v>
      </c>
      <c r="B9" t="s">
        <v>0</v>
      </c>
      <c r="C9" s="1">
        <f t="shared" si="0"/>
        <v>8</v>
      </c>
      <c r="D9">
        <v>8</v>
      </c>
      <c r="E9" s="1">
        <f t="shared" si="1"/>
        <v>8</v>
      </c>
      <c r="F9">
        <v>8</v>
      </c>
      <c r="G9">
        <v>1088</v>
      </c>
      <c r="H9" s="8" t="s">
        <v>8</v>
      </c>
      <c r="I9" t="str">
        <f t="shared" si="2"/>
        <v>INSERT INTO tbFinanceItemSeq(Report,ItemSeqID,ItemSN,ItemID) VALUES('PNL',8,8,1088)</v>
      </c>
    </row>
    <row r="10" spans="1:9">
      <c r="A10" s="3" t="s">
        <v>75</v>
      </c>
      <c r="B10" s="3" t="s">
        <v>0</v>
      </c>
      <c r="C10" s="3">
        <v>9</v>
      </c>
      <c r="D10" s="3"/>
      <c r="E10" s="3">
        <v>9</v>
      </c>
      <c r="F10" s="3"/>
      <c r="G10" s="3">
        <v>1126</v>
      </c>
      <c r="H10" s="3" t="s">
        <v>48</v>
      </c>
      <c r="I10" s="3" t="str">
        <f t="shared" si="2"/>
        <v>INSERT INTO tbFinanceItemSeq(Report,ItemSeqID,ItemSN,ItemID) VALUES('PNL',9,9,1126)</v>
      </c>
    </row>
    <row r="11" spans="1:9">
      <c r="A11" t="s">
        <v>74</v>
      </c>
      <c r="B11" t="s">
        <v>0</v>
      </c>
      <c r="C11" s="1">
        <f>SUM(D11,1)</f>
        <v>10</v>
      </c>
      <c r="D11">
        <v>9</v>
      </c>
      <c r="E11" s="1">
        <f>SUM(F11,1)</f>
        <v>10</v>
      </c>
      <c r="F11">
        <v>9</v>
      </c>
      <c r="G11">
        <v>1089</v>
      </c>
      <c r="H11" t="s">
        <v>9</v>
      </c>
      <c r="I11" t="str">
        <f t="shared" si="2"/>
        <v>INSERT INTO tbFinanceItemSeq(Report,ItemSeqID,ItemSN,ItemID) VALUES('PNL',10,10,1089)</v>
      </c>
    </row>
    <row r="12" spans="1:9">
      <c r="A12" t="s">
        <v>74</v>
      </c>
      <c r="B12" t="s">
        <v>0</v>
      </c>
      <c r="C12" s="1">
        <f t="shared" ref="C12:C57" si="3">SUM(D12,1)</f>
        <v>11</v>
      </c>
      <c r="D12">
        <v>10</v>
      </c>
      <c r="E12" s="1">
        <f t="shared" ref="E12:E57" si="4">SUM(F12,1)</f>
        <v>11</v>
      </c>
      <c r="F12">
        <v>10</v>
      </c>
      <c r="G12">
        <v>1090</v>
      </c>
      <c r="H12" t="s">
        <v>10</v>
      </c>
      <c r="I12" t="str">
        <f t="shared" si="2"/>
        <v>INSERT INTO tbFinanceItemSeq(Report,ItemSeqID,ItemSN,ItemID) VALUES('PNL',11,11,1090)</v>
      </c>
    </row>
    <row r="13" spans="1:9">
      <c r="A13" t="s">
        <v>74</v>
      </c>
      <c r="B13" t="s">
        <v>0</v>
      </c>
      <c r="C13" s="1">
        <f t="shared" si="3"/>
        <v>12</v>
      </c>
      <c r="D13">
        <v>11</v>
      </c>
      <c r="E13" s="1">
        <f t="shared" si="4"/>
        <v>12</v>
      </c>
      <c r="F13">
        <v>11</v>
      </c>
      <c r="G13">
        <v>1091</v>
      </c>
      <c r="H13" t="s">
        <v>11</v>
      </c>
      <c r="I13" t="str">
        <f t="shared" si="2"/>
        <v>INSERT INTO tbFinanceItemSeq(Report,ItemSeqID,ItemSN,ItemID) VALUES('PNL',12,12,1091)</v>
      </c>
    </row>
    <row r="14" spans="1:9">
      <c r="A14" t="s">
        <v>74</v>
      </c>
      <c r="B14" t="s">
        <v>0</v>
      </c>
      <c r="C14" s="1">
        <f t="shared" si="3"/>
        <v>13</v>
      </c>
      <c r="D14">
        <v>12</v>
      </c>
      <c r="E14" s="1">
        <f t="shared" si="4"/>
        <v>13</v>
      </c>
      <c r="F14">
        <v>12</v>
      </c>
      <c r="G14">
        <v>1092</v>
      </c>
      <c r="H14" t="s">
        <v>12</v>
      </c>
      <c r="I14" t="str">
        <f t="shared" si="2"/>
        <v>INSERT INTO tbFinanceItemSeq(Report,ItemSeqID,ItemSN,ItemID) VALUES('PNL',13,13,1092)</v>
      </c>
    </row>
    <row r="15" spans="1:9">
      <c r="A15" t="s">
        <v>74</v>
      </c>
      <c r="B15" t="s">
        <v>0</v>
      </c>
      <c r="C15" s="1">
        <f t="shared" si="3"/>
        <v>14</v>
      </c>
      <c r="D15">
        <v>13</v>
      </c>
      <c r="E15" s="1">
        <f t="shared" si="4"/>
        <v>14</v>
      </c>
      <c r="F15">
        <v>13</v>
      </c>
      <c r="G15">
        <v>1093</v>
      </c>
      <c r="H15" t="s">
        <v>13</v>
      </c>
      <c r="I15" t="str">
        <f t="shared" si="2"/>
        <v>INSERT INTO tbFinanceItemSeq(Report,ItemSeqID,ItemSN,ItemID) VALUES('PNL',14,14,1093)</v>
      </c>
    </row>
    <row r="16" spans="1:9">
      <c r="A16" t="s">
        <v>74</v>
      </c>
      <c r="B16" t="s">
        <v>0</v>
      </c>
      <c r="C16" s="1">
        <f t="shared" si="3"/>
        <v>15</v>
      </c>
      <c r="D16">
        <v>14</v>
      </c>
      <c r="E16" s="1">
        <f t="shared" si="4"/>
        <v>15</v>
      </c>
      <c r="F16">
        <v>14</v>
      </c>
      <c r="G16">
        <v>1094</v>
      </c>
      <c r="H16" t="s">
        <v>14</v>
      </c>
      <c r="I16" t="str">
        <f t="shared" si="2"/>
        <v>INSERT INTO tbFinanceItemSeq(Report,ItemSeqID,ItemSN,ItemID) VALUES('PNL',15,15,1094)</v>
      </c>
    </row>
    <row r="17" spans="1:9">
      <c r="A17" t="s">
        <v>74</v>
      </c>
      <c r="B17" t="s">
        <v>0</v>
      </c>
      <c r="C17" s="1">
        <f t="shared" si="3"/>
        <v>16</v>
      </c>
      <c r="D17">
        <v>15</v>
      </c>
      <c r="E17" s="1">
        <f t="shared" si="4"/>
        <v>16</v>
      </c>
      <c r="F17">
        <v>15</v>
      </c>
      <c r="G17">
        <v>1095</v>
      </c>
      <c r="H17" t="s">
        <v>15</v>
      </c>
      <c r="I17" t="str">
        <f t="shared" si="2"/>
        <v>INSERT INTO tbFinanceItemSeq(Report,ItemSeqID,ItemSN,ItemID) VALUES('PNL',16,16,1095)</v>
      </c>
    </row>
    <row r="18" spans="1:9">
      <c r="A18" t="s">
        <v>74</v>
      </c>
      <c r="B18" t="s">
        <v>0</v>
      </c>
      <c r="C18" s="1">
        <f t="shared" si="3"/>
        <v>17</v>
      </c>
      <c r="D18">
        <v>16</v>
      </c>
      <c r="E18" s="1">
        <f t="shared" si="4"/>
        <v>17</v>
      </c>
      <c r="F18">
        <v>16</v>
      </c>
      <c r="G18">
        <v>1096</v>
      </c>
      <c r="H18" t="s">
        <v>16</v>
      </c>
      <c r="I18" t="str">
        <f t="shared" si="2"/>
        <v>INSERT INTO tbFinanceItemSeq(Report,ItemSeqID,ItemSN,ItemID) VALUES('PNL',17,17,1096)</v>
      </c>
    </row>
    <row r="19" spans="1:9">
      <c r="A19" t="s">
        <v>74</v>
      </c>
      <c r="B19" t="s">
        <v>0</v>
      </c>
      <c r="C19" s="1">
        <f t="shared" si="3"/>
        <v>18</v>
      </c>
      <c r="D19">
        <v>17</v>
      </c>
      <c r="E19" s="1">
        <f t="shared" si="4"/>
        <v>18</v>
      </c>
      <c r="F19">
        <v>17</v>
      </c>
      <c r="G19">
        <v>1097</v>
      </c>
      <c r="H19" t="s">
        <v>17</v>
      </c>
      <c r="I19" t="str">
        <f t="shared" si="2"/>
        <v>INSERT INTO tbFinanceItemSeq(Report,ItemSeqID,ItemSN,ItemID) VALUES('PNL',18,18,1097)</v>
      </c>
    </row>
    <row r="20" spans="1:9">
      <c r="A20" t="s">
        <v>74</v>
      </c>
      <c r="B20" t="s">
        <v>0</v>
      </c>
      <c r="C20" s="1">
        <f t="shared" si="3"/>
        <v>19</v>
      </c>
      <c r="D20">
        <v>18</v>
      </c>
      <c r="E20" s="1">
        <f t="shared" si="4"/>
        <v>19</v>
      </c>
      <c r="F20">
        <v>18</v>
      </c>
      <c r="G20">
        <v>1098</v>
      </c>
      <c r="H20" t="s">
        <v>18</v>
      </c>
      <c r="I20" t="str">
        <f t="shared" si="2"/>
        <v>INSERT INTO tbFinanceItemSeq(Report,ItemSeqID,ItemSN,ItemID) VALUES('PNL',19,19,1098)</v>
      </c>
    </row>
    <row r="21" spans="1:9">
      <c r="A21" t="s">
        <v>74</v>
      </c>
      <c r="B21" t="s">
        <v>0</v>
      </c>
      <c r="C21" s="1">
        <f t="shared" si="3"/>
        <v>20</v>
      </c>
      <c r="D21">
        <v>19</v>
      </c>
      <c r="E21" s="1">
        <f t="shared" si="4"/>
        <v>20</v>
      </c>
      <c r="F21">
        <v>19</v>
      </c>
      <c r="G21">
        <v>1099</v>
      </c>
      <c r="H21" t="s">
        <v>19</v>
      </c>
      <c r="I21" t="str">
        <f>IF(A21&lt;&gt;"Remove",CONCATENATE("INSERT INTO tbFinanceItemSeq(Report,ItemSeqID,ItemSN,ItemID) VALUES('",B21,"',",C21,",",E21,",",G21,")"),"")</f>
        <v>INSERT INTO tbFinanceItemSeq(Report,ItemSeqID,ItemSN,ItemID) VALUES('PNL',20,20,1099)</v>
      </c>
    </row>
    <row r="22" spans="1:9">
      <c r="A22" t="s">
        <v>74</v>
      </c>
      <c r="B22" t="s">
        <v>0</v>
      </c>
      <c r="C22" s="1">
        <f t="shared" si="3"/>
        <v>21</v>
      </c>
      <c r="D22">
        <v>20</v>
      </c>
      <c r="E22" s="1">
        <f t="shared" si="4"/>
        <v>21</v>
      </c>
      <c r="F22">
        <v>20</v>
      </c>
      <c r="G22">
        <v>1100</v>
      </c>
      <c r="H22" t="s">
        <v>20</v>
      </c>
      <c r="I22" t="str">
        <f t="shared" si="2"/>
        <v>INSERT INTO tbFinanceItemSeq(Report,ItemSeqID,ItemSN,ItemID) VALUES('PNL',21,21,1100)</v>
      </c>
    </row>
    <row r="23" spans="1:9">
      <c r="A23" s="2" t="s">
        <v>76</v>
      </c>
      <c r="B23" s="2" t="s">
        <v>0</v>
      </c>
      <c r="C23" s="2"/>
      <c r="D23" s="2">
        <v>21</v>
      </c>
      <c r="E23" s="2"/>
      <c r="F23" s="2">
        <v>21</v>
      </c>
      <c r="G23" s="2">
        <v>1101</v>
      </c>
      <c r="H23" s="2" t="s">
        <v>21</v>
      </c>
      <c r="I23" s="2" t="str">
        <f t="shared" si="2"/>
        <v/>
      </c>
    </row>
    <row r="24" spans="1:9">
      <c r="A24" s="3" t="s">
        <v>75</v>
      </c>
      <c r="B24" s="3" t="s">
        <v>0</v>
      </c>
      <c r="C24" s="3">
        <v>22</v>
      </c>
      <c r="D24" s="3"/>
      <c r="E24" s="3">
        <v>22</v>
      </c>
      <c r="F24" s="3"/>
      <c r="G24" s="3">
        <v>1101</v>
      </c>
      <c r="H24" s="3" t="s">
        <v>160</v>
      </c>
      <c r="I24" s="3" t="str">
        <f t="shared" si="2"/>
        <v>INSERT INTO tbFinanceItemSeq(Report,ItemSeqID,ItemSN,ItemID) VALUES('PNL',22,22,1101)</v>
      </c>
    </row>
    <row r="25" spans="1:9">
      <c r="A25" t="s">
        <v>74</v>
      </c>
      <c r="B25" t="s">
        <v>0</v>
      </c>
      <c r="C25" s="1">
        <f t="shared" si="3"/>
        <v>23</v>
      </c>
      <c r="D25">
        <v>22</v>
      </c>
      <c r="E25" s="1">
        <f t="shared" si="4"/>
        <v>23</v>
      </c>
      <c r="F25">
        <v>22</v>
      </c>
      <c r="G25">
        <v>1102</v>
      </c>
      <c r="H25" t="s">
        <v>22</v>
      </c>
      <c r="I25" t="str">
        <f t="shared" si="2"/>
        <v>INSERT INTO tbFinanceItemSeq(Report,ItemSeqID,ItemSN,ItemID) VALUES('PNL',23,23,1102)</v>
      </c>
    </row>
    <row r="26" spans="1:9">
      <c r="A26" t="s">
        <v>74</v>
      </c>
      <c r="B26" t="s">
        <v>0</v>
      </c>
      <c r="C26" s="1">
        <f t="shared" si="3"/>
        <v>24</v>
      </c>
      <c r="D26">
        <v>23</v>
      </c>
      <c r="E26" s="1">
        <f t="shared" si="4"/>
        <v>24</v>
      </c>
      <c r="F26">
        <v>23</v>
      </c>
      <c r="G26">
        <v>1103</v>
      </c>
      <c r="H26" t="s">
        <v>23</v>
      </c>
      <c r="I26" t="str">
        <f t="shared" si="2"/>
        <v>INSERT INTO tbFinanceItemSeq(Report,ItemSeqID,ItemSN,ItemID) VALUES('PNL',24,24,1103)</v>
      </c>
    </row>
    <row r="27" spans="1:9">
      <c r="A27" t="s">
        <v>74</v>
      </c>
      <c r="B27" t="s">
        <v>0</v>
      </c>
      <c r="C27" s="1">
        <f t="shared" si="3"/>
        <v>25</v>
      </c>
      <c r="D27">
        <v>24</v>
      </c>
      <c r="E27" s="1">
        <f t="shared" si="4"/>
        <v>25</v>
      </c>
      <c r="F27">
        <v>24</v>
      </c>
      <c r="G27">
        <v>1104</v>
      </c>
      <c r="H27" t="s">
        <v>24</v>
      </c>
      <c r="I27" t="str">
        <f t="shared" si="2"/>
        <v>INSERT INTO tbFinanceItemSeq(Report,ItemSeqID,ItemSN,ItemID) VALUES('PNL',25,25,1104)</v>
      </c>
    </row>
    <row r="28" spans="1:9">
      <c r="A28" t="s">
        <v>74</v>
      </c>
      <c r="B28" t="s">
        <v>0</v>
      </c>
      <c r="C28" s="1">
        <f t="shared" si="3"/>
        <v>26</v>
      </c>
      <c r="D28">
        <v>25</v>
      </c>
      <c r="E28" s="1">
        <f t="shared" si="4"/>
        <v>26</v>
      </c>
      <c r="F28">
        <v>25</v>
      </c>
      <c r="G28">
        <v>1105</v>
      </c>
      <c r="H28" t="s">
        <v>25</v>
      </c>
      <c r="I28" t="str">
        <f t="shared" si="2"/>
        <v>INSERT INTO tbFinanceItemSeq(Report,ItemSeqID,ItemSN,ItemID) VALUES('PNL',26,26,1105)</v>
      </c>
    </row>
    <row r="29" spans="1:9">
      <c r="A29" s="2" t="s">
        <v>76</v>
      </c>
      <c r="B29" s="2" t="s">
        <v>0</v>
      </c>
      <c r="C29" s="2"/>
      <c r="D29" s="2">
        <v>26</v>
      </c>
      <c r="E29" s="2"/>
      <c r="F29" s="2">
        <v>26</v>
      </c>
      <c r="G29" s="2">
        <v>1106</v>
      </c>
      <c r="H29" s="8" t="s">
        <v>26</v>
      </c>
      <c r="I29" s="2" t="str">
        <f t="shared" si="2"/>
        <v/>
      </c>
    </row>
    <row r="30" spans="1:9">
      <c r="A30" s="3" t="s">
        <v>75</v>
      </c>
      <c r="B30" s="3" t="s">
        <v>0</v>
      </c>
      <c r="C30" s="3">
        <v>27</v>
      </c>
      <c r="D30" s="3"/>
      <c r="E30" s="3">
        <v>27</v>
      </c>
      <c r="F30" s="3"/>
      <c r="G30" s="3">
        <v>1106</v>
      </c>
      <c r="H30" s="8" t="s">
        <v>64</v>
      </c>
      <c r="I30" s="3" t="str">
        <f t="shared" si="2"/>
        <v>INSERT INTO tbFinanceItemSeq(Report,ItemSeqID,ItemSN,ItemID) VALUES('PNL',27,27,1106)</v>
      </c>
    </row>
    <row r="31" spans="1:9">
      <c r="A31" t="s">
        <v>74</v>
      </c>
      <c r="B31" t="s">
        <v>0</v>
      </c>
      <c r="C31" s="1">
        <f t="shared" si="3"/>
        <v>28</v>
      </c>
      <c r="D31">
        <v>27</v>
      </c>
      <c r="E31" s="1">
        <f t="shared" si="4"/>
        <v>28</v>
      </c>
      <c r="F31">
        <v>27</v>
      </c>
      <c r="G31">
        <v>1107</v>
      </c>
      <c r="H31" t="s">
        <v>27</v>
      </c>
      <c r="I31" t="str">
        <f t="shared" si="2"/>
        <v>INSERT INTO tbFinanceItemSeq(Report,ItemSeqID,ItemSN,ItemID) VALUES('PNL',28,28,1107)</v>
      </c>
    </row>
    <row r="32" spans="1:9">
      <c r="A32" t="s">
        <v>74</v>
      </c>
      <c r="B32" t="s">
        <v>0</v>
      </c>
      <c r="C32" s="1">
        <f t="shared" si="3"/>
        <v>29</v>
      </c>
      <c r="D32">
        <v>28</v>
      </c>
      <c r="E32" s="1">
        <f t="shared" si="4"/>
        <v>29</v>
      </c>
      <c r="F32">
        <v>28</v>
      </c>
      <c r="G32">
        <v>1108</v>
      </c>
      <c r="H32" t="s">
        <v>28</v>
      </c>
      <c r="I32" t="str">
        <f t="shared" si="2"/>
        <v>INSERT INTO tbFinanceItemSeq(Report,ItemSeqID,ItemSN,ItemID) VALUES('PNL',29,29,1108)</v>
      </c>
    </row>
    <row r="33" spans="1:9">
      <c r="A33" t="s">
        <v>74</v>
      </c>
      <c r="B33" t="s">
        <v>0</v>
      </c>
      <c r="C33" s="1">
        <f t="shared" si="3"/>
        <v>30</v>
      </c>
      <c r="D33">
        <v>29</v>
      </c>
      <c r="E33" s="1">
        <f t="shared" si="4"/>
        <v>30</v>
      </c>
      <c r="F33">
        <v>29</v>
      </c>
      <c r="G33">
        <v>1109</v>
      </c>
      <c r="H33" t="s">
        <v>29</v>
      </c>
      <c r="I33" t="str">
        <f t="shared" si="2"/>
        <v>INSERT INTO tbFinanceItemSeq(Report,ItemSeqID,ItemSN,ItemID) VALUES('PNL',30,30,1109)</v>
      </c>
    </row>
    <row r="34" spans="1:9">
      <c r="A34" t="s">
        <v>74</v>
      </c>
      <c r="B34" t="s">
        <v>0</v>
      </c>
      <c r="C34" s="1">
        <f t="shared" si="3"/>
        <v>31</v>
      </c>
      <c r="D34">
        <v>30</v>
      </c>
      <c r="E34" s="1">
        <f t="shared" si="4"/>
        <v>31</v>
      </c>
      <c r="F34">
        <v>30</v>
      </c>
      <c r="G34">
        <v>1110</v>
      </c>
      <c r="H34" t="s">
        <v>30</v>
      </c>
      <c r="I34" t="str">
        <f t="shared" si="2"/>
        <v>INSERT INTO tbFinanceItemSeq(Report,ItemSeqID,ItemSN,ItemID) VALUES('PNL',31,31,1110)</v>
      </c>
    </row>
    <row r="35" spans="1:9">
      <c r="A35" t="s">
        <v>74</v>
      </c>
      <c r="B35" t="s">
        <v>0</v>
      </c>
      <c r="C35" s="1">
        <f t="shared" si="3"/>
        <v>32</v>
      </c>
      <c r="D35">
        <v>31</v>
      </c>
      <c r="E35" s="1">
        <f t="shared" si="4"/>
        <v>32</v>
      </c>
      <c r="F35">
        <v>31</v>
      </c>
      <c r="G35">
        <v>1111</v>
      </c>
      <c r="H35" t="s">
        <v>2774</v>
      </c>
      <c r="I35" t="str">
        <f t="shared" si="2"/>
        <v>INSERT INTO tbFinanceItemSeq(Report,ItemSeqID,ItemSN,ItemID) VALUES('PNL',32,32,1111)</v>
      </c>
    </row>
    <row r="36" spans="1:9">
      <c r="A36" t="s">
        <v>74</v>
      </c>
      <c r="B36" t="s">
        <v>0</v>
      </c>
      <c r="C36" s="1">
        <f t="shared" si="3"/>
        <v>33</v>
      </c>
      <c r="D36">
        <v>32</v>
      </c>
      <c r="E36" s="1">
        <f t="shared" si="4"/>
        <v>33</v>
      </c>
      <c r="F36">
        <v>32</v>
      </c>
      <c r="G36">
        <v>1376</v>
      </c>
      <c r="H36" t="s">
        <v>31</v>
      </c>
      <c r="I36" t="str">
        <f t="shared" si="2"/>
        <v>INSERT INTO tbFinanceItemSeq(Report,ItemSeqID,ItemSN,ItemID) VALUES('PNL',33,33,1376)</v>
      </c>
    </row>
    <row r="37" spans="1:9">
      <c r="A37" t="s">
        <v>74</v>
      </c>
      <c r="B37" t="s">
        <v>0</v>
      </c>
      <c r="C37" s="1">
        <f t="shared" si="3"/>
        <v>34</v>
      </c>
      <c r="D37">
        <v>33</v>
      </c>
      <c r="E37" s="1">
        <f t="shared" si="4"/>
        <v>34</v>
      </c>
      <c r="F37">
        <v>33</v>
      </c>
      <c r="G37">
        <v>1377</v>
      </c>
      <c r="H37" t="s">
        <v>32</v>
      </c>
      <c r="I37" t="str">
        <f>IF(A37&lt;&gt;"Remove",CONCATENATE("INSERT INTO tbFinanceItemSeq(Report,ItemSeqID,ItemSN,ItemID) VALUES('",B37,"',",C37,",",E37,",",G37,")"),"")</f>
        <v>INSERT INTO tbFinanceItemSeq(Report,ItemSeqID,ItemSN,ItemID) VALUES('PNL',34,34,1377)</v>
      </c>
    </row>
    <row r="38" spans="1:9">
      <c r="A38" t="s">
        <v>74</v>
      </c>
      <c r="B38" t="s">
        <v>0</v>
      </c>
      <c r="C38" s="1">
        <f t="shared" si="3"/>
        <v>35</v>
      </c>
      <c r="D38">
        <v>34</v>
      </c>
      <c r="E38" s="1">
        <f t="shared" si="4"/>
        <v>35</v>
      </c>
      <c r="F38">
        <v>34</v>
      </c>
      <c r="G38">
        <v>1112</v>
      </c>
      <c r="H38" t="s">
        <v>33</v>
      </c>
      <c r="I38" t="str">
        <f t="shared" si="2"/>
        <v>INSERT INTO tbFinanceItemSeq(Report,ItemSeqID,ItemSN,ItemID) VALUES('PNL',35,35,1112)</v>
      </c>
    </row>
    <row r="39" spans="1:9">
      <c r="A39" t="s">
        <v>74</v>
      </c>
      <c r="B39" t="s">
        <v>0</v>
      </c>
      <c r="C39" s="1">
        <f t="shared" si="3"/>
        <v>36</v>
      </c>
      <c r="D39">
        <v>35</v>
      </c>
      <c r="E39" s="1">
        <f t="shared" si="4"/>
        <v>36</v>
      </c>
      <c r="F39">
        <v>35</v>
      </c>
      <c r="G39">
        <v>1113</v>
      </c>
      <c r="H39" t="s">
        <v>34</v>
      </c>
      <c r="I39" t="str">
        <f t="shared" si="2"/>
        <v>INSERT INTO tbFinanceItemSeq(Report,ItemSeqID,ItemSN,ItemID) VALUES('PNL',36,36,1113)</v>
      </c>
    </row>
    <row r="40" spans="1:9">
      <c r="A40" t="s">
        <v>74</v>
      </c>
      <c r="B40" t="s">
        <v>0</v>
      </c>
      <c r="C40" s="1">
        <f t="shared" si="3"/>
        <v>37</v>
      </c>
      <c r="D40">
        <v>36</v>
      </c>
      <c r="E40" s="1">
        <f t="shared" si="4"/>
        <v>37</v>
      </c>
      <c r="F40">
        <v>36</v>
      </c>
      <c r="G40">
        <v>1114</v>
      </c>
      <c r="H40" t="s">
        <v>35</v>
      </c>
      <c r="I40" t="str">
        <f t="shared" si="2"/>
        <v>INSERT INTO tbFinanceItemSeq(Report,ItemSeqID,ItemSN,ItemID) VALUES('PNL',37,37,1114)</v>
      </c>
    </row>
    <row r="41" spans="1:9">
      <c r="A41" t="s">
        <v>74</v>
      </c>
      <c r="B41" t="s">
        <v>0</v>
      </c>
      <c r="C41" s="1">
        <f t="shared" si="3"/>
        <v>38</v>
      </c>
      <c r="D41">
        <v>37</v>
      </c>
      <c r="E41" s="1">
        <f t="shared" si="4"/>
        <v>38</v>
      </c>
      <c r="F41">
        <v>37</v>
      </c>
      <c r="G41">
        <v>1115</v>
      </c>
      <c r="H41" t="s">
        <v>36</v>
      </c>
      <c r="I41" t="str">
        <f t="shared" si="2"/>
        <v>INSERT INTO tbFinanceItemSeq(Report,ItemSeqID,ItemSN,ItemID) VALUES('PNL',38,38,1115)</v>
      </c>
    </row>
    <row r="42" spans="1:9">
      <c r="A42" t="s">
        <v>74</v>
      </c>
      <c r="B42" t="s">
        <v>0</v>
      </c>
      <c r="C42" s="1">
        <f t="shared" si="3"/>
        <v>39</v>
      </c>
      <c r="D42">
        <v>38</v>
      </c>
      <c r="E42" s="1">
        <f t="shared" si="4"/>
        <v>39</v>
      </c>
      <c r="F42">
        <v>38</v>
      </c>
      <c r="G42">
        <v>1585</v>
      </c>
      <c r="H42" t="s">
        <v>37</v>
      </c>
      <c r="I42" t="str">
        <f t="shared" si="2"/>
        <v>INSERT INTO tbFinanceItemSeq(Report,ItemSeqID,ItemSN,ItemID) VALUES('PNL',39,39,1585)</v>
      </c>
    </row>
    <row r="43" spans="1:9">
      <c r="A43" t="s">
        <v>74</v>
      </c>
      <c r="B43" t="s">
        <v>0</v>
      </c>
      <c r="C43" s="1">
        <f t="shared" si="3"/>
        <v>40</v>
      </c>
      <c r="D43">
        <v>39</v>
      </c>
      <c r="E43" s="1">
        <f t="shared" si="4"/>
        <v>40</v>
      </c>
      <c r="F43">
        <v>39</v>
      </c>
      <c r="G43">
        <v>1116</v>
      </c>
      <c r="H43" t="s">
        <v>38</v>
      </c>
      <c r="I43" t="str">
        <f t="shared" si="2"/>
        <v>INSERT INTO tbFinanceItemSeq(Report,ItemSeqID,ItemSN,ItemID) VALUES('PNL',40,40,1116)</v>
      </c>
    </row>
    <row r="44" spans="1:9" s="2" customFormat="1">
      <c r="A44" s="2" t="s">
        <v>76</v>
      </c>
      <c r="B44" s="2" t="s">
        <v>0</v>
      </c>
      <c r="C44" s="2">
        <f t="shared" si="3"/>
        <v>41</v>
      </c>
      <c r="D44" s="2">
        <v>40</v>
      </c>
      <c r="E44" s="2">
        <f t="shared" si="4"/>
        <v>41</v>
      </c>
      <c r="F44" s="2">
        <v>40</v>
      </c>
      <c r="G44" s="2">
        <v>1117</v>
      </c>
      <c r="H44" s="2" t="s">
        <v>39</v>
      </c>
      <c r="I44" t="str">
        <f t="shared" si="2"/>
        <v/>
      </c>
    </row>
    <row r="45" spans="1:9" s="3" customFormat="1">
      <c r="A45" s="3" t="s">
        <v>75</v>
      </c>
      <c r="B45" s="3" t="s">
        <v>0</v>
      </c>
      <c r="C45" s="3">
        <v>41</v>
      </c>
      <c r="E45" s="3">
        <v>41</v>
      </c>
      <c r="G45" s="3">
        <v>1117</v>
      </c>
      <c r="H45" s="3" t="s">
        <v>161</v>
      </c>
      <c r="I45" s="3" t="str">
        <f t="shared" si="2"/>
        <v>INSERT INTO tbFinanceItemSeq(Report,ItemSeqID,ItemSN,ItemID) VALUES('PNL',41,41,1117)</v>
      </c>
    </row>
    <row r="46" spans="1:9">
      <c r="A46" s="2" t="s">
        <v>76</v>
      </c>
      <c r="B46" s="2" t="s">
        <v>0</v>
      </c>
      <c r="C46" s="2"/>
      <c r="D46" s="2">
        <v>41</v>
      </c>
      <c r="E46" s="2"/>
      <c r="F46" s="2">
        <v>41</v>
      </c>
      <c r="G46" s="2">
        <v>1118</v>
      </c>
      <c r="H46" s="8" t="s">
        <v>40</v>
      </c>
      <c r="I46" t="str">
        <f t="shared" si="2"/>
        <v/>
      </c>
    </row>
    <row r="47" spans="1:9">
      <c r="A47" s="3" t="s">
        <v>75</v>
      </c>
      <c r="B47" s="3" t="s">
        <v>0</v>
      </c>
      <c r="C47" s="3">
        <v>42</v>
      </c>
      <c r="D47" s="3"/>
      <c r="E47" s="3">
        <v>42</v>
      </c>
      <c r="F47" s="3"/>
      <c r="G47" s="3">
        <v>1118</v>
      </c>
      <c r="H47" s="8" t="s">
        <v>63</v>
      </c>
      <c r="I47" s="3" t="str">
        <f t="shared" si="2"/>
        <v>INSERT INTO tbFinanceItemSeq(Report,ItemSeqID,ItemSN,ItemID) VALUES('PNL',42,42,1118)</v>
      </c>
    </row>
    <row r="48" spans="1:9">
      <c r="A48" t="s">
        <v>74</v>
      </c>
      <c r="B48" t="s">
        <v>0</v>
      </c>
      <c r="C48" s="1">
        <f t="shared" si="3"/>
        <v>43</v>
      </c>
      <c r="D48">
        <v>42</v>
      </c>
      <c r="E48" s="1">
        <f t="shared" si="4"/>
        <v>43</v>
      </c>
      <c r="F48">
        <v>42</v>
      </c>
      <c r="G48">
        <v>1119</v>
      </c>
      <c r="H48" t="s">
        <v>41</v>
      </c>
      <c r="I48" t="str">
        <f t="shared" si="2"/>
        <v>INSERT INTO tbFinanceItemSeq(Report,ItemSeqID,ItemSN,ItemID) VALUES('PNL',43,43,1119)</v>
      </c>
    </row>
    <row r="49" spans="1:9">
      <c r="A49" t="s">
        <v>74</v>
      </c>
      <c r="B49" t="s">
        <v>0</v>
      </c>
      <c r="C49" s="1">
        <f t="shared" si="3"/>
        <v>44</v>
      </c>
      <c r="D49">
        <v>43</v>
      </c>
      <c r="E49" s="1">
        <f t="shared" si="4"/>
        <v>44</v>
      </c>
      <c r="F49">
        <v>43</v>
      </c>
      <c r="G49">
        <v>1120</v>
      </c>
      <c r="H49" t="s">
        <v>42</v>
      </c>
      <c r="I49" t="str">
        <f>IF(A49&lt;&gt;"Remove",CONCATENATE("INSERT INTO tbFinanceItemSeq(Report,ItemSeqID,ItemSN,ItemID) VALUES('",B49,"',",C49,",",E49,",",G49,")"),"")</f>
        <v>INSERT INTO tbFinanceItemSeq(Report,ItemSeqID,ItemSN,ItemID) VALUES('PNL',44,44,1120)</v>
      </c>
    </row>
    <row r="50" spans="1:9">
      <c r="A50" t="s">
        <v>74</v>
      </c>
      <c r="B50" t="s">
        <v>0</v>
      </c>
      <c r="C50" s="1">
        <f t="shared" si="3"/>
        <v>45</v>
      </c>
      <c r="D50">
        <v>44</v>
      </c>
      <c r="E50" s="1">
        <f t="shared" si="4"/>
        <v>45</v>
      </c>
      <c r="F50">
        <v>44</v>
      </c>
      <c r="G50">
        <v>1121</v>
      </c>
      <c r="H50" t="s">
        <v>43</v>
      </c>
      <c r="I50" t="str">
        <f t="shared" si="2"/>
        <v>INSERT INTO tbFinanceItemSeq(Report,ItemSeqID,ItemSN,ItemID) VALUES('PNL',45,45,1121)</v>
      </c>
    </row>
    <row r="51" spans="1:9">
      <c r="A51" t="s">
        <v>74</v>
      </c>
      <c r="B51" t="s">
        <v>0</v>
      </c>
      <c r="C51" s="1">
        <f t="shared" si="3"/>
        <v>46</v>
      </c>
      <c r="D51">
        <v>45</v>
      </c>
      <c r="E51" s="1">
        <f t="shared" si="4"/>
        <v>46</v>
      </c>
      <c r="F51">
        <v>45</v>
      </c>
      <c r="G51">
        <v>1122</v>
      </c>
      <c r="H51" t="s">
        <v>44</v>
      </c>
      <c r="I51" t="str">
        <f t="shared" si="2"/>
        <v>INSERT INTO tbFinanceItemSeq(Report,ItemSeqID,ItemSN,ItemID) VALUES('PNL',46,46,1122)</v>
      </c>
    </row>
    <row r="52" spans="1:9" s="3" customFormat="1">
      <c r="A52" s="3" t="s">
        <v>75</v>
      </c>
      <c r="B52" s="3" t="s">
        <v>0</v>
      </c>
      <c r="C52" s="3">
        <v>47</v>
      </c>
      <c r="E52" s="3">
        <v>47</v>
      </c>
      <c r="G52" s="3" t="str">
        <f>CONCATENATE("(SELECT TOP 1 ItemID FROM tbFinanceItem where ItemName = '",H52,"')")</f>
        <v>(SELECT TOP 1 ItemID FROM tbFinanceItem where ItemName = '(PNL)Derivatives Gain/(Loss)')</v>
      </c>
      <c r="H52" s="3" t="s">
        <v>87</v>
      </c>
      <c r="I52" t="str">
        <f t="shared" si="2"/>
        <v>INSERT INTO tbFinanceItemSeq(Report,ItemSeqID,ItemSN,ItemID) VALUES('PNL',47,47,(SELECT TOP 1 ItemID FROM tbFinanceItem where ItemName = '(PNL)Derivatives Gain/(Loss)'))</v>
      </c>
    </row>
    <row r="53" spans="1:9">
      <c r="A53" s="2" t="s">
        <v>76</v>
      </c>
      <c r="B53" s="2" t="s">
        <v>0</v>
      </c>
      <c r="C53" s="2">
        <f t="shared" si="3"/>
        <v>47</v>
      </c>
      <c r="D53" s="2">
        <v>46</v>
      </c>
      <c r="E53" s="2">
        <f t="shared" si="4"/>
        <v>47</v>
      </c>
      <c r="F53" s="2">
        <v>46</v>
      </c>
      <c r="G53" s="2">
        <v>1123</v>
      </c>
      <c r="H53" s="7" t="s">
        <v>45</v>
      </c>
      <c r="I53" s="2" t="str">
        <f t="shared" si="2"/>
        <v/>
      </c>
    </row>
    <row r="54" spans="1:9">
      <c r="A54" s="2" t="s">
        <v>76</v>
      </c>
      <c r="B54" s="2" t="s">
        <v>0</v>
      </c>
      <c r="C54" s="2">
        <f t="shared" si="3"/>
        <v>48</v>
      </c>
      <c r="D54" s="2">
        <v>47</v>
      </c>
      <c r="E54" s="2">
        <f t="shared" si="4"/>
        <v>48</v>
      </c>
      <c r="F54" s="2">
        <v>47</v>
      </c>
      <c r="G54" s="2">
        <v>1124</v>
      </c>
      <c r="H54" s="7" t="s">
        <v>46</v>
      </c>
      <c r="I54" s="2" t="str">
        <f t="shared" si="2"/>
        <v/>
      </c>
    </row>
    <row r="55" spans="1:9">
      <c r="A55" s="3" t="s">
        <v>75</v>
      </c>
      <c r="B55" s="3" t="s">
        <v>0</v>
      </c>
      <c r="C55" s="3">
        <v>48</v>
      </c>
      <c r="D55" s="3"/>
      <c r="E55" s="3">
        <v>48</v>
      </c>
      <c r="F55" s="3"/>
      <c r="G55" s="3" t="str">
        <f>CONCATENATE("(SELECT TOP 1 ItemID FROM tbFinanceItem where ItemName = '",H55,"')")</f>
        <v>(SELECT TOP 1 ItemID FROM tbFinanceItem where ItemName = '(PNL)Forex Gain/(Loss)')</v>
      </c>
      <c r="H55" s="7" t="s">
        <v>88</v>
      </c>
      <c r="I55" s="3" t="str">
        <f t="shared" si="2"/>
        <v>INSERT INTO tbFinanceItemSeq(Report,ItemSeqID,ItemSN,ItemID) VALUES('PNL',48,48,(SELECT TOP 1 ItemID FROM tbFinanceItem where ItemName = '(PNL)Forex Gain/(Loss)'))</v>
      </c>
    </row>
    <row r="56" spans="1:9">
      <c r="A56" t="s">
        <v>74</v>
      </c>
      <c r="B56" t="s">
        <v>0</v>
      </c>
      <c r="C56" s="1">
        <f>SUM(D56,1)</f>
        <v>49</v>
      </c>
      <c r="D56">
        <v>48</v>
      </c>
      <c r="E56" s="1">
        <f t="shared" si="4"/>
        <v>49</v>
      </c>
      <c r="F56">
        <v>48</v>
      </c>
      <c r="G56">
        <v>1125</v>
      </c>
      <c r="H56" t="s">
        <v>47</v>
      </c>
      <c r="I56" t="str">
        <f t="shared" si="2"/>
        <v>INSERT INTO tbFinanceItemSeq(Report,ItemSeqID,ItemSN,ItemID) VALUES('PNL',49,49,1125)</v>
      </c>
    </row>
    <row r="57" spans="1:9">
      <c r="A57" s="2" t="s">
        <v>76</v>
      </c>
      <c r="B57" s="2" t="s">
        <v>0</v>
      </c>
      <c r="C57" s="2">
        <f t="shared" si="3"/>
        <v>50</v>
      </c>
      <c r="D57" s="2">
        <v>49</v>
      </c>
      <c r="E57" s="2">
        <f t="shared" si="4"/>
        <v>50</v>
      </c>
      <c r="F57" s="2">
        <v>49</v>
      </c>
      <c r="G57" s="2">
        <v>1126</v>
      </c>
      <c r="H57" s="2" t="s">
        <v>48</v>
      </c>
      <c r="I57" s="2" t="str">
        <f t="shared" si="2"/>
        <v/>
      </c>
    </row>
    <row r="58" spans="1:9">
      <c r="A58" t="s">
        <v>74</v>
      </c>
      <c r="B58" t="s">
        <v>0</v>
      </c>
      <c r="C58" s="1">
        <f>(D58)</f>
        <v>50</v>
      </c>
      <c r="D58">
        <v>50</v>
      </c>
      <c r="E58" s="1">
        <f>SUM(F58)</f>
        <v>50</v>
      </c>
      <c r="F58">
        <v>50</v>
      </c>
      <c r="G58">
        <v>1127</v>
      </c>
      <c r="H58" t="s">
        <v>49</v>
      </c>
      <c r="I58" t="str">
        <f t="shared" si="2"/>
        <v>INSERT INTO tbFinanceItemSeq(Report,ItemSeqID,ItemSN,ItemID) VALUES('PNL',50,50,1127)</v>
      </c>
    </row>
    <row r="59" spans="1:9">
      <c r="A59" t="s">
        <v>74</v>
      </c>
      <c r="B59" t="s">
        <v>0</v>
      </c>
      <c r="C59" s="1">
        <f t="shared" ref="C59:C69" si="5">(D59)</f>
        <v>51</v>
      </c>
      <c r="D59">
        <v>51</v>
      </c>
      <c r="E59" s="1">
        <f t="shared" ref="E59:E69" si="6">SUM(F59)</f>
        <v>51</v>
      </c>
      <c r="F59">
        <v>51</v>
      </c>
      <c r="G59">
        <v>1128</v>
      </c>
      <c r="H59" t="s">
        <v>50</v>
      </c>
      <c r="I59" t="str">
        <f t="shared" si="2"/>
        <v>INSERT INTO tbFinanceItemSeq(Report,ItemSeqID,ItemSN,ItemID) VALUES('PNL',51,51,1128)</v>
      </c>
    </row>
    <row r="60" spans="1:9">
      <c r="A60" t="s">
        <v>74</v>
      </c>
      <c r="B60" t="s">
        <v>0</v>
      </c>
      <c r="C60" s="1">
        <f t="shared" si="5"/>
        <v>52</v>
      </c>
      <c r="D60">
        <v>52</v>
      </c>
      <c r="E60" s="1">
        <f t="shared" si="6"/>
        <v>52</v>
      </c>
      <c r="F60">
        <v>52</v>
      </c>
      <c r="G60">
        <v>1129</v>
      </c>
      <c r="H60" t="s">
        <v>51</v>
      </c>
      <c r="I60" t="str">
        <f t="shared" si="2"/>
        <v>INSERT INTO tbFinanceItemSeq(Report,ItemSeqID,ItemSN,ItemID) VALUES('PNL',52,52,1129)</v>
      </c>
    </row>
    <row r="61" spans="1:9">
      <c r="A61" t="s">
        <v>74</v>
      </c>
      <c r="B61" t="s">
        <v>0</v>
      </c>
      <c r="C61" s="1">
        <f t="shared" si="5"/>
        <v>53</v>
      </c>
      <c r="D61">
        <v>53</v>
      </c>
      <c r="E61" s="1">
        <f t="shared" si="6"/>
        <v>53</v>
      </c>
      <c r="F61">
        <v>53</v>
      </c>
      <c r="G61">
        <v>1130</v>
      </c>
      <c r="H61" t="s">
        <v>52</v>
      </c>
      <c r="I61" t="str">
        <f t="shared" si="2"/>
        <v>INSERT INTO tbFinanceItemSeq(Report,ItemSeqID,ItemSN,ItemID) VALUES('PNL',53,53,1130)</v>
      </c>
    </row>
    <row r="62" spans="1:9">
      <c r="A62" t="s">
        <v>74</v>
      </c>
      <c r="B62" t="s">
        <v>0</v>
      </c>
      <c r="C62" s="1">
        <f t="shared" si="5"/>
        <v>54</v>
      </c>
      <c r="D62">
        <v>54</v>
      </c>
      <c r="E62" s="1">
        <f t="shared" si="6"/>
        <v>54</v>
      </c>
      <c r="F62">
        <v>54</v>
      </c>
      <c r="G62">
        <v>1131</v>
      </c>
      <c r="H62" t="s">
        <v>53</v>
      </c>
      <c r="I62" t="str">
        <f t="shared" si="2"/>
        <v>INSERT INTO tbFinanceItemSeq(Report,ItemSeqID,ItemSN,ItemID) VALUES('PNL',54,54,1131)</v>
      </c>
    </row>
    <row r="63" spans="1:9">
      <c r="A63" t="s">
        <v>74</v>
      </c>
      <c r="B63" t="s">
        <v>0</v>
      </c>
      <c r="C63" s="1">
        <f t="shared" si="5"/>
        <v>55</v>
      </c>
      <c r="D63">
        <v>55</v>
      </c>
      <c r="E63" s="1">
        <f t="shared" si="6"/>
        <v>55</v>
      </c>
      <c r="F63">
        <v>55</v>
      </c>
      <c r="G63">
        <v>1474</v>
      </c>
      <c r="H63" s="8" t="s">
        <v>54</v>
      </c>
      <c r="I63" t="str">
        <f t="shared" si="2"/>
        <v>INSERT INTO tbFinanceItemSeq(Report,ItemSeqID,ItemSN,ItemID) VALUES('PNL',55,55,1474)</v>
      </c>
    </row>
    <row r="64" spans="1:9">
      <c r="A64" t="s">
        <v>74</v>
      </c>
      <c r="B64" t="s">
        <v>0</v>
      </c>
      <c r="C64" s="1">
        <f t="shared" si="5"/>
        <v>56</v>
      </c>
      <c r="D64">
        <v>56</v>
      </c>
      <c r="E64" s="1">
        <f t="shared" si="6"/>
        <v>0</v>
      </c>
      <c r="F64">
        <v>0</v>
      </c>
      <c r="G64">
        <v>46</v>
      </c>
      <c r="H64" t="s">
        <v>55</v>
      </c>
      <c r="I64" t="str">
        <f t="shared" si="2"/>
        <v>INSERT INTO tbFinanceItemSeq(Report,ItemSeqID,ItemSN,ItemID) VALUES('PNL',56,0,46)</v>
      </c>
    </row>
    <row r="65" spans="1:9">
      <c r="A65" t="s">
        <v>74</v>
      </c>
      <c r="B65" t="s">
        <v>0</v>
      </c>
      <c r="C65" s="1">
        <f t="shared" si="5"/>
        <v>57</v>
      </c>
      <c r="D65">
        <v>57</v>
      </c>
      <c r="E65" s="1">
        <f t="shared" si="6"/>
        <v>1</v>
      </c>
      <c r="F65">
        <v>1</v>
      </c>
      <c r="G65">
        <v>1135</v>
      </c>
      <c r="H65" t="s">
        <v>56</v>
      </c>
      <c r="I65" t="str">
        <f t="shared" si="2"/>
        <v>INSERT INTO tbFinanceItemSeq(Report,ItemSeqID,ItemSN,ItemID) VALUES('PNL',57,1,1135)</v>
      </c>
    </row>
    <row r="66" spans="1:9">
      <c r="A66" t="s">
        <v>74</v>
      </c>
      <c r="B66" t="s">
        <v>0</v>
      </c>
      <c r="C66" s="1">
        <f t="shared" si="5"/>
        <v>58</v>
      </c>
      <c r="D66">
        <v>58</v>
      </c>
      <c r="E66" s="1">
        <f t="shared" si="6"/>
        <v>2</v>
      </c>
      <c r="F66">
        <v>2</v>
      </c>
      <c r="G66">
        <v>1136</v>
      </c>
      <c r="H66" t="s">
        <v>89</v>
      </c>
      <c r="I66" t="str">
        <f>IF(A66&lt;&gt;"Remove",CONCATENATE("INSERT INTO tbFinanceItemSeq(Report,ItemSeqID,ItemSN,ItemID) VALUES('",B66,"',",C66,",",E66,",",G66,")"),"")</f>
        <v>INSERT INTO tbFinanceItemSeq(Report,ItemSeqID,ItemSN,ItemID) VALUES('PNL',58,2,1136)</v>
      </c>
    </row>
    <row r="67" spans="1:9">
      <c r="A67" t="s">
        <v>74</v>
      </c>
      <c r="B67" t="s">
        <v>0</v>
      </c>
      <c r="C67" s="1">
        <f t="shared" si="5"/>
        <v>59</v>
      </c>
      <c r="D67">
        <v>59</v>
      </c>
      <c r="E67" s="1">
        <f t="shared" si="6"/>
        <v>3</v>
      </c>
      <c r="F67">
        <v>3</v>
      </c>
      <c r="G67">
        <v>1137</v>
      </c>
      <c r="H67" t="s">
        <v>90</v>
      </c>
      <c r="I67" t="str">
        <f t="shared" si="2"/>
        <v>INSERT INTO tbFinanceItemSeq(Report,ItemSeqID,ItemSN,ItemID) VALUES('PNL',59,3,1137)</v>
      </c>
    </row>
    <row r="68" spans="1:9">
      <c r="A68" t="s">
        <v>74</v>
      </c>
      <c r="B68" t="s">
        <v>0</v>
      </c>
      <c r="C68" s="1">
        <f t="shared" si="5"/>
        <v>60</v>
      </c>
      <c r="D68">
        <v>60</v>
      </c>
      <c r="E68" s="1">
        <f t="shared" si="6"/>
        <v>4</v>
      </c>
      <c r="F68">
        <v>4</v>
      </c>
      <c r="G68">
        <v>50</v>
      </c>
      <c r="H68" t="s">
        <v>57</v>
      </c>
      <c r="I68" t="str">
        <f t="shared" si="2"/>
        <v>INSERT INTO tbFinanceItemSeq(Report,ItemSeqID,ItemSN,ItemID) VALUES('PNL',60,4,50)</v>
      </c>
    </row>
    <row r="69" spans="1:9" s="2" customFormat="1">
      <c r="A69" s="2" t="s">
        <v>76</v>
      </c>
      <c r="B69" s="2" t="s">
        <v>0</v>
      </c>
      <c r="C69" s="2">
        <f t="shared" si="5"/>
        <v>61</v>
      </c>
      <c r="D69" s="2">
        <v>61</v>
      </c>
      <c r="E69" s="2">
        <f t="shared" si="6"/>
        <v>5</v>
      </c>
      <c r="F69" s="2">
        <v>5</v>
      </c>
      <c r="G69" s="2">
        <v>1138</v>
      </c>
      <c r="H69" s="2" t="s">
        <v>58</v>
      </c>
      <c r="I69" s="2" t="str">
        <f>IF(A69&lt;&gt;"Remove",CONCATENATE("INSERT INTO tbFinanceItemSeq(Report,ItemSeqID,ItemSN,ItemID) VALUES('",B69,"',",C69,",",E69,",",G69,")"),"")</f>
        <v/>
      </c>
    </row>
    <row r="70" spans="1:9">
      <c r="A70" t="s">
        <v>74</v>
      </c>
      <c r="B70" t="s">
        <v>0</v>
      </c>
      <c r="C70" s="1">
        <v>61</v>
      </c>
      <c r="D70">
        <v>62</v>
      </c>
      <c r="E70" s="1">
        <v>5</v>
      </c>
      <c r="F70">
        <v>6</v>
      </c>
      <c r="G70">
        <v>1139</v>
      </c>
      <c r="H70" t="s">
        <v>59</v>
      </c>
      <c r="I70" t="str">
        <f t="shared" si="2"/>
        <v>INSERT INTO tbFinanceItemSeq(Report,ItemSeqID,ItemSN,ItemID) VALUES('PNL',61,5,1139)</v>
      </c>
    </row>
    <row r="71" spans="1:9">
      <c r="A71" t="s">
        <v>74</v>
      </c>
      <c r="B71" t="s">
        <v>0</v>
      </c>
      <c r="C71" s="1">
        <v>62</v>
      </c>
      <c r="D71">
        <v>63</v>
      </c>
      <c r="E71" s="1">
        <v>6</v>
      </c>
      <c r="F71">
        <v>7</v>
      </c>
      <c r="G71">
        <v>53</v>
      </c>
      <c r="H71" t="s">
        <v>60</v>
      </c>
      <c r="I71" t="str">
        <f>IF(A71&lt;&gt;"Remove",CONCATENATE("INSERT INTO tbFinanceItemSeq(Report,ItemSeqID,ItemSN,ItemID) VALUES('",B71,"',",C71,",",E71,",",G71,")"),"")</f>
        <v>INSERT INTO tbFinanceItemSeq(Report,ItemSeqID,ItemSN,ItemID) VALUES('PNL',62,6,53)</v>
      </c>
    </row>
    <row r="72" spans="1:9">
      <c r="A72" t="s">
        <v>74</v>
      </c>
      <c r="B72" t="s">
        <v>0</v>
      </c>
      <c r="C72" s="1">
        <v>63</v>
      </c>
      <c r="D72">
        <v>64</v>
      </c>
      <c r="E72" s="1">
        <v>7</v>
      </c>
      <c r="F72">
        <v>8</v>
      </c>
      <c r="G72">
        <v>52</v>
      </c>
      <c r="H72" t="s">
        <v>61</v>
      </c>
      <c r="I72" t="str">
        <f>IF(A72&lt;&gt;"Remove",CONCATENATE("INSERT INTO tbFinanceItemSeq(Report,ItemSeqID,ItemSN,ItemID) VALUES('",B72,"',",C72,",",E72,",",G72,")"),"")</f>
        <v>INSERT INTO tbFinanceItemSeq(Report,ItemSeqID,ItemSN,ItemID) VALUES('PNL',63,7,52)</v>
      </c>
    </row>
    <row r="73" spans="1:9">
      <c r="A73" t="s">
        <v>74</v>
      </c>
      <c r="B73" t="s">
        <v>0</v>
      </c>
      <c r="C73" s="1">
        <v>64</v>
      </c>
      <c r="D73">
        <v>65</v>
      </c>
      <c r="E73" s="1">
        <v>8</v>
      </c>
      <c r="F73">
        <v>9</v>
      </c>
      <c r="G73">
        <v>1140</v>
      </c>
      <c r="H73" t="s">
        <v>62</v>
      </c>
      <c r="I73" t="str">
        <f>IF(A73&lt;&gt;"Remove",CONCATENATE("INSERT INTO tbFinanceItemSeq(Report,ItemSeqID,ItemSN,ItemID) VALUES('",B73,"',",C73,",",E73,",",G73,")"),"")</f>
        <v>INSERT INTO tbFinanceItemSeq(Report,ItemSeqID,ItemSN,ItemID) VALUES('PNL',64,8,1140)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sqref="A1:A5"/>
    </sheetView>
  </sheetViews>
  <sheetFormatPr defaultColWidth="8.85546875" defaultRowHeight="15"/>
  <cols>
    <col min="1" max="1" width="125.42578125" bestFit="1" customWidth="1"/>
  </cols>
  <sheetData>
    <row r="1" spans="1:1">
      <c r="A1" t="s">
        <v>2683</v>
      </c>
    </row>
    <row r="2" spans="1:1">
      <c r="A2" t="s">
        <v>2684</v>
      </c>
    </row>
    <row r="3" spans="1:1">
      <c r="A3" t="s">
        <v>2685</v>
      </c>
    </row>
    <row r="4" spans="1:1">
      <c r="A4" t="s">
        <v>2686</v>
      </c>
    </row>
    <row r="5" spans="1:1">
      <c r="A5" t="s">
        <v>2749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Views>
    <sheetView topLeftCell="F1" workbookViewId="0">
      <selection activeCell="H1" sqref="H1"/>
    </sheetView>
  </sheetViews>
  <sheetFormatPr defaultColWidth="8.85546875" defaultRowHeight="15"/>
  <cols>
    <col min="3" max="3" width="15" bestFit="1" customWidth="1"/>
    <col min="4" max="4" width="15.140625" bestFit="1" customWidth="1"/>
    <col min="5" max="5" width="13.7109375" customWidth="1"/>
    <col min="6" max="6" width="38.7109375" bestFit="1" customWidth="1"/>
    <col min="7" max="7" width="39.85546875" bestFit="1" customWidth="1"/>
    <col min="8" max="8" width="152" bestFit="1" customWidth="1"/>
  </cols>
  <sheetData>
    <row r="1" spans="1:8" s="4" customFormat="1">
      <c r="A1" s="4" t="s">
        <v>73</v>
      </c>
      <c r="B1" s="4" t="s">
        <v>65</v>
      </c>
      <c r="C1" s="4" t="s">
        <v>1884</v>
      </c>
      <c r="D1" s="4" t="s">
        <v>2682</v>
      </c>
      <c r="E1" s="4" t="s">
        <v>68</v>
      </c>
      <c r="F1" s="4" t="s">
        <v>2679</v>
      </c>
      <c r="G1" s="4" t="s">
        <v>2681</v>
      </c>
      <c r="H1" s="4" t="s">
        <v>72</v>
      </c>
    </row>
    <row r="2" spans="1:8">
      <c r="A2" t="str">
        <f>'F101 F21 PNL-New'!A2</f>
        <v>Exist</v>
      </c>
      <c r="B2" t="s">
        <v>2680</v>
      </c>
      <c r="C2">
        <f>'F101 F21 PNL-New'!C2</f>
        <v>1</v>
      </c>
      <c r="D2">
        <f>'F101 F21 PNL-New'!E2</f>
        <v>1</v>
      </c>
      <c r="E2" t="str">
        <f>CONCATENATE("(SELECT ItemID FROM tbFinanceItem where ItemName = '",G2,"')")</f>
        <v>(SELECT ItemID FROM tbFinanceItem where ItemName = '(PNLR)External Sales')</v>
      </c>
      <c r="F2" t="str">
        <f>'F101 F21 PNL-New'!H2</f>
        <v>(PNL)External Sales</v>
      </c>
      <c r="G2" t="str">
        <f t="shared" ref="G2:G33" si="0">REPLACE(F2,2,3,B2)</f>
        <v>(PNLR)External Sales</v>
      </c>
      <c r="H2" t="str">
        <f>IF(A2&lt;&gt;"Remove",CONCATENATE("INSERT INTO tbFinanceItemSeq(Report,ItemSeqID,ItemSN,ItemID) VALUES('",B2,"',",C2,",",D2,",",E2,")"),"")</f>
        <v>INSERT INTO tbFinanceItemSeq(Report,ItemSeqID,ItemSN,ItemID) VALUES('PNLR',1,1,(SELECT ItemID FROM tbFinanceItem where ItemName = '(PNLR)External Sales'))</v>
      </c>
    </row>
    <row r="3" spans="1:8">
      <c r="A3" t="str">
        <f>'F101 F21 PNL-New'!A3</f>
        <v>Exist</v>
      </c>
      <c r="B3" t="s">
        <v>2680</v>
      </c>
      <c r="C3">
        <f>'F101 F21 PNL-New'!C3</f>
        <v>2</v>
      </c>
      <c r="D3">
        <f>'F101 F21 PNL-New'!E3</f>
        <v>2</v>
      </c>
      <c r="E3" t="str">
        <f t="shared" ref="E3:E66" si="1">CONCATENATE("(SELECT ItemID FROM tbFinanceItem where ItemName = '",G3,"')")</f>
        <v>(SELECT ItemID FROM tbFinanceItem where ItemName = '(PNLR)Interco Sales')</v>
      </c>
      <c r="F3" t="str">
        <f>'F101 F21 PNL-New'!H3</f>
        <v>(PNL)Interco Sales</v>
      </c>
      <c r="G3" t="str">
        <f t="shared" si="0"/>
        <v>(PNLR)Interco Sales</v>
      </c>
      <c r="H3" t="str">
        <f t="shared" ref="H3:H66" si="2">IF(A3&lt;&gt;"Remove",CONCATENATE("INSERT INTO tbFinanceItemSeq(Report,ItemSeqID,ItemSN,ItemID) VALUES('",B3,"',",C3,",",D3,",",E3,")"),"")</f>
        <v>INSERT INTO tbFinanceItemSeq(Report,ItemSeqID,ItemSN,ItemID) VALUES('PNLR',2,2,(SELECT ItemID FROM tbFinanceItem where ItemName = '(PNLR)Interco Sales'))</v>
      </c>
    </row>
    <row r="4" spans="1:8">
      <c r="A4" t="str">
        <f>'F101 F21 PNL-New'!A4</f>
        <v>Exist</v>
      </c>
      <c r="B4" t="s">
        <v>2680</v>
      </c>
      <c r="C4">
        <f>'F101 F21 PNL-New'!C4</f>
        <v>3</v>
      </c>
      <c r="D4">
        <f>'F101 F21 PNL-New'!E4</f>
        <v>3</v>
      </c>
      <c r="E4" t="str">
        <f t="shared" si="1"/>
        <v>(SELECT ItemID FROM tbFinanceItem where ItemName = '(PNLR)Total Sales')</v>
      </c>
      <c r="F4" t="str">
        <f>'F101 F21 PNL-New'!H4</f>
        <v>(PNL)Total Sales</v>
      </c>
      <c r="G4" t="str">
        <f t="shared" si="0"/>
        <v>(PNLR)Total Sales</v>
      </c>
      <c r="H4" t="str">
        <f t="shared" si="2"/>
        <v>INSERT INTO tbFinanceItemSeq(Report,ItemSeqID,ItemSN,ItemID) VALUES('PNLR',3,3,(SELECT ItemID FROM tbFinanceItem where ItemName = '(PNLR)Total Sales'))</v>
      </c>
    </row>
    <row r="5" spans="1:8">
      <c r="A5" t="str">
        <f>'F101 F21 PNL-New'!A5</f>
        <v>Exist</v>
      </c>
      <c r="B5" t="s">
        <v>2680</v>
      </c>
      <c r="C5">
        <f>'F101 F21 PNL-New'!C5</f>
        <v>4</v>
      </c>
      <c r="D5">
        <f>'F101 F21 PNL-New'!E5</f>
        <v>4</v>
      </c>
      <c r="E5" t="str">
        <f t="shared" si="1"/>
        <v>(SELECT ItemID FROM tbFinanceItem where ItemName = '(PNLR)Cost of External Sales')</v>
      </c>
      <c r="F5" t="str">
        <f>'F101 F21 PNL-New'!H5</f>
        <v>(PNL)Cost of External Sales</v>
      </c>
      <c r="G5" t="str">
        <f t="shared" si="0"/>
        <v>(PNLR)Cost of External Sales</v>
      </c>
      <c r="H5" t="str">
        <f t="shared" si="2"/>
        <v>INSERT INTO tbFinanceItemSeq(Report,ItemSeqID,ItemSN,ItemID) VALUES('PNLR',4,4,(SELECT ItemID FROM tbFinanceItem where ItemName = '(PNLR)Cost of External Sales'))</v>
      </c>
    </row>
    <row r="6" spans="1:8">
      <c r="A6" t="str">
        <f>'F101 F21 PNL-New'!A6</f>
        <v>Exist</v>
      </c>
      <c r="B6" t="s">
        <v>2680</v>
      </c>
      <c r="C6">
        <f>'F101 F21 PNL-New'!C6</f>
        <v>5</v>
      </c>
      <c r="D6">
        <f>'F101 F21 PNL-New'!E6</f>
        <v>5</v>
      </c>
      <c r="E6" t="str">
        <f t="shared" si="1"/>
        <v>(SELECT ItemID FROM tbFinanceItem where ItemName = '(PNLR)Cost of Interco Sales')</v>
      </c>
      <c r="F6" t="str">
        <f>'F101 F21 PNL-New'!H6</f>
        <v>(PNL)Cost of Interco Sales</v>
      </c>
      <c r="G6" t="str">
        <f t="shared" si="0"/>
        <v>(PNLR)Cost of Interco Sales</v>
      </c>
      <c r="H6" t="str">
        <f t="shared" si="2"/>
        <v>INSERT INTO tbFinanceItemSeq(Report,ItemSeqID,ItemSN,ItemID) VALUES('PNLR',5,5,(SELECT ItemID FROM tbFinanceItem where ItemName = '(PNLR)Cost of Interco Sales'))</v>
      </c>
    </row>
    <row r="7" spans="1:8">
      <c r="A7" t="str">
        <f>'F101 F21 PNL-New'!A7</f>
        <v>Exist</v>
      </c>
      <c r="B7" t="s">
        <v>2680</v>
      </c>
      <c r="C7">
        <f>'F101 F21 PNL-New'!C7</f>
        <v>6</v>
      </c>
      <c r="D7">
        <f>'F101 F21 PNL-New'!E7</f>
        <v>6</v>
      </c>
      <c r="E7" t="str">
        <f t="shared" si="1"/>
        <v>(SELECT ItemID FROM tbFinanceItem where ItemName = '(PNLR)Total Cost of Sales')</v>
      </c>
      <c r="F7" t="str">
        <f>'F101 F21 PNL-New'!H7</f>
        <v>(PNL)Total Cost of Sales</v>
      </c>
      <c r="G7" t="str">
        <f t="shared" si="0"/>
        <v>(PNLR)Total Cost of Sales</v>
      </c>
      <c r="H7" t="str">
        <f t="shared" si="2"/>
        <v>INSERT INTO tbFinanceItemSeq(Report,ItemSeqID,ItemSN,ItemID) VALUES('PNLR',6,6,(SELECT ItemID FROM tbFinanceItem where ItemName = '(PNLR)Total Cost of Sales'))</v>
      </c>
    </row>
    <row r="8" spans="1:8">
      <c r="A8" t="str">
        <f>'F101 F21 PNL-New'!A8</f>
        <v>Exist</v>
      </c>
      <c r="B8" t="s">
        <v>2680</v>
      </c>
      <c r="C8">
        <f>'F101 F21 PNL-New'!C8</f>
        <v>7</v>
      </c>
      <c r="D8">
        <f>'F101 F21 PNL-New'!E8</f>
        <v>7</v>
      </c>
      <c r="E8" t="str">
        <f t="shared" si="1"/>
        <v>(SELECT ItemID FROM tbFinanceItem where ItemName = '(PNLR)Gross Profit')</v>
      </c>
      <c r="F8" t="str">
        <f>'F101 F21 PNL-New'!H8</f>
        <v>(PNL)Gross Profit</v>
      </c>
      <c r="G8" t="str">
        <f t="shared" si="0"/>
        <v>(PNLR)Gross Profit</v>
      </c>
      <c r="H8" t="str">
        <f t="shared" si="2"/>
        <v>INSERT INTO tbFinanceItemSeq(Report,ItemSeqID,ItemSN,ItemID) VALUES('PNLR',7,7,(SELECT ItemID FROM tbFinanceItem where ItemName = '(PNLR)Gross Profit'))</v>
      </c>
    </row>
    <row r="9" spans="1:8">
      <c r="A9" t="str">
        <f>'F101 F21 PNL-New'!A9</f>
        <v>Exist</v>
      </c>
      <c r="B9" t="s">
        <v>2680</v>
      </c>
      <c r="C9">
        <f>'F101 F21 PNL-New'!C9</f>
        <v>8</v>
      </c>
      <c r="D9">
        <f>'F101 F21 PNL-New'!E9</f>
        <v>8</v>
      </c>
      <c r="E9" t="str">
        <f t="shared" si="1"/>
        <v>(SELECT ItemID FROM tbFinanceItem where ItemName = '(PNLR)Commission Income/Mgt Income')</v>
      </c>
      <c r="F9" t="str">
        <f>'F101 F21 PNL-New'!H9</f>
        <v>(PNL)Commission Income/Mgt Income</v>
      </c>
      <c r="G9" t="str">
        <f t="shared" si="0"/>
        <v>(PNLR)Commission Income/Mgt Income</v>
      </c>
      <c r="H9" t="str">
        <f t="shared" si="2"/>
        <v>INSERT INTO tbFinanceItemSeq(Report,ItemSeqID,ItemSN,ItemID) VALUES('PNLR',8,8,(SELECT ItemID FROM tbFinanceItem where ItemName = '(PNLR)Commission Income/Mgt Income'))</v>
      </c>
    </row>
    <row r="10" spans="1:8">
      <c r="A10" t="str">
        <f>'F101 F21 PNL-New'!A10</f>
        <v>New</v>
      </c>
      <c r="B10" t="s">
        <v>2680</v>
      </c>
      <c r="C10">
        <f>'F101 F21 PNL-New'!C10</f>
        <v>9</v>
      </c>
      <c r="D10">
        <f>'F101 F21 PNL-New'!E10</f>
        <v>9</v>
      </c>
      <c r="E10" t="str">
        <f t="shared" si="1"/>
        <v>(SELECT ItemID FROM tbFinanceItem where ItemName = '(PNLR)Gain/(Loss) Disposal of FA')</v>
      </c>
      <c r="F10" t="str">
        <f>'F101 F21 PNL-New'!H10</f>
        <v>(PNL)Gain/(Loss) Disposal of FA</v>
      </c>
      <c r="G10" t="str">
        <f t="shared" si="0"/>
        <v>(PNLR)Gain/(Loss) Disposal of FA</v>
      </c>
      <c r="H10" t="str">
        <f t="shared" si="2"/>
        <v>INSERT INTO tbFinanceItemSeq(Report,ItemSeqID,ItemSN,ItemID) VALUES('PNLR',9,9,(SELECT ItemID FROM tbFinanceItem where ItemName = '(PNLR)Gain/(Loss) Disposal of FA'))</v>
      </c>
    </row>
    <row r="11" spans="1:8">
      <c r="A11" t="str">
        <f>'F101 F21 PNL-New'!A11</f>
        <v>Exist</v>
      </c>
      <c r="B11" t="s">
        <v>2680</v>
      </c>
      <c r="C11">
        <f>'F101 F21 PNL-New'!C11</f>
        <v>10</v>
      </c>
      <c r="D11">
        <f>'F101 F21 PNL-New'!E11</f>
        <v>10</v>
      </c>
      <c r="E11" t="str">
        <f t="shared" si="1"/>
        <v>(SELECT ItemID FROM tbFinanceItem where ItemName = '(PNLR)Other Op Income')</v>
      </c>
      <c r="F11" t="str">
        <f>'F101 F21 PNL-New'!H11</f>
        <v>(PNL)Other Op Income</v>
      </c>
      <c r="G11" t="str">
        <f t="shared" si="0"/>
        <v>(PNLR)Other Op Income</v>
      </c>
      <c r="H11" t="str">
        <f t="shared" si="2"/>
        <v>INSERT INTO tbFinanceItemSeq(Report,ItemSeqID,ItemSN,ItemID) VALUES('PNLR',10,10,(SELECT ItemID FROM tbFinanceItem where ItemName = '(PNLR)Other Op Income'))</v>
      </c>
    </row>
    <row r="12" spans="1:8">
      <c r="A12" t="str">
        <f>'F101 F21 PNL-New'!A12</f>
        <v>Exist</v>
      </c>
      <c r="B12" t="s">
        <v>2680</v>
      </c>
      <c r="C12">
        <f>'F101 F21 PNL-New'!C12</f>
        <v>11</v>
      </c>
      <c r="D12">
        <f>'F101 F21 PNL-New'!E12</f>
        <v>11</v>
      </c>
      <c r="E12" t="str">
        <f t="shared" si="1"/>
        <v>(SELECT ItemID FROM tbFinanceItem where ItemName = '(PNLR)Other Op Expense')</v>
      </c>
      <c r="F12" t="str">
        <f>'F101 F21 PNL-New'!H12</f>
        <v>(PNL)Other Op Expense</v>
      </c>
      <c r="G12" t="str">
        <f t="shared" si="0"/>
        <v>(PNLR)Other Op Expense</v>
      </c>
      <c r="H12" t="str">
        <f t="shared" si="2"/>
        <v>INSERT INTO tbFinanceItemSeq(Report,ItemSeqID,ItemSN,ItemID) VALUES('PNLR',11,11,(SELECT ItemID FROM tbFinanceItem where ItemName = '(PNLR)Other Op Expense'))</v>
      </c>
    </row>
    <row r="13" spans="1:8">
      <c r="A13" t="str">
        <f>'F101 F21 PNL-New'!A13</f>
        <v>Exist</v>
      </c>
      <c r="B13" t="s">
        <v>2680</v>
      </c>
      <c r="C13">
        <f>'F101 F21 PNL-New'!C13</f>
        <v>12</v>
      </c>
      <c r="D13">
        <f>'F101 F21 PNL-New'!E13</f>
        <v>12</v>
      </c>
      <c r="E13" t="str">
        <f t="shared" si="1"/>
        <v>(SELECT ItemID FROM tbFinanceItem where ItemName = '(PNLR)Total Other Op Income/ (Exp)')</v>
      </c>
      <c r="F13" t="str">
        <f>'F101 F21 PNL-New'!H13</f>
        <v>(PNL)Total Other Op Income/ (Exp)</v>
      </c>
      <c r="G13" t="str">
        <f t="shared" si="0"/>
        <v>(PNLR)Total Other Op Income/ (Exp)</v>
      </c>
      <c r="H13" t="str">
        <f t="shared" si="2"/>
        <v>INSERT INTO tbFinanceItemSeq(Report,ItemSeqID,ItemSN,ItemID) VALUES('PNLR',12,12,(SELECT ItemID FROM tbFinanceItem where ItemName = '(PNLR)Total Other Op Income/ (Exp)'))</v>
      </c>
    </row>
    <row r="14" spans="1:8">
      <c r="A14" t="str">
        <f>'F101 F21 PNL-New'!A14</f>
        <v>Exist</v>
      </c>
      <c r="B14" t="s">
        <v>2680</v>
      </c>
      <c r="C14">
        <f>'F101 F21 PNL-New'!C14</f>
        <v>13</v>
      </c>
      <c r="D14">
        <f>'F101 F21 PNL-New'!E14</f>
        <v>13</v>
      </c>
      <c r="E14" t="str">
        <f t="shared" si="1"/>
        <v>(SELECT ItemID FROM tbFinanceItem where ItemName = '(PNLR)S&amp;D Personnel Related Cost')</v>
      </c>
      <c r="F14" t="str">
        <f>'F101 F21 PNL-New'!H14</f>
        <v>(PNL)S&amp;D Personnel Related Cost</v>
      </c>
      <c r="G14" t="str">
        <f t="shared" si="0"/>
        <v>(PNLR)S&amp;D Personnel Related Cost</v>
      </c>
      <c r="H14" t="str">
        <f t="shared" si="2"/>
        <v>INSERT INTO tbFinanceItemSeq(Report,ItemSeqID,ItemSN,ItemID) VALUES('PNLR',13,13,(SELECT ItemID FROM tbFinanceItem where ItemName = '(PNLR)S&amp;D Personnel Related Cost'))</v>
      </c>
    </row>
    <row r="15" spans="1:8">
      <c r="A15" t="str">
        <f>'F101 F21 PNL-New'!A15</f>
        <v>Exist</v>
      </c>
      <c r="B15" t="s">
        <v>2680</v>
      </c>
      <c r="C15">
        <f>'F101 F21 PNL-New'!C15</f>
        <v>14</v>
      </c>
      <c r="D15">
        <f>'F101 F21 PNL-New'!E15</f>
        <v>14</v>
      </c>
      <c r="E15" t="str">
        <f t="shared" si="1"/>
        <v>(SELECT ItemID FROM tbFinanceItem where ItemName = '(PNLR)S&amp;D Carriage/Transportation')</v>
      </c>
      <c r="F15" t="str">
        <f>'F101 F21 PNL-New'!H15</f>
        <v>(PNL)S&amp;D Carriage/Transportation</v>
      </c>
      <c r="G15" t="str">
        <f t="shared" si="0"/>
        <v>(PNLR)S&amp;D Carriage/Transportation</v>
      </c>
      <c r="H15" t="str">
        <f t="shared" si="2"/>
        <v>INSERT INTO tbFinanceItemSeq(Report,ItemSeqID,ItemSN,ItemID) VALUES('PNLR',14,14,(SELECT ItemID FROM tbFinanceItem where ItemName = '(PNLR)S&amp;D Carriage/Transportation'))</v>
      </c>
    </row>
    <row r="16" spans="1:8">
      <c r="A16" t="str">
        <f>'F101 F21 PNL-New'!A16</f>
        <v>Exist</v>
      </c>
      <c r="B16" t="s">
        <v>2680</v>
      </c>
      <c r="C16">
        <f>'F101 F21 PNL-New'!C16</f>
        <v>15</v>
      </c>
      <c r="D16">
        <f>'F101 F21 PNL-New'!E16</f>
        <v>15</v>
      </c>
      <c r="E16" t="str">
        <f t="shared" si="1"/>
        <v>(SELECT ItemID FROM tbFinanceItem where ItemName = '(PNLR)S&amp;D Advertising/Promotion')</v>
      </c>
      <c r="F16" t="str">
        <f>'F101 F21 PNL-New'!H16</f>
        <v>(PNL)S&amp;D Advertising/Promotion</v>
      </c>
      <c r="G16" t="str">
        <f t="shared" si="0"/>
        <v>(PNLR)S&amp;D Advertising/Promotion</v>
      </c>
      <c r="H16" t="str">
        <f t="shared" si="2"/>
        <v>INSERT INTO tbFinanceItemSeq(Report,ItemSeqID,ItemSN,ItemID) VALUES('PNLR',15,15,(SELECT ItemID FROM tbFinanceItem where ItemName = '(PNLR)S&amp;D Advertising/Promotion'))</v>
      </c>
    </row>
    <row r="17" spans="1:8">
      <c r="A17" t="str">
        <f>'F101 F21 PNL-New'!A17</f>
        <v>Exist</v>
      </c>
      <c r="B17" t="s">
        <v>2680</v>
      </c>
      <c r="C17">
        <f>'F101 F21 PNL-New'!C17</f>
        <v>16</v>
      </c>
      <c r="D17">
        <f>'F101 F21 PNL-New'!E17</f>
        <v>16</v>
      </c>
      <c r="E17" t="str">
        <f t="shared" si="1"/>
        <v>(SELECT ItemID FROM tbFinanceItem where ItemName = '(PNLR)S&amp;D Overseas Travelling')</v>
      </c>
      <c r="F17" t="str">
        <f>'F101 F21 PNL-New'!H17</f>
        <v>(PNL)S&amp;D Overseas Travelling</v>
      </c>
      <c r="G17" t="str">
        <f t="shared" si="0"/>
        <v>(PNLR)S&amp;D Overseas Travelling</v>
      </c>
      <c r="H17" t="str">
        <f t="shared" si="2"/>
        <v>INSERT INTO tbFinanceItemSeq(Report,ItemSeqID,ItemSN,ItemID) VALUES('PNLR',16,16,(SELECT ItemID FROM tbFinanceItem where ItemName = '(PNLR)S&amp;D Overseas Travelling'))</v>
      </c>
    </row>
    <row r="18" spans="1:8">
      <c r="A18" t="str">
        <f>'F101 F21 PNL-New'!A18</f>
        <v>Exist</v>
      </c>
      <c r="B18" t="s">
        <v>2680</v>
      </c>
      <c r="C18">
        <f>'F101 F21 PNL-New'!C18</f>
        <v>17</v>
      </c>
      <c r="D18">
        <f>'F101 F21 PNL-New'!E18</f>
        <v>17</v>
      </c>
      <c r="E18" t="str">
        <f t="shared" si="1"/>
        <v>(SELECT ItemID FROM tbFinanceItem where ItemName = '(PNLR)S&amp;D Entertainment')</v>
      </c>
      <c r="F18" t="str">
        <f>'F101 F21 PNL-New'!H18</f>
        <v>(PNL)S&amp;D Entertainment</v>
      </c>
      <c r="G18" t="str">
        <f t="shared" si="0"/>
        <v>(PNLR)S&amp;D Entertainment</v>
      </c>
      <c r="H18" t="str">
        <f t="shared" si="2"/>
        <v>INSERT INTO tbFinanceItemSeq(Report,ItemSeqID,ItemSN,ItemID) VALUES('PNLR',17,17,(SELECT ItemID FROM tbFinanceItem where ItemName = '(PNLR)S&amp;D Entertainment'))</v>
      </c>
    </row>
    <row r="19" spans="1:8">
      <c r="A19" t="str">
        <f>'F101 F21 PNL-New'!A19</f>
        <v>Exist</v>
      </c>
      <c r="B19" t="s">
        <v>2680</v>
      </c>
      <c r="C19">
        <f>'F101 F21 PNL-New'!C19</f>
        <v>18</v>
      </c>
      <c r="D19">
        <f>'F101 F21 PNL-New'!E19</f>
        <v>18</v>
      </c>
      <c r="E19" t="str">
        <f t="shared" si="1"/>
        <v>(SELECT ItemID FROM tbFinanceItem where ItemName = '(PNLR)S&amp;D Equipment Expenses')</v>
      </c>
      <c r="F19" t="str">
        <f>'F101 F21 PNL-New'!H19</f>
        <v>(PNL)S&amp;D Equipment Expenses</v>
      </c>
      <c r="G19" t="str">
        <f t="shared" si="0"/>
        <v>(PNLR)S&amp;D Equipment Expenses</v>
      </c>
      <c r="H19" t="str">
        <f t="shared" si="2"/>
        <v>INSERT INTO tbFinanceItemSeq(Report,ItemSeqID,ItemSN,ItemID) VALUES('PNLR',18,18,(SELECT ItemID FROM tbFinanceItem where ItemName = '(PNLR)S&amp;D Equipment Expenses'))</v>
      </c>
    </row>
    <row r="20" spans="1:8">
      <c r="A20" t="str">
        <f>'F101 F21 PNL-New'!A20</f>
        <v>Exist</v>
      </c>
      <c r="B20" t="s">
        <v>2680</v>
      </c>
      <c r="C20">
        <f>'F101 F21 PNL-New'!C20</f>
        <v>19</v>
      </c>
      <c r="D20">
        <f>'F101 F21 PNL-New'!E20</f>
        <v>19</v>
      </c>
      <c r="E20" t="str">
        <f t="shared" si="1"/>
        <v>(SELECT ItemID FROM tbFinanceItem where ItemName = '(PNLR)S&amp;D Rental/Property Related')</v>
      </c>
      <c r="F20" t="str">
        <f>'F101 F21 PNL-New'!H20</f>
        <v>(PNL)S&amp;D Rental/Property Related</v>
      </c>
      <c r="G20" t="str">
        <f t="shared" si="0"/>
        <v>(PNLR)S&amp;D Rental/Property Related</v>
      </c>
      <c r="H20" t="str">
        <f t="shared" si="2"/>
        <v>INSERT INTO tbFinanceItemSeq(Report,ItemSeqID,ItemSN,ItemID) VALUES('PNLR',19,19,(SELECT ItemID FROM tbFinanceItem where ItemName = '(PNLR)S&amp;D Rental/Property Related'))</v>
      </c>
    </row>
    <row r="21" spans="1:8">
      <c r="A21" t="str">
        <f>'F101 F21 PNL-New'!A21</f>
        <v>Exist</v>
      </c>
      <c r="B21" t="s">
        <v>2680</v>
      </c>
      <c r="C21">
        <f>'F101 F21 PNL-New'!C21</f>
        <v>20</v>
      </c>
      <c r="D21">
        <f>'F101 F21 PNL-New'!E21</f>
        <v>20</v>
      </c>
      <c r="E21" t="str">
        <f t="shared" si="1"/>
        <v>(SELECT ItemID FROM tbFinanceItem where ItemName = '(PNLR)S&amp;D Depn of Fixed Assets')</v>
      </c>
      <c r="F21" t="str">
        <f>'F101 F21 PNL-New'!H21</f>
        <v>(PNL)S&amp;D Depn of Fixed Assets</v>
      </c>
      <c r="G21" t="str">
        <f t="shared" si="0"/>
        <v>(PNLR)S&amp;D Depn of Fixed Assets</v>
      </c>
      <c r="H21" t="str">
        <f t="shared" si="2"/>
        <v>INSERT INTO tbFinanceItemSeq(Report,ItemSeqID,ItemSN,ItemID) VALUES('PNLR',20,20,(SELECT ItemID FROM tbFinanceItem where ItemName = '(PNLR)S&amp;D Depn of Fixed Assets'))</v>
      </c>
    </row>
    <row r="22" spans="1:8">
      <c r="A22" t="str">
        <f>'F101 F21 PNL-New'!A22</f>
        <v>Exist</v>
      </c>
      <c r="B22" t="s">
        <v>2680</v>
      </c>
      <c r="C22">
        <f>'F101 F21 PNL-New'!C22</f>
        <v>21</v>
      </c>
      <c r="D22">
        <f>'F101 F21 PNL-New'!E22</f>
        <v>21</v>
      </c>
      <c r="E22" t="str">
        <f t="shared" si="1"/>
        <v>(SELECT ItemID FROM tbFinanceItem where ItemName = '(PNLR)S&amp;D Stationery/Printing/Telephone')</v>
      </c>
      <c r="F22" t="str">
        <f>'F101 F21 PNL-New'!H22</f>
        <v>(PNL)S&amp;D Stationery/Printing/Telephone</v>
      </c>
      <c r="G22" t="str">
        <f t="shared" si="0"/>
        <v>(PNLR)S&amp;D Stationery/Printing/Telephone</v>
      </c>
      <c r="H22" t="str">
        <f t="shared" si="2"/>
        <v>INSERT INTO tbFinanceItemSeq(Report,ItemSeqID,ItemSN,ItemID) VALUES('PNLR',21,21,(SELECT ItemID FROM tbFinanceItem where ItemName = '(PNLR)S&amp;D Stationery/Printing/Telephone'))</v>
      </c>
    </row>
    <row r="23" spans="1:8" s="2" customFormat="1">
      <c r="A23" s="2" t="str">
        <f>'F101 F21 PNL-New'!A23</f>
        <v>Remove</v>
      </c>
      <c r="B23" s="2" t="s">
        <v>2680</v>
      </c>
      <c r="C23" s="2">
        <f>'F101 F21 PNL-New'!C23</f>
        <v>0</v>
      </c>
      <c r="D23" s="2">
        <f>'F101 F21 PNL-New'!E23</f>
        <v>0</v>
      </c>
      <c r="E23" s="2" t="str">
        <f t="shared" si="1"/>
        <v>(SELECT ItemID FROM tbFinanceItem where ItemName = '(PNLR)Other S&amp;D Expenses')</v>
      </c>
      <c r="F23" s="2" t="str">
        <f>'F101 F21 PNL-New'!H23</f>
        <v>(PNL)Other S&amp;D Expenses</v>
      </c>
      <c r="G23" s="2" t="str">
        <f t="shared" si="0"/>
        <v>(PNLR)Other S&amp;D Expenses</v>
      </c>
      <c r="H23" s="2" t="str">
        <f t="shared" si="2"/>
        <v/>
      </c>
    </row>
    <row r="24" spans="1:8">
      <c r="A24" t="str">
        <f>'F101 F21 PNL-New'!A24</f>
        <v>New</v>
      </c>
      <c r="B24" t="s">
        <v>2680</v>
      </c>
      <c r="C24">
        <f>'F101 F21 PNL-New'!C24</f>
        <v>22</v>
      </c>
      <c r="D24">
        <f>'F101 F21 PNL-New'!E24</f>
        <v>22</v>
      </c>
      <c r="E24" t="str">
        <f t="shared" si="1"/>
        <v>(SELECT ItemID FROM tbFinanceItem where ItemName = '(PNLR)HO/Interco and Other S&amp;D')</v>
      </c>
      <c r="F24" t="str">
        <f>'F101 F21 PNL-New'!H24</f>
        <v>(PNL)HO/Interco and Other S&amp;D</v>
      </c>
      <c r="G24" t="str">
        <f t="shared" si="0"/>
        <v>(PNLR)HO/Interco and Other S&amp;D</v>
      </c>
      <c r="H24" t="str">
        <f t="shared" si="2"/>
        <v>INSERT INTO tbFinanceItemSeq(Report,ItemSeqID,ItemSN,ItemID) VALUES('PNLR',22,22,(SELECT ItemID FROM tbFinanceItem where ItemName = '(PNLR)HO/Interco and Other S&amp;D'))</v>
      </c>
    </row>
    <row r="25" spans="1:8">
      <c r="A25" t="str">
        <f>'F101 F21 PNL-New'!A25</f>
        <v>Exist</v>
      </c>
      <c r="B25" t="s">
        <v>2680</v>
      </c>
      <c r="C25">
        <f>'F101 F21 PNL-New'!C25</f>
        <v>23</v>
      </c>
      <c r="D25">
        <f>'F101 F21 PNL-New'!E25</f>
        <v>23</v>
      </c>
      <c r="E25" t="str">
        <f t="shared" si="1"/>
        <v>(SELECT ItemID FROM tbFinanceItem where ItemName = '(PNLR)Total S&amp;D Expenses')</v>
      </c>
      <c r="F25" t="str">
        <f>'F101 F21 PNL-New'!H25</f>
        <v>(PNL)Total S&amp;D Expenses</v>
      </c>
      <c r="G25" t="str">
        <f t="shared" si="0"/>
        <v>(PNLR)Total S&amp;D Expenses</v>
      </c>
      <c r="H25" t="str">
        <f t="shared" si="2"/>
        <v>INSERT INTO tbFinanceItemSeq(Report,ItemSeqID,ItemSN,ItemID) VALUES('PNLR',23,23,(SELECT ItemID FROM tbFinanceItem where ItemName = '(PNLR)Total S&amp;D Expenses'))</v>
      </c>
    </row>
    <row r="26" spans="1:8">
      <c r="A26" t="str">
        <f>'F101 F21 PNL-New'!A26</f>
        <v>Exist</v>
      </c>
      <c r="B26" t="s">
        <v>2680</v>
      </c>
      <c r="C26">
        <f>'F101 F21 PNL-New'!C26</f>
        <v>24</v>
      </c>
      <c r="D26">
        <f>'F101 F21 PNL-New'!E26</f>
        <v>24</v>
      </c>
      <c r="E26" t="str">
        <f t="shared" si="1"/>
        <v>(SELECT ItemID FROM tbFinanceItem where ItemName = '(PNLR)A&amp;G Personnel Related Cost')</v>
      </c>
      <c r="F26" t="str">
        <f>'F101 F21 PNL-New'!H26</f>
        <v>(PNL)A&amp;G Personnel Related Cost</v>
      </c>
      <c r="G26" t="str">
        <f t="shared" si="0"/>
        <v>(PNLR)A&amp;G Personnel Related Cost</v>
      </c>
      <c r="H26" t="str">
        <f t="shared" si="2"/>
        <v>INSERT INTO tbFinanceItemSeq(Report,ItemSeqID,ItemSN,ItemID) VALUES('PNLR',24,24,(SELECT ItemID FROM tbFinanceItem where ItemName = '(PNLR)A&amp;G Personnel Related Cost'))</v>
      </c>
    </row>
    <row r="27" spans="1:8">
      <c r="A27" t="str">
        <f>'F101 F21 PNL-New'!A27</f>
        <v>Exist</v>
      </c>
      <c r="B27" t="s">
        <v>2680</v>
      </c>
      <c r="C27">
        <f>'F101 F21 PNL-New'!C27</f>
        <v>25</v>
      </c>
      <c r="D27">
        <f>'F101 F21 PNL-New'!E27</f>
        <v>25</v>
      </c>
      <c r="E27" t="str">
        <f t="shared" si="1"/>
        <v>(SELECT ItemID FROM tbFinanceItem where ItemName = '(PNLR)A&amp;G Overseas Travelling')</v>
      </c>
      <c r="F27" t="str">
        <f>'F101 F21 PNL-New'!H27</f>
        <v>(PNL)A&amp;G Overseas Travelling</v>
      </c>
      <c r="G27" t="str">
        <f t="shared" si="0"/>
        <v>(PNLR)A&amp;G Overseas Travelling</v>
      </c>
      <c r="H27" t="str">
        <f t="shared" si="2"/>
        <v>INSERT INTO tbFinanceItemSeq(Report,ItemSeqID,ItemSN,ItemID) VALUES('PNLR',25,25,(SELECT ItemID FROM tbFinanceItem where ItemName = '(PNLR)A&amp;G Overseas Travelling'))</v>
      </c>
    </row>
    <row r="28" spans="1:8">
      <c r="A28" t="str">
        <f>'F101 F21 PNL-New'!A28</f>
        <v>Exist</v>
      </c>
      <c r="B28" t="s">
        <v>2680</v>
      </c>
      <c r="C28">
        <f>'F101 F21 PNL-New'!C28</f>
        <v>26</v>
      </c>
      <c r="D28">
        <f>'F101 F21 PNL-New'!E28</f>
        <v>26</v>
      </c>
      <c r="E28" t="str">
        <f t="shared" si="1"/>
        <v>(SELECT ItemID FROM tbFinanceItem where ItemName = '(PNLR)A&amp;G Transportation')</v>
      </c>
      <c r="F28" t="str">
        <f>'F101 F21 PNL-New'!H28</f>
        <v>(PNL)A&amp;G Transportation</v>
      </c>
      <c r="G28" t="str">
        <f t="shared" si="0"/>
        <v>(PNLR)A&amp;G Transportation</v>
      </c>
      <c r="H28" t="str">
        <f t="shared" si="2"/>
        <v>INSERT INTO tbFinanceItemSeq(Report,ItemSeqID,ItemSN,ItemID) VALUES('PNLR',26,26,(SELECT ItemID FROM tbFinanceItem where ItemName = '(PNLR)A&amp;G Transportation'))</v>
      </c>
    </row>
    <row r="29" spans="1:8" s="2" customFormat="1">
      <c r="A29" s="2" t="str">
        <f>'F101 F21 PNL-New'!A29</f>
        <v>Remove</v>
      </c>
      <c r="B29" s="2" t="s">
        <v>2680</v>
      </c>
      <c r="C29" s="2">
        <f>'F101 F21 PNL-New'!C29</f>
        <v>0</v>
      </c>
      <c r="D29" s="2">
        <f>'F101 F21 PNL-New'!E29</f>
        <v>0</v>
      </c>
      <c r="E29" s="2" t="str">
        <f t="shared" si="1"/>
        <v>(SELECT ItemID FROM tbFinanceItem where ItemName = '(PNLR)A&amp;G Entertainment')</v>
      </c>
      <c r="F29" s="2" t="str">
        <f>'F101 F21 PNL-New'!H29</f>
        <v>(PNL)A&amp;G Entertainment</v>
      </c>
      <c r="G29" s="2" t="str">
        <f t="shared" si="0"/>
        <v>(PNLR)A&amp;G Entertainment</v>
      </c>
      <c r="H29" s="2" t="str">
        <f t="shared" si="2"/>
        <v/>
      </c>
    </row>
    <row r="30" spans="1:8">
      <c r="A30" t="str">
        <f>'F101 F21 PNL-New'!A30</f>
        <v>New</v>
      </c>
      <c r="B30" t="s">
        <v>2680</v>
      </c>
      <c r="C30">
        <f>'F101 F21 PNL-New'!C30</f>
        <v>27</v>
      </c>
      <c r="D30">
        <f>'F101 F21 PNL-New'!E30</f>
        <v>27</v>
      </c>
      <c r="E30" t="str">
        <f t="shared" si="1"/>
        <v>(SELECT ItemID FROM tbFinanceItem where ItemName = '(PNLR)A&amp;G Entertainment &amp; Donation')</v>
      </c>
      <c r="F30" t="str">
        <f>'F101 F21 PNL-New'!H30</f>
        <v>(PNL)A&amp;G Entertainment &amp; Donation</v>
      </c>
      <c r="G30" t="str">
        <f t="shared" si="0"/>
        <v>(PNLR)A&amp;G Entertainment &amp; Donation</v>
      </c>
      <c r="H30" t="str">
        <f t="shared" si="2"/>
        <v>INSERT INTO tbFinanceItemSeq(Report,ItemSeqID,ItemSN,ItemID) VALUES('PNLR',27,27,(SELECT ItemID FROM tbFinanceItem where ItemName = '(PNLR)A&amp;G Entertainment &amp; Donation'))</v>
      </c>
    </row>
    <row r="31" spans="1:8">
      <c r="A31" t="str">
        <f>'F101 F21 PNL-New'!A31</f>
        <v>Exist</v>
      </c>
      <c r="B31" t="s">
        <v>2680</v>
      </c>
      <c r="C31">
        <f>'F101 F21 PNL-New'!C31</f>
        <v>28</v>
      </c>
      <c r="D31">
        <f>'F101 F21 PNL-New'!E31</f>
        <v>28</v>
      </c>
      <c r="E31" t="str">
        <f t="shared" si="1"/>
        <v>(SELECT ItemID FROM tbFinanceItem where ItemName = '(PNLR)A&amp;G Equipment Expenses')</v>
      </c>
      <c r="F31" t="str">
        <f>'F101 F21 PNL-New'!H31</f>
        <v>(PNL)A&amp;G Equipment Expenses</v>
      </c>
      <c r="G31" t="str">
        <f t="shared" si="0"/>
        <v>(PNLR)A&amp;G Equipment Expenses</v>
      </c>
      <c r="H31" t="str">
        <f t="shared" si="2"/>
        <v>INSERT INTO tbFinanceItemSeq(Report,ItemSeqID,ItemSN,ItemID) VALUES('PNLR',28,28,(SELECT ItemID FROM tbFinanceItem where ItemName = '(PNLR)A&amp;G Equipment Expenses'))</v>
      </c>
    </row>
    <row r="32" spans="1:8">
      <c r="A32" t="str">
        <f>'F101 F21 PNL-New'!A32</f>
        <v>Exist</v>
      </c>
      <c r="B32" t="s">
        <v>2680</v>
      </c>
      <c r="C32">
        <f>'F101 F21 PNL-New'!C32</f>
        <v>29</v>
      </c>
      <c r="D32">
        <f>'F101 F21 PNL-New'!E32</f>
        <v>29</v>
      </c>
      <c r="E32" t="str">
        <f t="shared" si="1"/>
        <v>(SELECT ItemID FROM tbFinanceItem where ItemName = '(PNLR)A&amp;G Rental/Property Related')</v>
      </c>
      <c r="F32" t="str">
        <f>'F101 F21 PNL-New'!H32</f>
        <v>(PNL)A&amp;G Rental/Property Related</v>
      </c>
      <c r="G32" t="str">
        <f t="shared" si="0"/>
        <v>(PNLR)A&amp;G Rental/Property Related</v>
      </c>
      <c r="H32" t="str">
        <f t="shared" si="2"/>
        <v>INSERT INTO tbFinanceItemSeq(Report,ItemSeqID,ItemSN,ItemID) VALUES('PNLR',29,29,(SELECT ItemID FROM tbFinanceItem where ItemName = '(PNLR)A&amp;G Rental/Property Related'))</v>
      </c>
    </row>
    <row r="33" spans="1:8">
      <c r="A33" t="str">
        <f>'F101 F21 PNL-New'!A33</f>
        <v>Exist</v>
      </c>
      <c r="B33" t="s">
        <v>2680</v>
      </c>
      <c r="C33">
        <f>'F101 F21 PNL-New'!C33</f>
        <v>30</v>
      </c>
      <c r="D33">
        <f>'F101 F21 PNL-New'!E33</f>
        <v>30</v>
      </c>
      <c r="E33" t="str">
        <f t="shared" si="1"/>
        <v>(SELECT ItemID FROM tbFinanceItem where ItemName = '(PNLR)A&amp;G Depn of Fixed Assets')</v>
      </c>
      <c r="F33" t="str">
        <f>'F101 F21 PNL-New'!H33</f>
        <v>(PNL)A&amp;G Depn of Fixed Assets</v>
      </c>
      <c r="G33" t="str">
        <f t="shared" si="0"/>
        <v>(PNLR)A&amp;G Depn of Fixed Assets</v>
      </c>
      <c r="H33" t="str">
        <f t="shared" si="2"/>
        <v>INSERT INTO tbFinanceItemSeq(Report,ItemSeqID,ItemSN,ItemID) VALUES('PNLR',30,30,(SELECT ItemID FROM tbFinanceItem where ItemName = '(PNLR)A&amp;G Depn of Fixed Assets'))</v>
      </c>
    </row>
    <row r="34" spans="1:8">
      <c r="A34" t="str">
        <f>'F101 F21 PNL-New'!A34</f>
        <v>Exist</v>
      </c>
      <c r="B34" t="s">
        <v>2680</v>
      </c>
      <c r="C34">
        <f>'F101 F21 PNL-New'!C34</f>
        <v>31</v>
      </c>
      <c r="D34">
        <f>'F101 F21 PNL-New'!E34</f>
        <v>31</v>
      </c>
      <c r="E34" t="str">
        <f t="shared" si="1"/>
        <v>(SELECT ItemID FROM tbFinanceItem where ItemName = '(PNLR)A&amp;G Stationery/Printing/Telephone')</v>
      </c>
      <c r="F34" t="str">
        <f>'F101 F21 PNL-New'!H34</f>
        <v>(PNL)A&amp;G Stationery/Printing/Telephone</v>
      </c>
      <c r="G34" t="str">
        <f t="shared" ref="G34:G65" si="3">REPLACE(F34,2,3,B34)</f>
        <v>(PNLR)A&amp;G Stationery/Printing/Telephone</v>
      </c>
      <c r="H34" t="str">
        <f t="shared" si="2"/>
        <v>INSERT INTO tbFinanceItemSeq(Report,ItemSeqID,ItemSN,ItemID) VALUES('PNLR',31,31,(SELECT ItemID FROM tbFinanceItem where ItemName = '(PNLR)A&amp;G Stationery/Printing/Telephone'))</v>
      </c>
    </row>
    <row r="35" spans="1:8">
      <c r="A35" t="str">
        <f>'F101 F21 PNL-New'!A35</f>
        <v>Exist</v>
      </c>
      <c r="B35" t="s">
        <v>2680</v>
      </c>
      <c r="C35">
        <f>'F101 F21 PNL-New'!C35</f>
        <v>32</v>
      </c>
      <c r="D35">
        <f>'F101 F21 PNL-New'!E35</f>
        <v>32</v>
      </c>
      <c r="E35" t="str">
        <f t="shared" si="1"/>
        <v>(SELECT ItemID FROM tbFinanceItem where ItemName = '(PNLR)A&amp;G Legal/Prof Fees/Ins/Safety')</v>
      </c>
      <c r="F35" t="str">
        <f>'F101 F21 PNL-New'!H35</f>
        <v>(PNL)A&amp;G Legal/Prof Fees/Ins/Safety</v>
      </c>
      <c r="G35" t="str">
        <f t="shared" si="3"/>
        <v>(PNLR)A&amp;G Legal/Prof Fees/Ins/Safety</v>
      </c>
      <c r="H35" t="str">
        <f t="shared" si="2"/>
        <v>INSERT INTO tbFinanceItemSeq(Report,ItemSeqID,ItemSN,ItemID) VALUES('PNLR',32,32,(SELECT ItemID FROM tbFinanceItem where ItemName = '(PNLR)A&amp;G Legal/Prof Fees/Ins/Safety'))</v>
      </c>
    </row>
    <row r="36" spans="1:8">
      <c r="A36" t="str">
        <f>'F101 F21 PNL-New'!A36</f>
        <v>Exist</v>
      </c>
      <c r="B36" t="s">
        <v>2680</v>
      </c>
      <c r="C36">
        <f>'F101 F21 PNL-New'!C36</f>
        <v>33</v>
      </c>
      <c r="D36">
        <f>'F101 F21 PNL-New'!E36</f>
        <v>33</v>
      </c>
      <c r="E36" t="str">
        <f t="shared" si="1"/>
        <v>(SELECT ItemID FROM tbFinanceItem where ItemName = '(PNLR)A&amp;G IT System Exps')</v>
      </c>
      <c r="F36" t="str">
        <f>'F101 F21 PNL-New'!H36</f>
        <v>(PNL)A&amp;G IT System Exps</v>
      </c>
      <c r="G36" t="str">
        <f t="shared" si="3"/>
        <v>(PNLR)A&amp;G IT System Exps</v>
      </c>
      <c r="H36" t="str">
        <f t="shared" si="2"/>
        <v>INSERT INTO tbFinanceItemSeq(Report,ItemSeqID,ItemSN,ItemID) VALUES('PNLR',33,33,(SELECT ItemID FROM tbFinanceItem where ItemName = '(PNLR)A&amp;G IT System Exps'))</v>
      </c>
    </row>
    <row r="37" spans="1:8">
      <c r="A37" t="str">
        <f>'F101 F21 PNL-New'!A37</f>
        <v>Exist</v>
      </c>
      <c r="B37" t="s">
        <v>2680</v>
      </c>
      <c r="C37">
        <f>'F101 F21 PNL-New'!C37</f>
        <v>34</v>
      </c>
      <c r="D37">
        <f>'F101 F21 PNL-New'!E37</f>
        <v>34</v>
      </c>
      <c r="E37" t="str">
        <f t="shared" si="1"/>
        <v>(SELECT ItemID FROM tbFinanceItem where ItemName = '(PNLR)A&amp;G Purchasing Exps')</v>
      </c>
      <c r="F37" t="str">
        <f>'F101 F21 PNL-New'!H37</f>
        <v>(PNL)A&amp;G Purchasing Exps</v>
      </c>
      <c r="G37" t="str">
        <f t="shared" si="3"/>
        <v>(PNLR)A&amp;G Purchasing Exps</v>
      </c>
      <c r="H37" t="str">
        <f t="shared" si="2"/>
        <v>INSERT INTO tbFinanceItemSeq(Report,ItemSeqID,ItemSN,ItemID) VALUES('PNLR',34,34,(SELECT ItemID FROM tbFinanceItem where ItemName = '(PNLR)A&amp;G Purchasing Exps'))</v>
      </c>
    </row>
    <row r="38" spans="1:8">
      <c r="A38" t="str">
        <f>'F101 F21 PNL-New'!A38</f>
        <v>Exist</v>
      </c>
      <c r="B38" t="s">
        <v>2680</v>
      </c>
      <c r="C38">
        <f>'F101 F21 PNL-New'!C38</f>
        <v>35</v>
      </c>
      <c r="D38">
        <f>'F101 F21 PNL-New'!E38</f>
        <v>35</v>
      </c>
      <c r="E38" t="str">
        <f t="shared" si="1"/>
        <v>(SELECT ItemID FROM tbFinanceItem where ItemName = '(PNLR)A&amp;G Direct Expenses')</v>
      </c>
      <c r="F38" t="str">
        <f>'F101 F21 PNL-New'!H38</f>
        <v>(PNL)A&amp;G Direct Expenses</v>
      </c>
      <c r="G38" t="str">
        <f t="shared" si="3"/>
        <v>(PNLR)A&amp;G Direct Expenses</v>
      </c>
      <c r="H38" t="str">
        <f t="shared" si="2"/>
        <v>INSERT INTO tbFinanceItemSeq(Report,ItemSeqID,ItemSN,ItemID) VALUES('PNLR',35,35,(SELECT ItemID FROM tbFinanceItem where ItemName = '(PNLR)A&amp;G Direct Expenses'))</v>
      </c>
    </row>
    <row r="39" spans="1:8">
      <c r="A39" t="str">
        <f>'F101 F21 PNL-New'!A39</f>
        <v>Exist</v>
      </c>
      <c r="B39" t="s">
        <v>2680</v>
      </c>
      <c r="C39">
        <f>'F101 F21 PNL-New'!C39</f>
        <v>36</v>
      </c>
      <c r="D39">
        <f>'F101 F21 PNL-New'!E39</f>
        <v>36</v>
      </c>
      <c r="E39" t="str">
        <f t="shared" si="1"/>
        <v>(SELECT ItemID FROM tbFinanceItem where ItemName = '(PNLR)Prov for Stock Obso/Pilferage')</v>
      </c>
      <c r="F39" t="str">
        <f>'F101 F21 PNL-New'!H39</f>
        <v>(PNL)Prov for Stock Obso/Pilferage</v>
      </c>
      <c r="G39" t="str">
        <f t="shared" si="3"/>
        <v>(PNLR)Prov for Stock Obso/Pilferage</v>
      </c>
      <c r="H39" t="str">
        <f t="shared" si="2"/>
        <v>INSERT INTO tbFinanceItemSeq(Report,ItemSeqID,ItemSN,ItemID) VALUES('PNLR',36,36,(SELECT ItemID FROM tbFinanceItem where ItemName = '(PNLR)Prov for Stock Obso/Pilferage'))</v>
      </c>
    </row>
    <row r="40" spans="1:8">
      <c r="A40" t="str">
        <f>'F101 F21 PNL-New'!A40</f>
        <v>Exist</v>
      </c>
      <c r="B40" t="s">
        <v>2680</v>
      </c>
      <c r="C40">
        <f>'F101 F21 PNL-New'!C40</f>
        <v>37</v>
      </c>
      <c r="D40">
        <f>'F101 F21 PNL-New'!E40</f>
        <v>37</v>
      </c>
      <c r="E40" t="str">
        <f t="shared" si="1"/>
        <v>(SELECT ItemID FROM tbFinanceItem where ItemName = '(PNLR)Prov for Doubtful Debts')</v>
      </c>
      <c r="F40" t="str">
        <f>'F101 F21 PNL-New'!H40</f>
        <v>(PNL)Prov for Doubtful Debts</v>
      </c>
      <c r="G40" t="str">
        <f t="shared" si="3"/>
        <v>(PNLR)Prov for Doubtful Debts</v>
      </c>
      <c r="H40" t="str">
        <f t="shared" si="2"/>
        <v>INSERT INTO tbFinanceItemSeq(Report,ItemSeqID,ItemSN,ItemID) VALUES('PNLR',37,37,(SELECT ItemID FROM tbFinanceItem where ItemName = '(PNLR)Prov for Doubtful Debts'))</v>
      </c>
    </row>
    <row r="41" spans="1:8">
      <c r="A41" t="str">
        <f>'F101 F21 PNL-New'!A41</f>
        <v>Exist</v>
      </c>
      <c r="B41" t="s">
        <v>2680</v>
      </c>
      <c r="C41">
        <f>'F101 F21 PNL-New'!C41</f>
        <v>38</v>
      </c>
      <c r="D41">
        <f>'F101 F21 PNL-New'!E41</f>
        <v>38</v>
      </c>
      <c r="E41" t="str">
        <f t="shared" si="1"/>
        <v>(SELECT ItemID FROM tbFinanceItem where ItemName = '(PNLR)Bad Debts Recovered')</v>
      </c>
      <c r="F41" t="str">
        <f>'F101 F21 PNL-New'!H41</f>
        <v>(PNL)Bad Debts Recovered</v>
      </c>
      <c r="G41" t="str">
        <f t="shared" si="3"/>
        <v>(PNLR)Bad Debts Recovered</v>
      </c>
      <c r="H41" t="str">
        <f t="shared" si="2"/>
        <v>INSERT INTO tbFinanceItemSeq(Report,ItemSeqID,ItemSN,ItemID) VALUES('PNLR',38,38,(SELECT ItemID FROM tbFinanceItem where ItemName = '(PNLR)Bad Debts Recovered'))</v>
      </c>
    </row>
    <row r="42" spans="1:8">
      <c r="A42" t="str">
        <f>'F101 F21 PNL-New'!A42</f>
        <v>Exist</v>
      </c>
      <c r="B42" t="s">
        <v>2680</v>
      </c>
      <c r="C42">
        <f>'F101 F21 PNL-New'!C42</f>
        <v>39</v>
      </c>
      <c r="D42">
        <f>'F101 F21 PNL-New'!E42</f>
        <v>39</v>
      </c>
      <c r="E42" t="str">
        <f t="shared" si="1"/>
        <v>(SELECT ItemID FROM tbFinanceItem where ItemName = '(PNLR)Stocks Written Down/Written Off')</v>
      </c>
      <c r="F42" t="str">
        <f>'F101 F21 PNL-New'!H42</f>
        <v>(PNL)Stocks Written Down/Written Off</v>
      </c>
      <c r="G42" t="str">
        <f t="shared" si="3"/>
        <v>(PNLR)Stocks Written Down/Written Off</v>
      </c>
      <c r="H42" t="str">
        <f t="shared" si="2"/>
        <v>INSERT INTO tbFinanceItemSeq(Report,ItemSeqID,ItemSN,ItemID) VALUES('PNLR',39,39,(SELECT ItemID FROM tbFinanceItem where ItemName = '(PNLR)Stocks Written Down/Written Off'))</v>
      </c>
    </row>
    <row r="43" spans="1:8">
      <c r="A43" t="str">
        <f>'F101 F21 PNL-New'!A43</f>
        <v>Exist</v>
      </c>
      <c r="B43" t="s">
        <v>2680</v>
      </c>
      <c r="C43">
        <f>'F101 F21 PNL-New'!C43</f>
        <v>40</v>
      </c>
      <c r="D43">
        <f>'F101 F21 PNL-New'!E43</f>
        <v>40</v>
      </c>
      <c r="E43" t="str">
        <f t="shared" si="1"/>
        <v>(SELECT ItemID FROM tbFinanceItem where ItemName = '(PNLR)GST/VAT Expense')</v>
      </c>
      <c r="F43" t="str">
        <f>'F101 F21 PNL-New'!H43</f>
        <v>(PNL)GST/VAT Expense</v>
      </c>
      <c r="G43" t="str">
        <f t="shared" si="3"/>
        <v>(PNLR)GST/VAT Expense</v>
      </c>
      <c r="H43" t="str">
        <f t="shared" si="2"/>
        <v>INSERT INTO tbFinanceItemSeq(Report,ItemSeqID,ItemSN,ItemID) VALUES('PNLR',40,40,(SELECT ItemID FROM tbFinanceItem where ItemName = '(PNLR)GST/VAT Expense'))</v>
      </c>
    </row>
    <row r="44" spans="1:8" s="2" customFormat="1">
      <c r="A44" s="2" t="str">
        <f>'F101 F21 PNL-New'!A44</f>
        <v>Remove</v>
      </c>
      <c r="B44" s="2" t="s">
        <v>2680</v>
      </c>
      <c r="C44" s="2">
        <f>'F101 F21 PNL-New'!C44</f>
        <v>41</v>
      </c>
      <c r="D44" s="2">
        <f>'F101 F21 PNL-New'!E44</f>
        <v>41</v>
      </c>
      <c r="E44" s="2" t="str">
        <f t="shared" si="1"/>
        <v>(SELECT ItemID FROM tbFinanceItem where ItemName = '(PNLR)HO / Interco Allocation')</v>
      </c>
      <c r="F44" s="2" t="str">
        <f>'F101 F21 PNL-New'!H44</f>
        <v>(PNL)HO / Interco Allocation</v>
      </c>
      <c r="G44" s="2" t="str">
        <f t="shared" si="3"/>
        <v>(PNLR)HO / Interco Allocation</v>
      </c>
      <c r="H44" s="2" t="str">
        <f t="shared" si="2"/>
        <v/>
      </c>
    </row>
    <row r="45" spans="1:8">
      <c r="A45" t="str">
        <f>'F101 F21 PNL-New'!A45</f>
        <v>New</v>
      </c>
      <c r="B45" t="s">
        <v>2680</v>
      </c>
      <c r="C45">
        <f>'F101 F21 PNL-New'!C45</f>
        <v>41</v>
      </c>
      <c r="D45">
        <f>'F101 F21 PNL-New'!E45</f>
        <v>41</v>
      </c>
      <c r="E45" t="str">
        <f t="shared" si="1"/>
        <v>(SELECT ItemID FROM tbFinanceItem where ItemName = '(PNLR)HO/Interco Alloc')</v>
      </c>
      <c r="F45" t="str">
        <f>'F101 F21 PNL-New'!H45</f>
        <v>(PNL)HO/Interco Alloc</v>
      </c>
      <c r="G45" t="str">
        <f t="shared" si="3"/>
        <v>(PNLR)HO/Interco Alloc</v>
      </c>
      <c r="H45" t="str">
        <f t="shared" si="2"/>
        <v>INSERT INTO tbFinanceItemSeq(Report,ItemSeqID,ItemSN,ItemID) VALUES('PNLR',41,41,(SELECT ItemID FROM tbFinanceItem where ItemName = '(PNLR)HO/Interco Alloc'))</v>
      </c>
    </row>
    <row r="46" spans="1:8" s="2" customFormat="1">
      <c r="A46" s="2" t="str">
        <f>'F101 F21 PNL-New'!A46</f>
        <v>Remove</v>
      </c>
      <c r="B46" s="2" t="s">
        <v>2680</v>
      </c>
      <c r="C46" s="2">
        <f>'F101 F21 PNL-New'!C46</f>
        <v>0</v>
      </c>
      <c r="D46" s="2">
        <f>'F101 F21 PNL-New'!E46</f>
        <v>0</v>
      </c>
      <c r="E46" s="2" t="str">
        <f t="shared" si="1"/>
        <v>(SELECT ItemID FROM tbFinanceItem where ItemName = '(PNLR)A&amp;G Other Expenses')</v>
      </c>
      <c r="F46" s="2" t="str">
        <f>'F101 F21 PNL-New'!H46</f>
        <v>(PNL)A&amp;G Other Expenses</v>
      </c>
      <c r="G46" s="2" t="str">
        <f t="shared" si="3"/>
        <v>(PNLR)A&amp;G Other Expenses</v>
      </c>
      <c r="H46" s="2" t="str">
        <f t="shared" si="2"/>
        <v/>
      </c>
    </row>
    <row r="47" spans="1:8">
      <c r="A47" t="str">
        <f>'F101 F21 PNL-New'!A47</f>
        <v>New</v>
      </c>
      <c r="B47" t="s">
        <v>2680</v>
      </c>
      <c r="C47">
        <f>'F101 F21 PNL-New'!C47</f>
        <v>42</v>
      </c>
      <c r="D47">
        <f>'F101 F21 PNL-New'!E47</f>
        <v>42</v>
      </c>
      <c r="E47" t="str">
        <f t="shared" si="1"/>
        <v>(SELECT ItemID FROM tbFinanceItem where ItemName = '(PNLR) Other A&amp;G Expenses')</v>
      </c>
      <c r="F47" t="str">
        <f>'F101 F21 PNL-New'!H47</f>
        <v>(PNL) Other A&amp;G Expenses</v>
      </c>
      <c r="G47" t="str">
        <f t="shared" si="3"/>
        <v>(PNLR) Other A&amp;G Expenses</v>
      </c>
      <c r="H47" t="str">
        <f t="shared" si="2"/>
        <v>INSERT INTO tbFinanceItemSeq(Report,ItemSeqID,ItemSN,ItemID) VALUES('PNLR',42,42,(SELECT ItemID FROM tbFinanceItem where ItemName = '(PNLR) Other A&amp;G Expenses'))</v>
      </c>
    </row>
    <row r="48" spans="1:8">
      <c r="A48" t="str">
        <f>'F101 F21 PNL-New'!A48</f>
        <v>Exist</v>
      </c>
      <c r="B48" t="s">
        <v>2680</v>
      </c>
      <c r="C48">
        <f>'F101 F21 PNL-New'!C48</f>
        <v>43</v>
      </c>
      <c r="D48">
        <f>'F101 F21 PNL-New'!E48</f>
        <v>43</v>
      </c>
      <c r="E48" t="str">
        <f t="shared" si="1"/>
        <v>(SELECT ItemID FROM tbFinanceItem where ItemName = '(PNLR)Total A&amp;G Expenses')</v>
      </c>
      <c r="F48" t="str">
        <f>'F101 F21 PNL-New'!H48</f>
        <v>(PNL)Total A&amp;G Expenses</v>
      </c>
      <c r="G48" t="str">
        <f t="shared" si="3"/>
        <v>(PNLR)Total A&amp;G Expenses</v>
      </c>
      <c r="H48" t="str">
        <f t="shared" si="2"/>
        <v>INSERT INTO tbFinanceItemSeq(Report,ItemSeqID,ItemSN,ItemID) VALUES('PNLR',43,43,(SELECT ItemID FROM tbFinanceItem where ItemName = '(PNLR)Total A&amp;G Expenses'))</v>
      </c>
    </row>
    <row r="49" spans="1:8">
      <c r="A49" t="str">
        <f>'F101 F21 PNL-New'!A49</f>
        <v>Exist</v>
      </c>
      <c r="B49" t="s">
        <v>2680</v>
      </c>
      <c r="C49">
        <f>'F101 F21 PNL-New'!C49</f>
        <v>44</v>
      </c>
      <c r="D49">
        <f>'F101 F21 PNL-New'!E49</f>
        <v>44</v>
      </c>
      <c r="E49" t="str">
        <f t="shared" si="1"/>
        <v>(SELECT ItemID FROM tbFinanceItem where ItemName = '(PNLR)Profit from Operations')</v>
      </c>
      <c r="F49" t="str">
        <f>'F101 F21 PNL-New'!H49</f>
        <v>(PNL)Profit from Operations</v>
      </c>
      <c r="G49" t="str">
        <f t="shared" si="3"/>
        <v>(PNLR)Profit from Operations</v>
      </c>
      <c r="H49" t="str">
        <f t="shared" si="2"/>
        <v>INSERT INTO tbFinanceItemSeq(Report,ItemSeqID,ItemSN,ItemID) VALUES('PNLR',44,44,(SELECT ItemID FROM tbFinanceItem where ItemName = '(PNLR)Profit from Operations'))</v>
      </c>
    </row>
    <row r="50" spans="1:8">
      <c r="A50" t="str">
        <f>'F101 F21 PNL-New'!A50</f>
        <v>Exist</v>
      </c>
      <c r="B50" t="s">
        <v>2680</v>
      </c>
      <c r="C50">
        <f>'F101 F21 PNL-New'!C50</f>
        <v>45</v>
      </c>
      <c r="D50">
        <f>'F101 F21 PNL-New'!E50</f>
        <v>45</v>
      </c>
      <c r="E50" t="str">
        <f t="shared" si="1"/>
        <v>(SELECT ItemID FROM tbFinanceItem where ItemName = '(PNLR)Interest Income')</v>
      </c>
      <c r="F50" t="str">
        <f>'F101 F21 PNL-New'!H50</f>
        <v>(PNL)Interest Income</v>
      </c>
      <c r="G50" t="str">
        <f t="shared" si="3"/>
        <v>(PNLR)Interest Income</v>
      </c>
      <c r="H50" t="str">
        <f t="shared" si="2"/>
        <v>INSERT INTO tbFinanceItemSeq(Report,ItemSeqID,ItemSN,ItemID) VALUES('PNLR',45,45,(SELECT ItemID FROM tbFinanceItem where ItemName = '(PNLR)Interest Income'))</v>
      </c>
    </row>
    <row r="51" spans="1:8">
      <c r="A51" t="str">
        <f>'F101 F21 PNL-New'!A51</f>
        <v>Exist</v>
      </c>
      <c r="B51" t="s">
        <v>2680</v>
      </c>
      <c r="C51">
        <f>'F101 F21 PNL-New'!C51</f>
        <v>46</v>
      </c>
      <c r="D51">
        <f>'F101 F21 PNL-New'!E51</f>
        <v>46</v>
      </c>
      <c r="E51" t="str">
        <f t="shared" si="1"/>
        <v>(SELECT ItemID FROM tbFinanceItem where ItemName = '(PNLR)Interest Expense')</v>
      </c>
      <c r="F51" t="str">
        <f>'F101 F21 PNL-New'!H51</f>
        <v>(PNL)Interest Expense</v>
      </c>
      <c r="G51" t="str">
        <f t="shared" si="3"/>
        <v>(PNLR)Interest Expense</v>
      </c>
      <c r="H51" t="str">
        <f t="shared" si="2"/>
        <v>INSERT INTO tbFinanceItemSeq(Report,ItemSeqID,ItemSN,ItemID) VALUES('PNLR',46,46,(SELECT ItemID FROM tbFinanceItem where ItemName = '(PNLR)Interest Expense'))</v>
      </c>
    </row>
    <row r="52" spans="1:8">
      <c r="A52" t="str">
        <f>'F101 F21 PNL-New'!A52</f>
        <v>New</v>
      </c>
      <c r="B52" t="s">
        <v>2680</v>
      </c>
      <c r="C52">
        <f>'F101 F21 PNL-New'!C52</f>
        <v>47</v>
      </c>
      <c r="D52">
        <f>'F101 F21 PNL-New'!E52</f>
        <v>47</v>
      </c>
      <c r="E52" t="str">
        <f t="shared" si="1"/>
        <v>(SELECT ItemID FROM tbFinanceItem where ItemName = '(PNLR)Derivatives Gain/(Loss)')</v>
      </c>
      <c r="F52" t="str">
        <f>'F101 F21 PNL-New'!H52</f>
        <v>(PNL)Derivatives Gain/(Loss)</v>
      </c>
      <c r="G52" t="str">
        <f t="shared" si="3"/>
        <v>(PNLR)Derivatives Gain/(Loss)</v>
      </c>
      <c r="H52" t="str">
        <f t="shared" si="2"/>
        <v>INSERT INTO tbFinanceItemSeq(Report,ItemSeqID,ItemSN,ItemID) VALUES('PNLR',47,47,(SELECT ItemID FROM tbFinanceItem where ItemName = '(PNLR)Derivatives Gain/(Loss)'))</v>
      </c>
    </row>
    <row r="53" spans="1:8" s="2" customFormat="1">
      <c r="A53" s="2" t="str">
        <f>'F101 F21 PNL-New'!A53</f>
        <v>Remove</v>
      </c>
      <c r="B53" s="2" t="s">
        <v>2680</v>
      </c>
      <c r="C53" s="2">
        <f>'F101 F21 PNL-New'!C53</f>
        <v>47</v>
      </c>
      <c r="D53" s="2">
        <f>'F101 F21 PNL-New'!E53</f>
        <v>47</v>
      </c>
      <c r="E53" s="2" t="str">
        <f t="shared" si="1"/>
        <v>(SELECT ItemID FROM tbFinanceItem where ItemName = '(PNLR)Realised Forex Gain/(Loss)')</v>
      </c>
      <c r="F53" s="2" t="str">
        <f>'F101 F21 PNL-New'!H53</f>
        <v>(PNL)Realised Forex Gain/(Loss)</v>
      </c>
      <c r="G53" s="2" t="str">
        <f t="shared" si="3"/>
        <v>(PNLR)Realised Forex Gain/(Loss)</v>
      </c>
      <c r="H53" s="2" t="str">
        <f t="shared" si="2"/>
        <v/>
      </c>
    </row>
    <row r="54" spans="1:8" s="2" customFormat="1">
      <c r="A54" s="2" t="str">
        <f>'F101 F21 PNL-New'!A54</f>
        <v>Remove</v>
      </c>
      <c r="B54" s="2" t="s">
        <v>2680</v>
      </c>
      <c r="C54" s="2">
        <f>'F101 F21 PNL-New'!C54</f>
        <v>48</v>
      </c>
      <c r="D54" s="2">
        <f>'F101 F21 PNL-New'!E54</f>
        <v>48</v>
      </c>
      <c r="E54" s="2" t="str">
        <f t="shared" si="1"/>
        <v>(SELECT ItemID FROM tbFinanceItem where ItemName = '(PNLR)Unrealised Forex Gain/(Loss)')</v>
      </c>
      <c r="F54" s="2" t="str">
        <f>'F101 F21 PNL-New'!H54</f>
        <v>(PNL)Unrealised Forex Gain/(Loss)</v>
      </c>
      <c r="G54" s="2" t="str">
        <f t="shared" si="3"/>
        <v>(PNLR)Unrealised Forex Gain/(Loss)</v>
      </c>
      <c r="H54" s="2" t="str">
        <f t="shared" si="2"/>
        <v/>
      </c>
    </row>
    <row r="55" spans="1:8">
      <c r="A55" t="str">
        <f>'F101 F21 PNL-New'!A55</f>
        <v>New</v>
      </c>
      <c r="B55" t="s">
        <v>2680</v>
      </c>
      <c r="C55">
        <f>'F101 F21 PNL-New'!C55</f>
        <v>48</v>
      </c>
      <c r="D55">
        <f>'F101 F21 PNL-New'!E55</f>
        <v>48</v>
      </c>
      <c r="E55" t="str">
        <f t="shared" si="1"/>
        <v>(SELECT ItemID FROM tbFinanceItem where ItemName = '(PNLR)Forex Gain/(Loss)')</v>
      </c>
      <c r="F55" t="str">
        <f>'F101 F21 PNL-New'!H55</f>
        <v>(PNL)Forex Gain/(Loss)</v>
      </c>
      <c r="G55" t="str">
        <f t="shared" si="3"/>
        <v>(PNLR)Forex Gain/(Loss)</v>
      </c>
      <c r="H55" t="str">
        <f t="shared" si="2"/>
        <v>INSERT INTO tbFinanceItemSeq(Report,ItemSeqID,ItemSN,ItemID) VALUES('PNLR',48,48,(SELECT ItemID FROM tbFinanceItem where ItemName = '(PNLR)Forex Gain/(Loss)'))</v>
      </c>
    </row>
    <row r="56" spans="1:8">
      <c r="A56" t="str">
        <f>'F101 F21 PNL-New'!A56</f>
        <v>Exist</v>
      </c>
      <c r="B56" t="s">
        <v>2680</v>
      </c>
      <c r="C56">
        <f>'F101 F21 PNL-New'!C56</f>
        <v>49</v>
      </c>
      <c r="D56">
        <f>'F101 F21 PNL-New'!E56</f>
        <v>49</v>
      </c>
      <c r="E56" t="str">
        <f t="shared" si="1"/>
        <v>(SELECT ItemID FROM tbFinanceItem where ItemName = '(PNLR)Dividend Income')</v>
      </c>
      <c r="F56" t="str">
        <f>'F101 F21 PNL-New'!H56</f>
        <v>(PNL)Dividend Income</v>
      </c>
      <c r="G56" t="str">
        <f t="shared" si="3"/>
        <v>(PNLR)Dividend Income</v>
      </c>
      <c r="H56" t="str">
        <f t="shared" si="2"/>
        <v>INSERT INTO tbFinanceItemSeq(Report,ItemSeqID,ItemSN,ItemID) VALUES('PNLR',49,49,(SELECT ItemID FROM tbFinanceItem where ItemName = '(PNLR)Dividend Income'))</v>
      </c>
    </row>
    <row r="57" spans="1:8" s="2" customFormat="1">
      <c r="A57" s="2" t="str">
        <f>'F101 F21 PNL-New'!A57</f>
        <v>Remove</v>
      </c>
      <c r="B57" s="2" t="s">
        <v>2680</v>
      </c>
      <c r="C57" s="2">
        <f>'F101 F21 PNL-New'!C57</f>
        <v>50</v>
      </c>
      <c r="D57" s="2">
        <f>'F101 F21 PNL-New'!E57</f>
        <v>50</v>
      </c>
      <c r="E57" s="2" t="str">
        <f t="shared" si="1"/>
        <v>(SELECT ItemID FROM tbFinanceItem where ItemName = '(PNLR)Gain/(Loss) Disposal of FA')</v>
      </c>
      <c r="F57" s="2" t="str">
        <f>'F101 F21 PNL-New'!H57</f>
        <v>(PNL)Gain/(Loss) Disposal of FA</v>
      </c>
      <c r="G57" s="2" t="str">
        <f t="shared" si="3"/>
        <v>(PNLR)Gain/(Loss) Disposal of FA</v>
      </c>
      <c r="H57" s="2" t="str">
        <f t="shared" si="2"/>
        <v/>
      </c>
    </row>
    <row r="58" spans="1:8">
      <c r="A58" t="str">
        <f>'F101 F21 PNL-New'!A58</f>
        <v>Exist</v>
      </c>
      <c r="B58" t="s">
        <v>2680</v>
      </c>
      <c r="C58">
        <f>'F101 F21 PNL-New'!C58</f>
        <v>50</v>
      </c>
      <c r="D58">
        <f>'F101 F21 PNL-New'!E58</f>
        <v>50</v>
      </c>
      <c r="E58" t="str">
        <f t="shared" si="1"/>
        <v>(SELECT ItemID FROM tbFinanceItem where ItemName = '(PNLR)Other Non-Op Income/(Exp)')</v>
      </c>
      <c r="F58" t="str">
        <f>'F101 F21 PNL-New'!H58</f>
        <v>(PNL)Other Non-Op Income/(Exp)</v>
      </c>
      <c r="G58" t="str">
        <f t="shared" si="3"/>
        <v>(PNLR)Other Non-Op Income/(Exp)</v>
      </c>
      <c r="H58" t="str">
        <f t="shared" si="2"/>
        <v>INSERT INTO tbFinanceItemSeq(Report,ItemSeqID,ItemSN,ItemID) VALUES('PNLR',50,50,(SELECT ItemID FROM tbFinanceItem where ItemName = '(PNLR)Other Non-Op Income/(Exp)'))</v>
      </c>
    </row>
    <row r="59" spans="1:8">
      <c r="A59" t="str">
        <f>'F101 F21 PNL-New'!A59</f>
        <v>Exist</v>
      </c>
      <c r="B59" t="s">
        <v>2680</v>
      </c>
      <c r="C59">
        <f>'F101 F21 PNL-New'!C59</f>
        <v>51</v>
      </c>
      <c r="D59">
        <f>'F101 F21 PNL-New'!E59</f>
        <v>51</v>
      </c>
      <c r="E59" t="str">
        <f t="shared" si="1"/>
        <v>(SELECT ItemID FROM tbFinanceItem where ItemName = '(PNLR)Total Non-Op Income/(Exp)')</v>
      </c>
      <c r="F59" t="str">
        <f>'F101 F21 PNL-New'!H59</f>
        <v>(PNL)Total Non-Op Income/(Exp)</v>
      </c>
      <c r="G59" t="str">
        <f t="shared" si="3"/>
        <v>(PNLR)Total Non-Op Income/(Exp)</v>
      </c>
      <c r="H59" t="str">
        <f t="shared" si="2"/>
        <v>INSERT INTO tbFinanceItemSeq(Report,ItemSeqID,ItemSN,ItemID) VALUES('PNLR',51,51,(SELECT ItemID FROM tbFinanceItem where ItemName = '(PNLR)Total Non-Op Income/(Exp)'))</v>
      </c>
    </row>
    <row r="60" spans="1:8">
      <c r="A60" t="str">
        <f>'F101 F21 PNL-New'!A60</f>
        <v>Exist</v>
      </c>
      <c r="B60" t="s">
        <v>2680</v>
      </c>
      <c r="C60">
        <f>'F101 F21 PNL-New'!C60</f>
        <v>52</v>
      </c>
      <c r="D60">
        <f>'F101 F21 PNL-New'!E60</f>
        <v>52</v>
      </c>
      <c r="E60" t="str">
        <f t="shared" si="1"/>
        <v>(SELECT ItemID FROM tbFinanceItem where ItemName = '(PNLR)Profit Before Taxation')</v>
      </c>
      <c r="F60" t="str">
        <f>'F101 F21 PNL-New'!H60</f>
        <v>(PNL)Profit Before Taxation</v>
      </c>
      <c r="G60" t="str">
        <f t="shared" si="3"/>
        <v>(PNLR)Profit Before Taxation</v>
      </c>
      <c r="H60" t="str">
        <f t="shared" si="2"/>
        <v>INSERT INTO tbFinanceItemSeq(Report,ItemSeqID,ItemSN,ItemID) VALUES('PNLR',52,52,(SELECT ItemID FROM tbFinanceItem where ItemName = '(PNLR)Profit Before Taxation'))</v>
      </c>
    </row>
    <row r="61" spans="1:8">
      <c r="A61" t="str">
        <f>'F101 F21 PNL-New'!A61</f>
        <v>Exist</v>
      </c>
      <c r="B61" t="s">
        <v>2680</v>
      </c>
      <c r="C61">
        <f>'F101 F21 PNL-New'!C61</f>
        <v>53</v>
      </c>
      <c r="D61">
        <f>'F101 F21 PNL-New'!E61</f>
        <v>53</v>
      </c>
      <c r="E61" t="str">
        <f t="shared" si="1"/>
        <v>(SELECT ItemID FROM tbFinanceItem where ItemName = '(PNLR)Less: Taxation')</v>
      </c>
      <c r="F61" t="str">
        <f>'F101 F21 PNL-New'!H61</f>
        <v>(PNL)Less: Taxation</v>
      </c>
      <c r="G61" t="str">
        <f t="shared" si="3"/>
        <v>(PNLR)Less: Taxation</v>
      </c>
      <c r="H61" t="str">
        <f t="shared" si="2"/>
        <v>INSERT INTO tbFinanceItemSeq(Report,ItemSeqID,ItemSN,ItemID) VALUES('PNLR',53,53,(SELECT ItemID FROM tbFinanceItem where ItemName = '(PNLR)Less: Taxation'))</v>
      </c>
    </row>
    <row r="62" spans="1:8">
      <c r="A62" t="str">
        <f>'F101 F21 PNL-New'!A62</f>
        <v>Exist</v>
      </c>
      <c r="B62" t="s">
        <v>2680</v>
      </c>
      <c r="C62">
        <f>'F101 F21 PNL-New'!C62</f>
        <v>54</v>
      </c>
      <c r="D62">
        <f>'F101 F21 PNL-New'!E62</f>
        <v>54</v>
      </c>
      <c r="E62" t="str">
        <f t="shared" si="1"/>
        <v>(SELECT ItemID FROM tbFinanceItem where ItemName = '(PNLR)Profit After Taxation')</v>
      </c>
      <c r="F62" t="str">
        <f>'F101 F21 PNL-New'!H62</f>
        <v>(PNL)Profit After Taxation</v>
      </c>
      <c r="G62" t="str">
        <f t="shared" si="3"/>
        <v>(PNLR)Profit After Taxation</v>
      </c>
      <c r="H62" t="str">
        <f t="shared" si="2"/>
        <v>INSERT INTO tbFinanceItemSeq(Report,ItemSeqID,ItemSN,ItemID) VALUES('PNLR',54,54,(SELECT ItemID FROM tbFinanceItem where ItemName = '(PNLR)Profit After Taxation'))</v>
      </c>
    </row>
    <row r="63" spans="1:8">
      <c r="A63" t="str">
        <f>'F101 F21 PNL-New'!A63</f>
        <v>Exist</v>
      </c>
      <c r="B63" t="s">
        <v>2680</v>
      </c>
      <c r="C63">
        <f>'F101 F21 PNL-New'!C63</f>
        <v>55</v>
      </c>
      <c r="D63">
        <f>'F101 F21 PNL-New'!E63</f>
        <v>55</v>
      </c>
      <c r="E63" t="str">
        <f t="shared" si="1"/>
        <v>(SELECT ItemID FROM tbFinanceItem where ItemName = '(PNLR)Dividend Expenses')</v>
      </c>
      <c r="F63" t="str">
        <f>'F101 F21 PNL-New'!H63</f>
        <v>(PNL)Dividend Expenses</v>
      </c>
      <c r="G63" t="str">
        <f t="shared" si="3"/>
        <v>(PNLR)Dividend Expenses</v>
      </c>
      <c r="H63" t="str">
        <f t="shared" si="2"/>
        <v>INSERT INTO tbFinanceItemSeq(Report,ItemSeqID,ItemSN,ItemID) VALUES('PNLR',55,55,(SELECT ItemID FROM tbFinanceItem where ItemName = '(PNLR)Dividend Expenses'))</v>
      </c>
    </row>
    <row r="64" spans="1:8">
      <c r="A64" t="str">
        <f>'F101 F21 PNL-New'!A64</f>
        <v>Exist</v>
      </c>
      <c r="B64" t="s">
        <v>2680</v>
      </c>
      <c r="C64">
        <f>'F101 F21 PNL-New'!C64</f>
        <v>56</v>
      </c>
      <c r="D64">
        <f>'F101 F21 PNL-New'!E64</f>
        <v>0</v>
      </c>
      <c r="E64" t="str">
        <f t="shared" si="1"/>
        <v>(SELECT ItemID FROM tbFinanceItem where ItemName = 'PPNLRormance Indicators')</v>
      </c>
      <c r="F64" t="str">
        <f>'F101 F21 PNL-New'!H64</f>
        <v>Performance Indicators</v>
      </c>
      <c r="G64" t="str">
        <f t="shared" si="3"/>
        <v>PPNLRormance Indicators</v>
      </c>
      <c r="H64" t="str">
        <f t="shared" si="2"/>
        <v>INSERT INTO tbFinanceItemSeq(Report,ItemSeqID,ItemSN,ItemID) VALUES('PNLR',56,0,(SELECT ItemID FROM tbFinanceItem where ItemName = 'PPNLRormance Indicators'))</v>
      </c>
    </row>
    <row r="65" spans="1:8">
      <c r="A65" t="str">
        <f>'F101 F21 PNL-New'!A65</f>
        <v>Exist</v>
      </c>
      <c r="B65" t="s">
        <v>2680</v>
      </c>
      <c r="C65">
        <f>'F101 F21 PNL-New'!C65</f>
        <v>57</v>
      </c>
      <c r="D65">
        <f>'F101 F21 PNL-New'!E65</f>
        <v>1</v>
      </c>
      <c r="E65" t="str">
        <f t="shared" si="1"/>
        <v>(SELECT ItemID FROM tbFinanceItem where ItemName = 'GPNLRs Profits Margin %')</v>
      </c>
      <c r="F65" t="str">
        <f>'F101 F21 PNL-New'!H65</f>
        <v>Gross Profits Margin %</v>
      </c>
      <c r="G65" t="str">
        <f t="shared" si="3"/>
        <v>GPNLRs Profits Margin %</v>
      </c>
      <c r="H65" t="str">
        <f t="shared" si="2"/>
        <v>INSERT INTO tbFinanceItemSeq(Report,ItemSeqID,ItemSN,ItemID) VALUES('PNLR',57,1,(SELECT ItemID FROM tbFinanceItem where ItemName = 'GPNLRs Profits Margin %'))</v>
      </c>
    </row>
    <row r="66" spans="1:8">
      <c r="A66" t="str">
        <f>'F101 F21 PNL-New'!A66</f>
        <v>Exist</v>
      </c>
      <c r="B66" t="s">
        <v>2680</v>
      </c>
      <c r="C66">
        <f>'F101 F21 PNL-New'!C66</f>
        <v>58</v>
      </c>
      <c r="D66">
        <f>'F101 F21 PNL-New'!E66</f>
        <v>2</v>
      </c>
      <c r="E66" t="str">
        <f t="shared" si="1"/>
        <v>(SELECT ItemID FROM tbFinanceItem where ItemName = ' PNLRxternal Sales GP %')</v>
      </c>
      <c r="F66" t="str">
        <f>'F101 F21 PNL-New'!H66</f>
        <v xml:space="preserve"> - External Sales GP %</v>
      </c>
      <c r="G66" t="str">
        <f t="shared" ref="G66:G73" si="4">REPLACE(F66,2,3,B66)</f>
        <v xml:space="preserve"> PNLRxternal Sales GP %</v>
      </c>
      <c r="H66" t="str">
        <f t="shared" si="2"/>
        <v>INSERT INTO tbFinanceItemSeq(Report,ItemSeqID,ItemSN,ItemID) VALUES('PNLR',58,2,(SELECT ItemID FROM tbFinanceItem where ItemName = ' PNLRxternal Sales GP %'))</v>
      </c>
    </row>
    <row r="67" spans="1:8">
      <c r="A67" t="str">
        <f>'F101 F21 PNL-New'!A67</f>
        <v>Exist</v>
      </c>
      <c r="B67" t="s">
        <v>2680</v>
      </c>
      <c r="C67">
        <f>'F101 F21 PNL-New'!C67</f>
        <v>59</v>
      </c>
      <c r="D67">
        <f>'F101 F21 PNL-New'!E67</f>
        <v>3</v>
      </c>
      <c r="E67" t="str">
        <f t="shared" ref="E67:E73" si="5">CONCATENATE("(SELECT ItemID FROM tbFinanceItem where ItemName = '",G67,"')")</f>
        <v>(SELECT ItemID FROM tbFinanceItem where ItemName = ' PNLRnterco Sales GP %')</v>
      </c>
      <c r="F67" t="str">
        <f>'F101 F21 PNL-New'!H67</f>
        <v xml:space="preserve"> - Interco Sales GP %</v>
      </c>
      <c r="G67" t="str">
        <f t="shared" si="4"/>
        <v xml:space="preserve"> PNLRnterco Sales GP %</v>
      </c>
      <c r="H67" t="str">
        <f t="shared" ref="H67:H73" si="6">IF(A67&lt;&gt;"Remove",CONCATENATE("INSERT INTO tbFinanceItemSeq(Report,ItemSeqID,ItemSN,ItemID) VALUES('",B67,"',",C67,",",D67,",",E67,")"),"")</f>
        <v>INSERT INTO tbFinanceItemSeq(Report,ItemSeqID,ItemSN,ItemID) VALUES('PNLR',59,3,(SELECT ItemID FROM tbFinanceItem where ItemName = ' PNLRnterco Sales GP %'))</v>
      </c>
    </row>
    <row r="68" spans="1:8">
      <c r="A68" t="str">
        <f>'F101 F21 PNL-New'!A68</f>
        <v>Exist</v>
      </c>
      <c r="B68" t="s">
        <v>2680</v>
      </c>
      <c r="C68">
        <f>'F101 F21 PNL-New'!C68</f>
        <v>60</v>
      </c>
      <c r="D68">
        <f>'F101 F21 PNL-New'!E68</f>
        <v>4</v>
      </c>
      <c r="E68" t="str">
        <f t="shared" si="5"/>
        <v>(SELECT ItemID FROM tbFinanceItem where ItemName = 'SPNLRing &amp; Dist Margin %')</v>
      </c>
      <c r="F68" t="str">
        <f>'F101 F21 PNL-New'!H68</f>
        <v>Selling &amp; Dist Margin %</v>
      </c>
      <c r="G68" t="str">
        <f t="shared" si="4"/>
        <v>SPNLRing &amp; Dist Margin %</v>
      </c>
      <c r="H68" t="str">
        <f t="shared" si="6"/>
        <v>INSERT INTO tbFinanceItemSeq(Report,ItemSeqID,ItemSN,ItemID) VALUES('PNLR',60,4,(SELECT ItemID FROM tbFinanceItem where ItemName = 'SPNLRing &amp; Dist Margin %'))</v>
      </c>
    </row>
    <row r="69" spans="1:8">
      <c r="A69" t="str">
        <f>'F101 F21 PNL-New'!A69</f>
        <v>Remove</v>
      </c>
      <c r="B69" t="s">
        <v>2680</v>
      </c>
      <c r="C69">
        <f>'F101 F21 PNL-New'!C69</f>
        <v>61</v>
      </c>
      <c r="D69">
        <f>'F101 F21 PNL-New'!E69</f>
        <v>5</v>
      </c>
      <c r="E69" t="str">
        <f t="shared" si="5"/>
        <v>(SELECT ItemID FROM tbFinanceItem where ItemName = 'APNLRMargin Direct %')</v>
      </c>
      <c r="F69" t="str">
        <f>'F101 F21 PNL-New'!H69</f>
        <v>A&amp;G Margin Direct %</v>
      </c>
      <c r="G69" t="str">
        <f t="shared" si="4"/>
        <v>APNLRMargin Direct %</v>
      </c>
      <c r="H69" t="str">
        <f t="shared" si="6"/>
        <v/>
      </c>
    </row>
    <row r="70" spans="1:8">
      <c r="A70" t="str">
        <f>'F101 F21 PNL-New'!A70</f>
        <v>Exist</v>
      </c>
      <c r="B70" t="s">
        <v>2680</v>
      </c>
      <c r="C70">
        <f>'F101 F21 PNL-New'!C70</f>
        <v>61</v>
      </c>
      <c r="D70">
        <f>'F101 F21 PNL-New'!E70</f>
        <v>5</v>
      </c>
      <c r="E70" t="str">
        <f t="shared" si="5"/>
        <v>(SELECT ItemID FROM tbFinanceItem where ItemName = 'APNLRMargin Total %')</v>
      </c>
      <c r="F70" t="str">
        <f>'F101 F21 PNL-New'!H70</f>
        <v>A&amp;G Margin Total %</v>
      </c>
      <c r="G70" t="str">
        <f t="shared" si="4"/>
        <v>APNLRMargin Total %</v>
      </c>
      <c r="H70" t="str">
        <f t="shared" si="6"/>
        <v>INSERT INTO tbFinanceItemSeq(Report,ItemSeqID,ItemSN,ItemID) VALUES('PNLR',61,5,(SELECT ItemID FROM tbFinanceItem where ItemName = 'APNLRMargin Total %'))</v>
      </c>
    </row>
    <row r="71" spans="1:8">
      <c r="A71" t="str">
        <f>'F101 F21 PNL-New'!A71</f>
        <v>Exist</v>
      </c>
      <c r="B71" t="s">
        <v>2680</v>
      </c>
      <c r="C71">
        <f>'F101 F21 PNL-New'!C71</f>
        <v>62</v>
      </c>
      <c r="D71">
        <f>'F101 F21 PNL-New'!E71</f>
        <v>6</v>
      </c>
      <c r="E71" t="str">
        <f t="shared" si="5"/>
        <v>(SELECT ItemID FROM tbFinanceItem where ItemName = 'OPNLRating Profit Margin %')</v>
      </c>
      <c r="F71" t="str">
        <f>'F101 F21 PNL-New'!H71</f>
        <v>Operating Profit Margin %</v>
      </c>
      <c r="G71" t="str">
        <f t="shared" si="4"/>
        <v>OPNLRating Profit Margin %</v>
      </c>
      <c r="H71" t="str">
        <f t="shared" si="6"/>
        <v>INSERT INTO tbFinanceItemSeq(Report,ItemSeqID,ItemSN,ItemID) VALUES('PNLR',62,6,(SELECT ItemID FROM tbFinanceItem where ItemName = 'OPNLRating Profit Margin %'))</v>
      </c>
    </row>
    <row r="72" spans="1:8">
      <c r="A72" t="str">
        <f>'F101 F21 PNL-New'!A72</f>
        <v>Exist</v>
      </c>
      <c r="B72" t="s">
        <v>2680</v>
      </c>
      <c r="C72">
        <f>'F101 F21 PNL-New'!C72</f>
        <v>63</v>
      </c>
      <c r="D72">
        <f>'F101 F21 PNL-New'!E72</f>
        <v>7</v>
      </c>
      <c r="E72" t="str">
        <f t="shared" si="5"/>
        <v>(SELECT ItemID FROM tbFinanceItem where ItemName = 'PPNLRit Before Taxation %')</v>
      </c>
      <c r="F72" t="str">
        <f>'F101 F21 PNL-New'!H72</f>
        <v>Profit Before Taxation %</v>
      </c>
      <c r="G72" t="str">
        <f t="shared" si="4"/>
        <v>PPNLRit Before Taxation %</v>
      </c>
      <c r="H72" t="str">
        <f t="shared" si="6"/>
        <v>INSERT INTO tbFinanceItemSeq(Report,ItemSeqID,ItemSN,ItemID) VALUES('PNLR',63,7,(SELECT ItemID FROM tbFinanceItem where ItemName = 'PPNLRit Before Taxation %'))</v>
      </c>
    </row>
    <row r="73" spans="1:8">
      <c r="A73" t="str">
        <f>'F101 F21 PNL-New'!A73</f>
        <v>Exist</v>
      </c>
      <c r="B73" t="s">
        <v>2680</v>
      </c>
      <c r="C73">
        <f>'F101 F21 PNL-New'!C73</f>
        <v>64</v>
      </c>
      <c r="D73">
        <f>'F101 F21 PNL-New'!E73</f>
        <v>8</v>
      </c>
      <c r="E73" t="str">
        <f t="shared" si="5"/>
        <v>(SELECT ItemID FROM tbFinanceItem where ItemName = 'PPNLRit After Taxation %')</v>
      </c>
      <c r="F73" t="str">
        <f>'F101 F21 PNL-New'!H73</f>
        <v>Profit After Taxation %</v>
      </c>
      <c r="G73" t="str">
        <f t="shared" si="4"/>
        <v>PPNLRit After Taxation %</v>
      </c>
      <c r="H73" t="str">
        <f t="shared" si="6"/>
        <v>INSERT INTO tbFinanceItemSeq(Report,ItemSeqID,ItemSN,ItemID) VALUES('PNLR',64,8,(SELECT ItemID FROM tbFinanceItem where ItemName = 'PPNLRit After Taxation %'))</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18" sqref="A18:A21"/>
    </sheetView>
  </sheetViews>
  <sheetFormatPr defaultColWidth="8.85546875" defaultRowHeight="15"/>
  <sheetData>
    <row r="1" spans="1:1">
      <c r="A1" t="s">
        <v>81</v>
      </c>
    </row>
    <row r="3" spans="1:1">
      <c r="A3" t="s">
        <v>82</v>
      </c>
    </row>
    <row r="4" spans="1:1">
      <c r="A4" t="s">
        <v>83</v>
      </c>
    </row>
    <row r="5" spans="1:1">
      <c r="A5" t="s">
        <v>84</v>
      </c>
    </row>
    <row r="8" spans="1:1">
      <c r="A8" t="s">
        <v>77</v>
      </c>
    </row>
    <row r="9" spans="1:1">
      <c r="A9" t="s">
        <v>78</v>
      </c>
    </row>
    <row r="10" spans="1:1">
      <c r="A10" t="s">
        <v>80</v>
      </c>
    </row>
    <row r="11" spans="1:1">
      <c r="A11" t="s">
        <v>79</v>
      </c>
    </row>
    <row r="13" spans="1:1">
      <c r="A13" t="s">
        <v>2356</v>
      </c>
    </row>
    <row r="14" spans="1:1">
      <c r="A14" t="s">
        <v>2358</v>
      </c>
    </row>
    <row r="18" spans="1:1">
      <c r="A18" t="s">
        <v>2745</v>
      </c>
    </row>
    <row r="19" spans="1:1">
      <c r="A19" t="s">
        <v>2752</v>
      </c>
    </row>
    <row r="20" spans="1:1">
      <c r="A20" t="s">
        <v>2753</v>
      </c>
    </row>
    <row r="21" spans="1:1">
      <c r="A21" t="s">
        <v>2751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selection activeCell="F39" sqref="F39"/>
    </sheetView>
  </sheetViews>
  <sheetFormatPr defaultColWidth="8.85546875" defaultRowHeight="15"/>
  <cols>
    <col min="1" max="1" width="16.140625" customWidth="1"/>
    <col min="2" max="2" width="10.28515625" bestFit="1" customWidth="1"/>
    <col min="3" max="3" width="7.42578125" bestFit="1" customWidth="1"/>
    <col min="5" max="5" width="29.85546875" bestFit="1" customWidth="1"/>
    <col min="6" max="6" width="83.7109375" bestFit="1" customWidth="1"/>
  </cols>
  <sheetData>
    <row r="1" spans="1:6">
      <c r="A1" s="4" t="s">
        <v>65</v>
      </c>
      <c r="B1" s="4" t="s">
        <v>66</v>
      </c>
      <c r="C1" s="4" t="s">
        <v>67</v>
      </c>
      <c r="D1" s="4" t="s">
        <v>68</v>
      </c>
      <c r="E1" s="4" t="s">
        <v>71</v>
      </c>
      <c r="F1" s="4" t="s">
        <v>72</v>
      </c>
    </row>
    <row r="2" spans="1:6">
      <c r="A2" t="s">
        <v>85</v>
      </c>
      <c r="B2">
        <v>1</v>
      </c>
      <c r="C2">
        <v>1</v>
      </c>
      <c r="D2">
        <v>1081</v>
      </c>
      <c r="E2" t="s">
        <v>1</v>
      </c>
      <c r="F2" t="str">
        <f>CONCATENATE("INSERT INTO tbFinanceItemSeq(Report,ItemSeqID,ItemSN,ItemID) VALUES('",A2,"',",B2,",",C2,",",D2,")")</f>
        <v>INSERT INTO tbFinanceItemSeq(Report,ItemSeqID,ItemSN,ItemID) VALUES('PNLS',1,1,1081)</v>
      </c>
    </row>
    <row r="3" spans="1:6">
      <c r="A3" t="s">
        <v>85</v>
      </c>
      <c r="B3">
        <v>2</v>
      </c>
      <c r="C3">
        <v>2</v>
      </c>
      <c r="D3">
        <v>1082</v>
      </c>
      <c r="E3" t="s">
        <v>2</v>
      </c>
      <c r="F3" t="str">
        <f t="shared" ref="F3:F38" si="0">CONCATENATE("INSERT INTO tbFinanceItemSeq(Report,ItemSeqID,ItemSN,ItemID) VALUES('",A3,"',",B3,",",C3,",",D3,")")</f>
        <v>INSERT INTO tbFinanceItemSeq(Report,ItemSeqID,ItemSN,ItemID) VALUES('PNLS',2,2,1082)</v>
      </c>
    </row>
    <row r="4" spans="1:6">
      <c r="A4" t="s">
        <v>85</v>
      </c>
      <c r="B4">
        <v>3</v>
      </c>
      <c r="C4">
        <v>3</v>
      </c>
      <c r="D4">
        <v>1083</v>
      </c>
      <c r="E4" t="s">
        <v>3</v>
      </c>
      <c r="F4" t="str">
        <f t="shared" si="0"/>
        <v>INSERT INTO tbFinanceItemSeq(Report,ItemSeqID,ItemSN,ItemID) VALUES('PNLS',3,3,1083)</v>
      </c>
    </row>
    <row r="5" spans="1:6">
      <c r="A5" t="s">
        <v>85</v>
      </c>
      <c r="B5">
        <v>4</v>
      </c>
      <c r="C5">
        <v>4</v>
      </c>
      <c r="D5">
        <v>1084</v>
      </c>
      <c r="E5" t="s">
        <v>4</v>
      </c>
      <c r="F5" t="str">
        <f t="shared" si="0"/>
        <v>INSERT INTO tbFinanceItemSeq(Report,ItemSeqID,ItemSN,ItemID) VALUES('PNLS',4,4,1084)</v>
      </c>
    </row>
    <row r="6" spans="1:6">
      <c r="A6" t="s">
        <v>85</v>
      </c>
      <c r="B6">
        <v>5</v>
      </c>
      <c r="C6">
        <v>5</v>
      </c>
      <c r="D6">
        <v>1085</v>
      </c>
      <c r="E6" t="s">
        <v>5</v>
      </c>
      <c r="F6" t="str">
        <f t="shared" si="0"/>
        <v>INSERT INTO tbFinanceItemSeq(Report,ItemSeqID,ItemSN,ItemID) VALUES('PNLS',5,5,1085)</v>
      </c>
    </row>
    <row r="7" spans="1:6">
      <c r="A7" t="s">
        <v>85</v>
      </c>
      <c r="B7">
        <v>6</v>
      </c>
      <c r="C7">
        <v>6</v>
      </c>
      <c r="D7">
        <v>1086</v>
      </c>
      <c r="E7" t="s">
        <v>6</v>
      </c>
      <c r="F7" t="str">
        <f t="shared" si="0"/>
        <v>INSERT INTO tbFinanceItemSeq(Report,ItemSeqID,ItemSN,ItemID) VALUES('PNLS',6,6,1086)</v>
      </c>
    </row>
    <row r="8" spans="1:6">
      <c r="A8" t="s">
        <v>85</v>
      </c>
      <c r="B8">
        <v>7</v>
      </c>
      <c r="C8">
        <v>7</v>
      </c>
      <c r="D8">
        <v>1087</v>
      </c>
      <c r="E8" t="s">
        <v>7</v>
      </c>
      <c r="F8" t="str">
        <f t="shared" si="0"/>
        <v>INSERT INTO tbFinanceItemSeq(Report,ItemSeqID,ItemSN,ItemID) VALUES('PNLS',7,7,1087)</v>
      </c>
    </row>
    <row r="9" spans="1:6">
      <c r="A9" t="s">
        <v>85</v>
      </c>
      <c r="B9">
        <v>8</v>
      </c>
      <c r="C9">
        <v>8</v>
      </c>
      <c r="D9">
        <v>1088</v>
      </c>
      <c r="E9" t="s">
        <v>8</v>
      </c>
      <c r="F9" t="str">
        <f t="shared" si="0"/>
        <v>INSERT INTO tbFinanceItemSeq(Report,ItemSeqID,ItemSN,ItemID) VALUES('PNLS',8,8,1088)</v>
      </c>
    </row>
    <row r="10" spans="1:6">
      <c r="A10" t="s">
        <v>85</v>
      </c>
      <c r="B10">
        <v>9</v>
      </c>
      <c r="C10">
        <v>9</v>
      </c>
      <c r="D10">
        <v>1089</v>
      </c>
      <c r="E10" t="s">
        <v>9</v>
      </c>
      <c r="F10" t="str">
        <f t="shared" si="0"/>
        <v>INSERT INTO tbFinanceItemSeq(Report,ItemSeqID,ItemSN,ItemID) VALUES('PNLS',9,9,1089)</v>
      </c>
    </row>
    <row r="11" spans="1:6">
      <c r="A11" t="s">
        <v>85</v>
      </c>
      <c r="B11">
        <v>10</v>
      </c>
      <c r="C11">
        <v>10</v>
      </c>
      <c r="D11">
        <v>1090</v>
      </c>
      <c r="E11" t="s">
        <v>10</v>
      </c>
      <c r="F11" t="str">
        <f t="shared" si="0"/>
        <v>INSERT INTO tbFinanceItemSeq(Report,ItemSeqID,ItemSN,ItemID) VALUES('PNLS',10,10,1090)</v>
      </c>
    </row>
    <row r="12" spans="1:6">
      <c r="A12" t="s">
        <v>85</v>
      </c>
      <c r="B12">
        <v>11</v>
      </c>
      <c r="C12">
        <v>11</v>
      </c>
      <c r="D12">
        <v>1091</v>
      </c>
      <c r="E12" t="s">
        <v>11</v>
      </c>
      <c r="F12" t="str">
        <f t="shared" si="0"/>
        <v>INSERT INTO tbFinanceItemSeq(Report,ItemSeqID,ItemSN,ItemID) VALUES('PNLS',11,11,1091)</v>
      </c>
    </row>
    <row r="13" spans="1:6">
      <c r="A13" t="s">
        <v>85</v>
      </c>
      <c r="B13">
        <v>12</v>
      </c>
      <c r="C13">
        <v>12</v>
      </c>
      <c r="D13">
        <v>1102</v>
      </c>
      <c r="E13" t="s">
        <v>22</v>
      </c>
      <c r="F13" t="str">
        <f t="shared" si="0"/>
        <v>INSERT INTO tbFinanceItemSeq(Report,ItemSeqID,ItemSN,ItemID) VALUES('PNLS',12,12,1102)</v>
      </c>
    </row>
    <row r="14" spans="1:6">
      <c r="A14" t="s">
        <v>85</v>
      </c>
      <c r="B14">
        <v>13</v>
      </c>
      <c r="C14">
        <v>13</v>
      </c>
      <c r="D14">
        <v>1112</v>
      </c>
      <c r="E14" t="s">
        <v>33</v>
      </c>
      <c r="F14" t="str">
        <f t="shared" si="0"/>
        <v>INSERT INTO tbFinanceItemSeq(Report,ItemSeqID,ItemSN,ItemID) VALUES('PNLS',13,13,1112)</v>
      </c>
    </row>
    <row r="15" spans="1:6">
      <c r="A15" t="s">
        <v>85</v>
      </c>
      <c r="B15">
        <v>14</v>
      </c>
      <c r="C15">
        <v>14</v>
      </c>
      <c r="D15">
        <v>1118</v>
      </c>
      <c r="E15" t="s">
        <v>40</v>
      </c>
      <c r="F15" t="str">
        <f t="shared" si="0"/>
        <v>INSERT INTO tbFinanceItemSeq(Report,ItemSeqID,ItemSN,ItemID) VALUES('PNLS',14,14,1118)</v>
      </c>
    </row>
    <row r="16" spans="1:6">
      <c r="A16" t="s">
        <v>85</v>
      </c>
      <c r="B16">
        <v>15</v>
      </c>
      <c r="C16">
        <v>15</v>
      </c>
      <c r="D16">
        <v>1120</v>
      </c>
      <c r="E16" t="s">
        <v>42</v>
      </c>
      <c r="F16" t="str">
        <f t="shared" si="0"/>
        <v>INSERT INTO tbFinanceItemSeq(Report,ItemSeqID,ItemSN,ItemID) VALUES('PNLS',15,15,1120)</v>
      </c>
    </row>
    <row r="17" spans="1:6">
      <c r="A17" t="s">
        <v>85</v>
      </c>
      <c r="B17">
        <v>16</v>
      </c>
      <c r="C17">
        <v>16</v>
      </c>
      <c r="D17">
        <v>1121</v>
      </c>
      <c r="E17" t="s">
        <v>43</v>
      </c>
      <c r="F17" t="str">
        <f t="shared" si="0"/>
        <v>INSERT INTO tbFinanceItemSeq(Report,ItemSeqID,ItemSN,ItemID) VALUES('PNLS',16,16,1121)</v>
      </c>
    </row>
    <row r="18" spans="1:6">
      <c r="A18" t="s">
        <v>85</v>
      </c>
      <c r="B18">
        <v>17</v>
      </c>
      <c r="C18">
        <v>17</v>
      </c>
      <c r="D18">
        <v>1122</v>
      </c>
      <c r="E18" t="s">
        <v>44</v>
      </c>
      <c r="F18" t="str">
        <f t="shared" si="0"/>
        <v>INSERT INTO tbFinanceItemSeq(Report,ItemSeqID,ItemSN,ItemID) VALUES('PNLS',17,17,1122)</v>
      </c>
    </row>
    <row r="19" spans="1:6">
      <c r="A19" t="s">
        <v>85</v>
      </c>
      <c r="B19">
        <v>18</v>
      </c>
      <c r="C19">
        <v>18</v>
      </c>
      <c r="D19">
        <v>1123</v>
      </c>
      <c r="E19" t="s">
        <v>45</v>
      </c>
      <c r="F19" t="str">
        <f t="shared" si="0"/>
        <v>INSERT INTO tbFinanceItemSeq(Report,ItemSeqID,ItemSN,ItemID) VALUES('PNLS',18,18,1123)</v>
      </c>
    </row>
    <row r="20" spans="1:6">
      <c r="A20" t="s">
        <v>85</v>
      </c>
      <c r="B20">
        <v>19</v>
      </c>
      <c r="C20">
        <v>19</v>
      </c>
      <c r="D20">
        <v>1124</v>
      </c>
      <c r="E20" t="s">
        <v>46</v>
      </c>
      <c r="F20" t="str">
        <f t="shared" si="0"/>
        <v>INSERT INTO tbFinanceItemSeq(Report,ItemSeqID,ItemSN,ItemID) VALUES('PNLS',19,19,1124)</v>
      </c>
    </row>
    <row r="21" spans="1:6">
      <c r="A21" t="s">
        <v>85</v>
      </c>
      <c r="B21">
        <v>20</v>
      </c>
      <c r="C21">
        <v>20</v>
      </c>
      <c r="D21">
        <v>1125</v>
      </c>
      <c r="E21" t="s">
        <v>47</v>
      </c>
      <c r="F21" t="str">
        <f t="shared" si="0"/>
        <v>INSERT INTO tbFinanceItemSeq(Report,ItemSeqID,ItemSN,ItemID) VALUES('PNLS',20,20,1125)</v>
      </c>
    </row>
    <row r="22" spans="1:6">
      <c r="A22" t="s">
        <v>85</v>
      </c>
      <c r="B22">
        <v>21</v>
      </c>
      <c r="C22">
        <v>21</v>
      </c>
      <c r="D22">
        <v>1126</v>
      </c>
      <c r="E22" t="s">
        <v>48</v>
      </c>
      <c r="F22" t="str">
        <f t="shared" si="0"/>
        <v>INSERT INTO tbFinanceItemSeq(Report,ItemSeqID,ItemSN,ItemID) VALUES('PNLS',21,21,1126)</v>
      </c>
    </row>
    <row r="23" spans="1:6">
      <c r="A23" t="s">
        <v>85</v>
      </c>
      <c r="B23">
        <v>22</v>
      </c>
      <c r="C23">
        <v>22</v>
      </c>
      <c r="D23">
        <v>1127</v>
      </c>
      <c r="E23" t="s">
        <v>49</v>
      </c>
      <c r="F23" t="str">
        <f t="shared" si="0"/>
        <v>INSERT INTO tbFinanceItemSeq(Report,ItemSeqID,ItemSN,ItemID) VALUES('PNLS',22,22,1127)</v>
      </c>
    </row>
    <row r="24" spans="1:6">
      <c r="A24" t="s">
        <v>85</v>
      </c>
      <c r="B24">
        <v>23</v>
      </c>
      <c r="C24">
        <v>23</v>
      </c>
      <c r="D24">
        <v>1128</v>
      </c>
      <c r="E24" t="s">
        <v>50</v>
      </c>
      <c r="F24" t="str">
        <f t="shared" si="0"/>
        <v>INSERT INTO tbFinanceItemSeq(Report,ItemSeqID,ItemSN,ItemID) VALUES('PNLS',23,23,1128)</v>
      </c>
    </row>
    <row r="25" spans="1:6">
      <c r="A25" t="s">
        <v>85</v>
      </c>
      <c r="B25">
        <v>24</v>
      </c>
      <c r="C25">
        <v>24</v>
      </c>
      <c r="D25">
        <v>1129</v>
      </c>
      <c r="E25" t="s">
        <v>51</v>
      </c>
      <c r="F25" t="str">
        <f t="shared" si="0"/>
        <v>INSERT INTO tbFinanceItemSeq(Report,ItemSeqID,ItemSN,ItemID) VALUES('PNLS',24,24,1129)</v>
      </c>
    </row>
    <row r="26" spans="1:6">
      <c r="A26" t="s">
        <v>85</v>
      </c>
      <c r="B26">
        <v>25</v>
      </c>
      <c r="C26">
        <v>25</v>
      </c>
      <c r="D26">
        <v>1130</v>
      </c>
      <c r="E26" t="s">
        <v>52</v>
      </c>
      <c r="F26" t="str">
        <f t="shared" si="0"/>
        <v>INSERT INTO tbFinanceItemSeq(Report,ItemSeqID,ItemSN,ItemID) VALUES('PNLS',25,25,1130)</v>
      </c>
    </row>
    <row r="27" spans="1:6">
      <c r="A27" t="s">
        <v>85</v>
      </c>
      <c r="B27">
        <v>26</v>
      </c>
      <c r="C27">
        <v>26</v>
      </c>
      <c r="D27">
        <v>1131</v>
      </c>
      <c r="E27" t="s">
        <v>53</v>
      </c>
      <c r="F27" t="str">
        <f t="shared" si="0"/>
        <v>INSERT INTO tbFinanceItemSeq(Report,ItemSeqID,ItemSN,ItemID) VALUES('PNLS',26,26,1131)</v>
      </c>
    </row>
    <row r="28" spans="1:6">
      <c r="A28" t="s">
        <v>85</v>
      </c>
      <c r="B28">
        <v>27</v>
      </c>
      <c r="C28">
        <v>27</v>
      </c>
      <c r="D28">
        <v>1474</v>
      </c>
      <c r="E28" t="s">
        <v>54</v>
      </c>
      <c r="F28" t="str">
        <f t="shared" si="0"/>
        <v>INSERT INTO tbFinanceItemSeq(Report,ItemSeqID,ItemSN,ItemID) VALUES('PNLS',27,27,1474)</v>
      </c>
    </row>
    <row r="29" spans="1:6">
      <c r="A29" t="s">
        <v>85</v>
      </c>
      <c r="B29">
        <v>28</v>
      </c>
      <c r="C29">
        <v>0</v>
      </c>
      <c r="D29">
        <v>46</v>
      </c>
      <c r="E29" t="s">
        <v>55</v>
      </c>
      <c r="F29" t="str">
        <f t="shared" si="0"/>
        <v>INSERT INTO tbFinanceItemSeq(Report,ItemSeqID,ItemSN,ItemID) VALUES('PNLS',28,0,46)</v>
      </c>
    </row>
    <row r="30" spans="1:6">
      <c r="A30" t="s">
        <v>85</v>
      </c>
      <c r="B30">
        <v>29</v>
      </c>
      <c r="C30">
        <v>1</v>
      </c>
      <c r="D30">
        <v>1135</v>
      </c>
      <c r="E30" t="s">
        <v>56</v>
      </c>
      <c r="F30" t="str">
        <f t="shared" si="0"/>
        <v>INSERT INTO tbFinanceItemSeq(Report,ItemSeqID,ItemSN,ItemID) VALUES('PNLS',29,1,1135)</v>
      </c>
    </row>
    <row r="31" spans="1:6">
      <c r="A31" t="s">
        <v>85</v>
      </c>
      <c r="B31">
        <v>30</v>
      </c>
      <c r="C31">
        <v>2</v>
      </c>
      <c r="D31">
        <v>1136</v>
      </c>
      <c r="E31" t="e">
        <f>- External Sales GP %</f>
        <v>#NAME?</v>
      </c>
      <c r="F31" t="str">
        <f t="shared" si="0"/>
        <v>INSERT INTO tbFinanceItemSeq(Report,ItemSeqID,ItemSN,ItemID) VALUES('PNLS',30,2,1136)</v>
      </c>
    </row>
    <row r="32" spans="1:6">
      <c r="A32" t="s">
        <v>85</v>
      </c>
      <c r="B32">
        <v>31</v>
      </c>
      <c r="C32">
        <v>3</v>
      </c>
      <c r="D32">
        <v>1137</v>
      </c>
      <c r="E32" t="e">
        <f>- Interco Sales GP %</f>
        <v>#NAME?</v>
      </c>
      <c r="F32" t="str">
        <f t="shared" si="0"/>
        <v>INSERT INTO tbFinanceItemSeq(Report,ItemSeqID,ItemSN,ItemID) VALUES('PNLS',31,3,1137)</v>
      </c>
    </row>
    <row r="33" spans="1:6">
      <c r="A33" t="s">
        <v>85</v>
      </c>
      <c r="B33">
        <v>32</v>
      </c>
      <c r="C33">
        <v>4</v>
      </c>
      <c r="D33">
        <v>50</v>
      </c>
      <c r="E33" t="s">
        <v>57</v>
      </c>
      <c r="F33" t="str">
        <f t="shared" si="0"/>
        <v>INSERT INTO tbFinanceItemSeq(Report,ItemSeqID,ItemSN,ItemID) VALUES('PNLS',32,4,50)</v>
      </c>
    </row>
    <row r="34" spans="1:6">
      <c r="A34" t="s">
        <v>85</v>
      </c>
      <c r="B34">
        <v>33</v>
      </c>
      <c r="C34">
        <v>5</v>
      </c>
      <c r="D34">
        <v>1138</v>
      </c>
      <c r="E34" t="s">
        <v>58</v>
      </c>
      <c r="F34" t="str">
        <f t="shared" si="0"/>
        <v>INSERT INTO tbFinanceItemSeq(Report,ItemSeqID,ItemSN,ItemID) VALUES('PNLS',33,5,1138)</v>
      </c>
    </row>
    <row r="35" spans="1:6">
      <c r="A35" t="s">
        <v>85</v>
      </c>
      <c r="B35">
        <v>34</v>
      </c>
      <c r="C35">
        <v>6</v>
      </c>
      <c r="D35">
        <v>1139</v>
      </c>
      <c r="E35" t="s">
        <v>59</v>
      </c>
      <c r="F35" t="str">
        <f t="shared" si="0"/>
        <v>INSERT INTO tbFinanceItemSeq(Report,ItemSeqID,ItemSN,ItemID) VALUES('PNLS',34,6,1139)</v>
      </c>
    </row>
    <row r="36" spans="1:6">
      <c r="A36" t="s">
        <v>85</v>
      </c>
      <c r="B36">
        <v>35</v>
      </c>
      <c r="C36">
        <v>7</v>
      </c>
      <c r="D36">
        <v>53</v>
      </c>
      <c r="E36" t="s">
        <v>60</v>
      </c>
      <c r="F36" t="str">
        <f t="shared" si="0"/>
        <v>INSERT INTO tbFinanceItemSeq(Report,ItemSeqID,ItemSN,ItemID) VALUES('PNLS',35,7,53)</v>
      </c>
    </row>
    <row r="37" spans="1:6">
      <c r="A37" t="s">
        <v>85</v>
      </c>
      <c r="B37">
        <v>36</v>
      </c>
      <c r="C37">
        <v>8</v>
      </c>
      <c r="D37">
        <v>52</v>
      </c>
      <c r="E37" t="s">
        <v>61</v>
      </c>
      <c r="F37" t="str">
        <f t="shared" si="0"/>
        <v>INSERT INTO tbFinanceItemSeq(Report,ItemSeqID,ItemSN,ItemID) VALUES('PNLS',36,8,52)</v>
      </c>
    </row>
    <row r="38" spans="1:6">
      <c r="A38" t="s">
        <v>85</v>
      </c>
      <c r="B38">
        <v>37</v>
      </c>
      <c r="C38">
        <v>9</v>
      </c>
      <c r="D38">
        <v>1140</v>
      </c>
      <c r="E38" t="s">
        <v>62</v>
      </c>
      <c r="F38" t="str">
        <f t="shared" si="0"/>
        <v>INSERT INTO tbFinanceItemSeq(Report,ItemSeqID,ItemSN,ItemID) VALUES('PNLS',37,9,1140)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tabSelected="1" workbookViewId="0">
      <selection activeCell="G21" sqref="G21"/>
    </sheetView>
  </sheetViews>
  <sheetFormatPr defaultColWidth="8.85546875" defaultRowHeight="15"/>
  <cols>
    <col min="3" max="3" width="16.140625" style="1" bestFit="1" customWidth="1"/>
    <col min="4" max="4" width="10.28515625" bestFit="1" customWidth="1"/>
    <col min="5" max="5" width="13.42578125" style="1" bestFit="1" customWidth="1"/>
    <col min="7" max="7" width="52.7109375" customWidth="1"/>
    <col min="8" max="8" width="38.7109375" bestFit="1" customWidth="1"/>
    <col min="9" max="9" width="74.42578125" customWidth="1"/>
  </cols>
  <sheetData>
    <row r="1" spans="1:9">
      <c r="A1" s="4" t="s">
        <v>73</v>
      </c>
      <c r="B1" s="5" t="s">
        <v>65</v>
      </c>
      <c r="C1" s="6" t="s">
        <v>69</v>
      </c>
      <c r="D1" s="5" t="s">
        <v>66</v>
      </c>
      <c r="E1" s="6" t="s">
        <v>70</v>
      </c>
      <c r="F1" s="5" t="s">
        <v>67</v>
      </c>
      <c r="G1" s="5" t="s">
        <v>68</v>
      </c>
      <c r="H1" s="4" t="s">
        <v>71</v>
      </c>
      <c r="I1" s="4" t="s">
        <v>72</v>
      </c>
    </row>
    <row r="2" spans="1:9">
      <c r="A2" t="s">
        <v>74</v>
      </c>
      <c r="B2" t="s">
        <v>85</v>
      </c>
      <c r="C2" s="1">
        <f>D2</f>
        <v>1</v>
      </c>
      <c r="D2">
        <v>1</v>
      </c>
      <c r="E2" s="1">
        <f>F2</f>
        <v>1</v>
      </c>
      <c r="F2">
        <v>1</v>
      </c>
      <c r="G2">
        <v>1081</v>
      </c>
      <c r="H2" t="s">
        <v>1</v>
      </c>
      <c r="I2" t="str">
        <f>IF(A2&lt;&gt;"Remove",CONCATENATE("INSERT INTO tbFinanceItemSeq(Report,ItemSeqID,ItemSN,ItemID) VALUES('",B2,"',",C2,",",E2,",",G2,")"),"")</f>
        <v>INSERT INTO tbFinanceItemSeq(Report,ItemSeqID,ItemSN,ItemID) VALUES('PNLS',1,1,1081)</v>
      </c>
    </row>
    <row r="3" spans="1:9">
      <c r="A3" t="s">
        <v>74</v>
      </c>
      <c r="B3" t="s">
        <v>85</v>
      </c>
      <c r="C3" s="1">
        <f t="shared" ref="C3:C9" si="0">D3</f>
        <v>2</v>
      </c>
      <c r="D3">
        <v>2</v>
      </c>
      <c r="E3" s="1">
        <f t="shared" ref="E3:E9" si="1">F3</f>
        <v>2</v>
      </c>
      <c r="F3">
        <v>2</v>
      </c>
      <c r="G3">
        <v>1082</v>
      </c>
      <c r="H3" t="s">
        <v>2</v>
      </c>
      <c r="I3" t="str">
        <f>IF(A3&lt;&gt;"Remove",CONCATENATE("INSERT INTO tbFinanceItemSeq(Report,ItemSeqID,ItemSN,ItemID) VALUES('",B3,"',",C3,",",E3,",",G3,")"),"")</f>
        <v>INSERT INTO tbFinanceItemSeq(Report,ItemSeqID,ItemSN,ItemID) VALUES('PNLS',2,2,1082)</v>
      </c>
    </row>
    <row r="4" spans="1:9">
      <c r="A4" t="s">
        <v>74</v>
      </c>
      <c r="B4" t="s">
        <v>85</v>
      </c>
      <c r="C4" s="1">
        <f t="shared" si="0"/>
        <v>3</v>
      </c>
      <c r="D4">
        <v>3</v>
      </c>
      <c r="E4" s="1">
        <f t="shared" si="1"/>
        <v>3</v>
      </c>
      <c r="F4">
        <v>3</v>
      </c>
      <c r="G4">
        <v>1083</v>
      </c>
      <c r="H4" t="s">
        <v>3</v>
      </c>
      <c r="I4" t="str">
        <f t="shared" ref="I4:I43" si="2">IF(A4&lt;&gt;"Remove",CONCATENATE("INSERT INTO tbFinanceItemSeq(Report,ItemSeqID,ItemSN,ItemID) VALUES('",B4,"',",C4,",",E4,",",G4,")"),"")</f>
        <v>INSERT INTO tbFinanceItemSeq(Report,ItemSeqID,ItemSN,ItemID) VALUES('PNLS',3,3,1083)</v>
      </c>
    </row>
    <row r="5" spans="1:9">
      <c r="A5" t="s">
        <v>74</v>
      </c>
      <c r="B5" t="s">
        <v>85</v>
      </c>
      <c r="C5" s="1">
        <f t="shared" si="0"/>
        <v>4</v>
      </c>
      <c r="D5">
        <v>4</v>
      </c>
      <c r="E5" s="1">
        <f t="shared" si="1"/>
        <v>4</v>
      </c>
      <c r="F5">
        <v>4</v>
      </c>
      <c r="G5">
        <v>1084</v>
      </c>
      <c r="H5" t="s">
        <v>4</v>
      </c>
      <c r="I5" t="str">
        <f t="shared" si="2"/>
        <v>INSERT INTO tbFinanceItemSeq(Report,ItemSeqID,ItemSN,ItemID) VALUES('PNLS',4,4,1084)</v>
      </c>
    </row>
    <row r="6" spans="1:9">
      <c r="A6" t="s">
        <v>74</v>
      </c>
      <c r="B6" t="s">
        <v>85</v>
      </c>
      <c r="C6" s="1">
        <f t="shared" si="0"/>
        <v>5</v>
      </c>
      <c r="D6">
        <v>5</v>
      </c>
      <c r="E6" s="1">
        <f t="shared" si="1"/>
        <v>5</v>
      </c>
      <c r="F6">
        <v>5</v>
      </c>
      <c r="G6">
        <v>1085</v>
      </c>
      <c r="H6" t="s">
        <v>5</v>
      </c>
      <c r="I6" t="str">
        <f t="shared" si="2"/>
        <v>INSERT INTO tbFinanceItemSeq(Report,ItemSeqID,ItemSN,ItemID) VALUES('PNLS',5,5,1085)</v>
      </c>
    </row>
    <row r="7" spans="1:9">
      <c r="A7" t="s">
        <v>74</v>
      </c>
      <c r="B7" t="s">
        <v>85</v>
      </c>
      <c r="C7" s="1">
        <f t="shared" si="0"/>
        <v>6</v>
      </c>
      <c r="D7">
        <v>6</v>
      </c>
      <c r="E7" s="1">
        <f t="shared" si="1"/>
        <v>6</v>
      </c>
      <c r="F7">
        <v>6</v>
      </c>
      <c r="G7">
        <v>1086</v>
      </c>
      <c r="H7" t="s">
        <v>6</v>
      </c>
      <c r="I7" t="str">
        <f t="shared" si="2"/>
        <v>INSERT INTO tbFinanceItemSeq(Report,ItemSeqID,ItemSN,ItemID) VALUES('PNLS',6,6,1086)</v>
      </c>
    </row>
    <row r="8" spans="1:9">
      <c r="A8" t="s">
        <v>74</v>
      </c>
      <c r="B8" t="s">
        <v>85</v>
      </c>
      <c r="C8" s="1">
        <f t="shared" si="0"/>
        <v>7</v>
      </c>
      <c r="D8">
        <v>7</v>
      </c>
      <c r="E8" s="1">
        <f t="shared" si="1"/>
        <v>7</v>
      </c>
      <c r="F8">
        <v>7</v>
      </c>
      <c r="G8">
        <v>1087</v>
      </c>
      <c r="H8" t="s">
        <v>7</v>
      </c>
      <c r="I8" t="str">
        <f t="shared" si="2"/>
        <v>INSERT INTO tbFinanceItemSeq(Report,ItemSeqID,ItemSN,ItemID) VALUES('PNLS',7,7,1087)</v>
      </c>
    </row>
    <row r="9" spans="1:9">
      <c r="A9" t="s">
        <v>74</v>
      </c>
      <c r="B9" t="s">
        <v>85</v>
      </c>
      <c r="C9" s="1">
        <f t="shared" si="0"/>
        <v>8</v>
      </c>
      <c r="D9">
        <v>8</v>
      </c>
      <c r="E9" s="1">
        <f t="shared" si="1"/>
        <v>8</v>
      </c>
      <c r="F9">
        <v>8</v>
      </c>
      <c r="G9">
        <v>1088</v>
      </c>
      <c r="H9" s="8" t="s">
        <v>8</v>
      </c>
      <c r="I9" t="str">
        <f t="shared" si="2"/>
        <v>INSERT INTO tbFinanceItemSeq(Report,ItemSeqID,ItemSN,ItemID) VALUES('PNLS',8,8,1088)</v>
      </c>
    </row>
    <row r="10" spans="1:9" s="3" customFormat="1">
      <c r="A10" s="3" t="s">
        <v>75</v>
      </c>
      <c r="B10" s="3" t="s">
        <v>85</v>
      </c>
      <c r="C10" s="3">
        <v>9</v>
      </c>
      <c r="E10" s="3">
        <v>9</v>
      </c>
      <c r="G10" s="3">
        <v>1126</v>
      </c>
      <c r="H10" s="3" t="s">
        <v>48</v>
      </c>
      <c r="I10" s="3" t="str">
        <f t="shared" si="2"/>
        <v>INSERT INTO tbFinanceItemSeq(Report,ItemSeqID,ItemSN,ItemID) VALUES('PNLS',9,9,1126)</v>
      </c>
    </row>
    <row r="11" spans="1:9">
      <c r="A11" t="s">
        <v>74</v>
      </c>
      <c r="B11" t="s">
        <v>85</v>
      </c>
      <c r="C11" s="1">
        <f>D11+1</f>
        <v>10</v>
      </c>
      <c r="D11">
        <v>9</v>
      </c>
      <c r="E11" s="1">
        <f>F11+1</f>
        <v>10</v>
      </c>
      <c r="F11">
        <v>9</v>
      </c>
      <c r="G11">
        <v>1089</v>
      </c>
      <c r="H11" t="s">
        <v>9</v>
      </c>
      <c r="I11" t="str">
        <f t="shared" si="2"/>
        <v>INSERT INTO tbFinanceItemSeq(Report,ItemSeqID,ItemSN,ItemID) VALUES('PNLS',10,10,1089)</v>
      </c>
    </row>
    <row r="12" spans="1:9">
      <c r="A12" t="s">
        <v>74</v>
      </c>
      <c r="B12" t="s">
        <v>85</v>
      </c>
      <c r="C12" s="1">
        <f t="shared" ref="C12:C26" si="3">D12+1</f>
        <v>11</v>
      </c>
      <c r="D12">
        <v>10</v>
      </c>
      <c r="E12" s="1">
        <f t="shared" ref="E12:E26" si="4">F12+1</f>
        <v>11</v>
      </c>
      <c r="F12">
        <v>10</v>
      </c>
      <c r="G12">
        <v>1090</v>
      </c>
      <c r="H12" t="s">
        <v>10</v>
      </c>
      <c r="I12" t="str">
        <f t="shared" si="2"/>
        <v>INSERT INTO tbFinanceItemSeq(Report,ItemSeqID,ItemSN,ItemID) VALUES('PNLS',11,11,1090)</v>
      </c>
    </row>
    <row r="13" spans="1:9">
      <c r="A13" t="s">
        <v>74</v>
      </c>
      <c r="B13" t="s">
        <v>85</v>
      </c>
      <c r="C13" s="1">
        <f t="shared" si="3"/>
        <v>12</v>
      </c>
      <c r="D13">
        <v>11</v>
      </c>
      <c r="E13" s="1">
        <f t="shared" si="4"/>
        <v>12</v>
      </c>
      <c r="F13">
        <v>11</v>
      </c>
      <c r="G13">
        <v>1091</v>
      </c>
      <c r="H13" t="s">
        <v>11</v>
      </c>
      <c r="I13" t="str">
        <f t="shared" si="2"/>
        <v>INSERT INTO tbFinanceItemSeq(Report,ItemSeqID,ItemSN,ItemID) VALUES('PNLS',12,12,1091)</v>
      </c>
    </row>
    <row r="14" spans="1:9" s="3" customFormat="1">
      <c r="A14" s="3" t="s">
        <v>75</v>
      </c>
      <c r="B14" s="3" t="s">
        <v>85</v>
      </c>
      <c r="C14" s="3">
        <v>13</v>
      </c>
      <c r="E14" s="3">
        <v>13</v>
      </c>
      <c r="G14" s="3" t="str">
        <f>CONCATENATE("(SELECT TOP 1 ItemID FROM tbFinanceItem where ItemName = '",H14,"')")</f>
        <v>(SELECT TOP 1 ItemID FROM tbFinanceItem where ItemName = '(PNL)Selling &amp; Distribution')</v>
      </c>
      <c r="H14" s="8" t="s">
        <v>86</v>
      </c>
      <c r="I14" s="3" t="str">
        <f t="shared" si="2"/>
        <v>INSERT INTO tbFinanceItemSeq(Report,ItemSeqID,ItemSN,ItemID) VALUES('PNLS',13,13,(SELECT TOP 1 ItemID FROM tbFinanceItem where ItemName = '(PNL)Selling &amp; Distribution'))</v>
      </c>
    </row>
    <row r="15" spans="1:9" s="2" customFormat="1">
      <c r="A15" s="2" t="s">
        <v>76</v>
      </c>
      <c r="B15" s="2" t="s">
        <v>85</v>
      </c>
      <c r="C15" s="2">
        <f t="shared" si="3"/>
        <v>13</v>
      </c>
      <c r="D15" s="2">
        <v>12</v>
      </c>
      <c r="E15" s="2">
        <f t="shared" si="4"/>
        <v>13</v>
      </c>
      <c r="F15" s="2">
        <v>12</v>
      </c>
      <c r="G15" s="2">
        <v>1102</v>
      </c>
      <c r="H15" s="8" t="s">
        <v>22</v>
      </c>
      <c r="I15" s="2" t="str">
        <f t="shared" si="2"/>
        <v/>
      </c>
    </row>
    <row r="16" spans="1:9">
      <c r="A16" t="s">
        <v>74</v>
      </c>
      <c r="B16" t="s">
        <v>85</v>
      </c>
      <c r="C16" s="1">
        <f t="shared" si="3"/>
        <v>14</v>
      </c>
      <c r="D16">
        <v>13</v>
      </c>
      <c r="E16" s="1">
        <f t="shared" si="4"/>
        <v>14</v>
      </c>
      <c r="F16">
        <v>13</v>
      </c>
      <c r="G16">
        <v>1112</v>
      </c>
      <c r="H16" t="s">
        <v>33</v>
      </c>
      <c r="I16" t="str">
        <f t="shared" si="2"/>
        <v>INSERT INTO tbFinanceItemSeq(Report,ItemSeqID,ItemSN,ItemID) VALUES('PNLS',14,14,1112)</v>
      </c>
    </row>
    <row r="17" spans="1:9">
      <c r="A17" t="s">
        <v>74</v>
      </c>
      <c r="B17" t="s">
        <v>85</v>
      </c>
      <c r="C17" s="1">
        <f t="shared" si="3"/>
        <v>15</v>
      </c>
      <c r="D17">
        <v>14</v>
      </c>
      <c r="E17" s="1">
        <f t="shared" si="4"/>
        <v>15</v>
      </c>
      <c r="F17">
        <v>14</v>
      </c>
      <c r="G17">
        <v>1118</v>
      </c>
      <c r="H17" t="s">
        <v>40</v>
      </c>
      <c r="I17" t="str">
        <f t="shared" si="2"/>
        <v>INSERT INTO tbFinanceItemSeq(Report,ItemSeqID,ItemSN,ItemID) VALUES('PNLS',15,15,1118)</v>
      </c>
    </row>
    <row r="18" spans="1:9">
      <c r="A18" t="s">
        <v>74</v>
      </c>
      <c r="B18" t="s">
        <v>85</v>
      </c>
      <c r="C18" s="1">
        <f t="shared" si="3"/>
        <v>16</v>
      </c>
      <c r="D18">
        <v>15</v>
      </c>
      <c r="E18" s="1">
        <f t="shared" si="4"/>
        <v>16</v>
      </c>
      <c r="F18">
        <v>15</v>
      </c>
      <c r="G18">
        <v>1120</v>
      </c>
      <c r="H18" t="s">
        <v>42</v>
      </c>
      <c r="I18" t="str">
        <f t="shared" si="2"/>
        <v>INSERT INTO tbFinanceItemSeq(Report,ItemSeqID,ItemSN,ItemID) VALUES('PNLS',16,16,1120)</v>
      </c>
    </row>
    <row r="19" spans="1:9">
      <c r="A19" t="s">
        <v>74</v>
      </c>
      <c r="B19" t="s">
        <v>85</v>
      </c>
      <c r="C19" s="1">
        <f t="shared" si="3"/>
        <v>17</v>
      </c>
      <c r="D19">
        <v>16</v>
      </c>
      <c r="E19" s="1">
        <f t="shared" si="4"/>
        <v>17</v>
      </c>
      <c r="F19">
        <v>16</v>
      </c>
      <c r="G19">
        <v>1121</v>
      </c>
      <c r="H19" t="s">
        <v>43</v>
      </c>
      <c r="I19" t="str">
        <f t="shared" si="2"/>
        <v>INSERT INTO tbFinanceItemSeq(Report,ItemSeqID,ItemSN,ItemID) VALUES('PNLS',17,17,1121)</v>
      </c>
    </row>
    <row r="20" spans="1:9">
      <c r="A20" t="s">
        <v>74</v>
      </c>
      <c r="B20" t="s">
        <v>85</v>
      </c>
      <c r="C20" s="1">
        <f t="shared" si="3"/>
        <v>18</v>
      </c>
      <c r="D20">
        <v>17</v>
      </c>
      <c r="E20" s="1">
        <f t="shared" si="4"/>
        <v>18</v>
      </c>
      <c r="F20">
        <v>17</v>
      </c>
      <c r="G20">
        <v>1122</v>
      </c>
      <c r="H20" t="s">
        <v>44</v>
      </c>
      <c r="I20" t="str">
        <f t="shared" si="2"/>
        <v>INSERT INTO tbFinanceItemSeq(Report,ItemSeqID,ItemSN,ItemID) VALUES('PNLS',18,18,1122)</v>
      </c>
    </row>
    <row r="21" spans="1:9" s="3" customFormat="1">
      <c r="A21" s="3" t="s">
        <v>75</v>
      </c>
      <c r="B21" s="3" t="s">
        <v>85</v>
      </c>
      <c r="C21" s="3">
        <v>19</v>
      </c>
      <c r="E21" s="3">
        <v>19</v>
      </c>
      <c r="G21" s="3" t="str">
        <f>CONCATENATE("(SELECT ItemID FROM tbFinanceItem where ItemName = '",H21,"')")</f>
        <v>(SELECT ItemID FROM tbFinanceItem where ItemName = '(PNL)Derivatives Gain/(Loss)')</v>
      </c>
      <c r="H21" s="3" t="s">
        <v>87</v>
      </c>
      <c r="I21" s="3" t="str">
        <f t="shared" si="2"/>
        <v>INSERT INTO tbFinanceItemSeq(Report,ItemSeqID,ItemSN,ItemID) VALUES('PNLS',19,19,(SELECT ItemID FROM tbFinanceItem where ItemName = '(PNL)Derivatives Gain/(Loss)'))</v>
      </c>
    </row>
    <row r="22" spans="1:9" s="3" customFormat="1">
      <c r="A22" s="3" t="s">
        <v>75</v>
      </c>
      <c r="B22" s="3" t="s">
        <v>85</v>
      </c>
      <c r="C22" s="3">
        <v>20</v>
      </c>
      <c r="E22" s="3">
        <v>20</v>
      </c>
      <c r="G22" s="3" t="str">
        <f>CONCATENATE("(SELECT ItemID FROM tbFinanceItem where ItemName = '",H22,"')")</f>
        <v>(SELECT ItemID FROM tbFinanceItem where ItemName = '(PNL)Forex Gain/(Loss)')</v>
      </c>
      <c r="H22" s="7" t="s">
        <v>88</v>
      </c>
      <c r="I22" s="3" t="str">
        <f t="shared" si="2"/>
        <v>INSERT INTO tbFinanceItemSeq(Report,ItemSeqID,ItemSN,ItemID) VALUES('PNLS',20,20,(SELECT ItemID FROM tbFinanceItem where ItemName = '(PNL)Forex Gain/(Loss)'))</v>
      </c>
    </row>
    <row r="23" spans="1:9" s="2" customFormat="1">
      <c r="A23" s="2" t="s">
        <v>76</v>
      </c>
      <c r="B23" s="2" t="s">
        <v>85</v>
      </c>
      <c r="C23" s="2">
        <f t="shared" si="3"/>
        <v>19</v>
      </c>
      <c r="D23" s="2">
        <v>18</v>
      </c>
      <c r="E23" s="2">
        <f t="shared" si="4"/>
        <v>19</v>
      </c>
      <c r="F23" s="2">
        <v>18</v>
      </c>
      <c r="G23" s="2">
        <v>1123</v>
      </c>
      <c r="H23" s="7" t="s">
        <v>45</v>
      </c>
      <c r="I23" s="2" t="str">
        <f t="shared" si="2"/>
        <v/>
      </c>
    </row>
    <row r="24" spans="1:9" s="2" customFormat="1">
      <c r="A24" s="2" t="s">
        <v>76</v>
      </c>
      <c r="B24" s="2" t="s">
        <v>85</v>
      </c>
      <c r="C24" s="2">
        <f t="shared" si="3"/>
        <v>20</v>
      </c>
      <c r="D24" s="2">
        <v>19</v>
      </c>
      <c r="E24" s="2">
        <f t="shared" si="4"/>
        <v>20</v>
      </c>
      <c r="F24" s="2">
        <v>19</v>
      </c>
      <c r="G24" s="2">
        <v>1124</v>
      </c>
      <c r="H24" s="7" t="s">
        <v>46</v>
      </c>
      <c r="I24" s="2" t="str">
        <f t="shared" si="2"/>
        <v/>
      </c>
    </row>
    <row r="25" spans="1:9">
      <c r="A25" t="s">
        <v>74</v>
      </c>
      <c r="B25" t="s">
        <v>85</v>
      </c>
      <c r="C25" s="1">
        <f t="shared" si="3"/>
        <v>21</v>
      </c>
      <c r="D25">
        <v>20</v>
      </c>
      <c r="E25" s="1">
        <f t="shared" si="4"/>
        <v>21</v>
      </c>
      <c r="F25">
        <v>20</v>
      </c>
      <c r="G25">
        <v>1125</v>
      </c>
      <c r="H25" t="s">
        <v>47</v>
      </c>
      <c r="I25" t="str">
        <f t="shared" si="2"/>
        <v>INSERT INTO tbFinanceItemSeq(Report,ItemSeqID,ItemSN,ItemID) VALUES('PNLS',21,21,1125)</v>
      </c>
    </row>
    <row r="26" spans="1:9" s="2" customFormat="1">
      <c r="A26" s="2" t="s">
        <v>76</v>
      </c>
      <c r="B26" s="2" t="s">
        <v>85</v>
      </c>
      <c r="C26" s="2">
        <f t="shared" si="3"/>
        <v>22</v>
      </c>
      <c r="D26" s="2">
        <v>21</v>
      </c>
      <c r="E26" s="2">
        <f t="shared" si="4"/>
        <v>22</v>
      </c>
      <c r="F26" s="2">
        <v>21</v>
      </c>
      <c r="G26" s="2">
        <v>1126</v>
      </c>
      <c r="H26" s="2" t="s">
        <v>48</v>
      </c>
      <c r="I26" s="2" t="str">
        <f t="shared" si="2"/>
        <v/>
      </c>
    </row>
    <row r="27" spans="1:9">
      <c r="A27" t="s">
        <v>74</v>
      </c>
      <c r="B27" t="s">
        <v>85</v>
      </c>
      <c r="C27" s="1">
        <f>D27</f>
        <v>22</v>
      </c>
      <c r="D27">
        <v>22</v>
      </c>
      <c r="E27" s="1">
        <f>F27</f>
        <v>22</v>
      </c>
      <c r="F27">
        <v>22</v>
      </c>
      <c r="G27">
        <v>1127</v>
      </c>
      <c r="H27" t="s">
        <v>49</v>
      </c>
      <c r="I27" t="str">
        <f t="shared" si="2"/>
        <v>INSERT INTO tbFinanceItemSeq(Report,ItemSeqID,ItemSN,ItemID) VALUES('PNLS',22,22,1127)</v>
      </c>
    </row>
    <row r="28" spans="1:9">
      <c r="A28" t="s">
        <v>74</v>
      </c>
      <c r="B28" t="s">
        <v>85</v>
      </c>
      <c r="C28" s="1">
        <f t="shared" ref="C28:C39" si="5">D28</f>
        <v>23</v>
      </c>
      <c r="D28">
        <v>23</v>
      </c>
      <c r="E28" s="1">
        <f t="shared" ref="E28:E39" si="6">F28</f>
        <v>23</v>
      </c>
      <c r="F28">
        <v>23</v>
      </c>
      <c r="G28">
        <v>1128</v>
      </c>
      <c r="H28" t="s">
        <v>50</v>
      </c>
      <c r="I28" t="str">
        <f t="shared" si="2"/>
        <v>INSERT INTO tbFinanceItemSeq(Report,ItemSeqID,ItemSN,ItemID) VALUES('PNLS',23,23,1128)</v>
      </c>
    </row>
    <row r="29" spans="1:9">
      <c r="A29" t="s">
        <v>74</v>
      </c>
      <c r="B29" t="s">
        <v>85</v>
      </c>
      <c r="C29" s="1">
        <f t="shared" si="5"/>
        <v>24</v>
      </c>
      <c r="D29">
        <v>24</v>
      </c>
      <c r="E29" s="1">
        <f t="shared" si="6"/>
        <v>24</v>
      </c>
      <c r="F29">
        <v>24</v>
      </c>
      <c r="G29">
        <v>1129</v>
      </c>
      <c r="H29" t="s">
        <v>51</v>
      </c>
      <c r="I29" t="str">
        <f t="shared" si="2"/>
        <v>INSERT INTO tbFinanceItemSeq(Report,ItemSeqID,ItemSN,ItemID) VALUES('PNLS',24,24,1129)</v>
      </c>
    </row>
    <row r="30" spans="1:9">
      <c r="A30" t="s">
        <v>74</v>
      </c>
      <c r="B30" t="s">
        <v>85</v>
      </c>
      <c r="C30" s="1">
        <f t="shared" si="5"/>
        <v>25</v>
      </c>
      <c r="D30">
        <v>25</v>
      </c>
      <c r="E30" s="1">
        <f t="shared" si="6"/>
        <v>25</v>
      </c>
      <c r="F30">
        <v>25</v>
      </c>
      <c r="G30">
        <v>1130</v>
      </c>
      <c r="H30" t="s">
        <v>52</v>
      </c>
      <c r="I30" t="str">
        <f t="shared" si="2"/>
        <v>INSERT INTO tbFinanceItemSeq(Report,ItemSeqID,ItemSN,ItemID) VALUES('PNLS',25,25,1130)</v>
      </c>
    </row>
    <row r="31" spans="1:9" s="2" customFormat="1">
      <c r="A31" s="2" t="s">
        <v>76</v>
      </c>
      <c r="B31" s="2" t="s">
        <v>85</v>
      </c>
      <c r="C31" s="2">
        <f t="shared" ref="C31" si="7">D31</f>
        <v>26</v>
      </c>
      <c r="D31" s="2">
        <v>26</v>
      </c>
      <c r="E31" s="2">
        <f t="shared" ref="E31" si="8">F31</f>
        <v>26</v>
      </c>
      <c r="F31" s="2">
        <v>26</v>
      </c>
      <c r="G31" s="2">
        <v>1131</v>
      </c>
      <c r="H31" s="2" t="s">
        <v>53</v>
      </c>
      <c r="I31" s="2" t="str">
        <f t="shared" ref="I31" si="9">IF(A31&lt;&gt;"Remove",CONCATENATE("INSERT INTO tbFinanceItemSeq(Report,ItemSeqID,ItemSN,ItemID) VALUES('",B31,"',",C31,",",E31,",",G31,")"),"")</f>
        <v/>
      </c>
    </row>
    <row r="32" spans="1:9" s="3" customFormat="1">
      <c r="A32" s="3" t="s">
        <v>75</v>
      </c>
      <c r="B32" s="3" t="s">
        <v>85</v>
      </c>
      <c r="C32" s="3">
        <f t="shared" si="5"/>
        <v>26</v>
      </c>
      <c r="D32" s="3">
        <v>26</v>
      </c>
      <c r="E32" s="3">
        <f t="shared" si="6"/>
        <v>26</v>
      </c>
      <c r="F32" s="3">
        <v>26</v>
      </c>
      <c r="G32" s="3">
        <v>1131</v>
      </c>
      <c r="H32" s="3" t="s">
        <v>2771</v>
      </c>
      <c r="I32" s="3" t="str">
        <f t="shared" si="2"/>
        <v>INSERT INTO tbFinanceItemSeq(Report,ItemSeqID,ItemSN,ItemID) VALUES('PNLS',26,26,1131)</v>
      </c>
    </row>
    <row r="33" spans="1:9">
      <c r="A33" t="s">
        <v>74</v>
      </c>
      <c r="B33" t="s">
        <v>85</v>
      </c>
      <c r="C33" s="1">
        <f t="shared" si="5"/>
        <v>27</v>
      </c>
      <c r="D33">
        <v>27</v>
      </c>
      <c r="E33" s="1">
        <f t="shared" si="6"/>
        <v>27</v>
      </c>
      <c r="F33">
        <v>27</v>
      </c>
      <c r="G33">
        <v>1474</v>
      </c>
      <c r="H33" s="8" t="s">
        <v>54</v>
      </c>
      <c r="I33" t="str">
        <f t="shared" si="2"/>
        <v>INSERT INTO tbFinanceItemSeq(Report,ItemSeqID,ItemSN,ItemID) VALUES('PNLS',27,27,1474)</v>
      </c>
    </row>
    <row r="34" spans="1:9">
      <c r="A34" t="s">
        <v>74</v>
      </c>
      <c r="B34" t="s">
        <v>85</v>
      </c>
      <c r="C34" s="1">
        <f t="shared" si="5"/>
        <v>28</v>
      </c>
      <c r="D34">
        <v>28</v>
      </c>
      <c r="E34" s="1">
        <f t="shared" si="6"/>
        <v>0</v>
      </c>
      <c r="F34">
        <v>0</v>
      </c>
      <c r="G34">
        <v>46</v>
      </c>
      <c r="H34" t="s">
        <v>55</v>
      </c>
      <c r="I34" t="str">
        <f t="shared" si="2"/>
        <v>INSERT INTO tbFinanceItemSeq(Report,ItemSeqID,ItemSN,ItemID) VALUES('PNLS',28,0,46)</v>
      </c>
    </row>
    <row r="35" spans="1:9">
      <c r="A35" t="s">
        <v>74</v>
      </c>
      <c r="B35" t="s">
        <v>85</v>
      </c>
      <c r="C35" s="1">
        <f t="shared" si="5"/>
        <v>29</v>
      </c>
      <c r="D35">
        <v>29</v>
      </c>
      <c r="E35" s="1">
        <f t="shared" si="6"/>
        <v>1</v>
      </c>
      <c r="F35">
        <v>1</v>
      </c>
      <c r="G35">
        <v>1135</v>
      </c>
      <c r="H35" t="s">
        <v>56</v>
      </c>
      <c r="I35" t="str">
        <f t="shared" si="2"/>
        <v>INSERT INTO tbFinanceItemSeq(Report,ItemSeqID,ItemSN,ItemID) VALUES('PNLS',29,1,1135)</v>
      </c>
    </row>
    <row r="36" spans="1:9">
      <c r="A36" t="s">
        <v>74</v>
      </c>
      <c r="B36" t="s">
        <v>85</v>
      </c>
      <c r="C36" s="1">
        <f t="shared" si="5"/>
        <v>30</v>
      </c>
      <c r="D36">
        <v>30</v>
      </c>
      <c r="E36" s="1">
        <f t="shared" si="6"/>
        <v>2</v>
      </c>
      <c r="F36">
        <v>2</v>
      </c>
      <c r="G36">
        <v>1136</v>
      </c>
      <c r="H36" t="s">
        <v>89</v>
      </c>
      <c r="I36" t="str">
        <f t="shared" si="2"/>
        <v>INSERT INTO tbFinanceItemSeq(Report,ItemSeqID,ItemSN,ItemID) VALUES('PNLS',30,2,1136)</v>
      </c>
    </row>
    <row r="37" spans="1:9">
      <c r="A37" t="s">
        <v>74</v>
      </c>
      <c r="B37" t="s">
        <v>85</v>
      </c>
      <c r="C37" s="1">
        <f t="shared" si="5"/>
        <v>31</v>
      </c>
      <c r="D37">
        <v>31</v>
      </c>
      <c r="E37" s="1">
        <f t="shared" si="6"/>
        <v>3</v>
      </c>
      <c r="F37">
        <v>3</v>
      </c>
      <c r="G37">
        <v>1137</v>
      </c>
      <c r="H37" t="s">
        <v>90</v>
      </c>
      <c r="I37" t="str">
        <f t="shared" si="2"/>
        <v>INSERT INTO tbFinanceItemSeq(Report,ItemSeqID,ItemSN,ItemID) VALUES('PNLS',31,3,1137)</v>
      </c>
    </row>
    <row r="38" spans="1:9">
      <c r="A38" t="s">
        <v>74</v>
      </c>
      <c r="B38" t="s">
        <v>85</v>
      </c>
      <c r="C38" s="1">
        <f t="shared" si="5"/>
        <v>32</v>
      </c>
      <c r="D38">
        <v>32</v>
      </c>
      <c r="E38" s="1">
        <f t="shared" si="6"/>
        <v>4</v>
      </c>
      <c r="F38">
        <v>4</v>
      </c>
      <c r="G38">
        <v>50</v>
      </c>
      <c r="H38" t="s">
        <v>57</v>
      </c>
      <c r="I38" t="str">
        <f t="shared" si="2"/>
        <v>INSERT INTO tbFinanceItemSeq(Report,ItemSeqID,ItemSN,ItemID) VALUES('PNLS',32,4,50)</v>
      </c>
    </row>
    <row r="39" spans="1:9" s="2" customFormat="1">
      <c r="A39" s="2" t="s">
        <v>76</v>
      </c>
      <c r="B39" s="2" t="s">
        <v>85</v>
      </c>
      <c r="C39" s="2">
        <f t="shared" si="5"/>
        <v>33</v>
      </c>
      <c r="D39" s="2">
        <v>33</v>
      </c>
      <c r="E39" s="2">
        <f t="shared" si="6"/>
        <v>5</v>
      </c>
      <c r="F39" s="2">
        <v>5</v>
      </c>
      <c r="G39" s="2">
        <v>1138</v>
      </c>
      <c r="H39" s="2" t="s">
        <v>58</v>
      </c>
      <c r="I39" s="2" t="str">
        <f t="shared" si="2"/>
        <v/>
      </c>
    </row>
    <row r="40" spans="1:9">
      <c r="A40" t="s">
        <v>74</v>
      </c>
      <c r="B40" t="s">
        <v>85</v>
      </c>
      <c r="C40" s="1">
        <v>33</v>
      </c>
      <c r="D40">
        <v>34</v>
      </c>
      <c r="E40" s="1">
        <v>5</v>
      </c>
      <c r="F40">
        <v>6</v>
      </c>
      <c r="G40">
        <v>1139</v>
      </c>
      <c r="H40" t="s">
        <v>59</v>
      </c>
      <c r="I40" t="str">
        <f t="shared" si="2"/>
        <v>INSERT INTO tbFinanceItemSeq(Report,ItemSeqID,ItemSN,ItemID) VALUES('PNLS',33,5,1139)</v>
      </c>
    </row>
    <row r="41" spans="1:9">
      <c r="A41" t="s">
        <v>74</v>
      </c>
      <c r="B41" t="s">
        <v>85</v>
      </c>
      <c r="C41" s="1">
        <v>34</v>
      </c>
      <c r="D41">
        <v>35</v>
      </c>
      <c r="E41" s="1">
        <v>6</v>
      </c>
      <c r="F41">
        <v>7</v>
      </c>
      <c r="G41">
        <v>53</v>
      </c>
      <c r="H41" t="s">
        <v>60</v>
      </c>
      <c r="I41" t="str">
        <f t="shared" si="2"/>
        <v>INSERT INTO tbFinanceItemSeq(Report,ItemSeqID,ItemSN,ItemID) VALUES('PNLS',34,6,53)</v>
      </c>
    </row>
    <row r="42" spans="1:9">
      <c r="A42" t="s">
        <v>74</v>
      </c>
      <c r="B42" t="s">
        <v>85</v>
      </c>
      <c r="C42" s="1">
        <v>35</v>
      </c>
      <c r="D42">
        <v>36</v>
      </c>
      <c r="E42" s="1">
        <v>7</v>
      </c>
      <c r="F42">
        <v>8</v>
      </c>
      <c r="G42">
        <v>52</v>
      </c>
      <c r="H42" t="s">
        <v>61</v>
      </c>
      <c r="I42" t="str">
        <f t="shared" si="2"/>
        <v>INSERT INTO tbFinanceItemSeq(Report,ItemSeqID,ItemSN,ItemID) VALUES('PNLS',35,7,52)</v>
      </c>
    </row>
    <row r="43" spans="1:9">
      <c r="A43" t="s">
        <v>74</v>
      </c>
      <c r="B43" t="s">
        <v>85</v>
      </c>
      <c r="C43" s="1">
        <v>36</v>
      </c>
      <c r="D43">
        <v>37</v>
      </c>
      <c r="E43" s="1">
        <v>8</v>
      </c>
      <c r="F43">
        <v>9</v>
      </c>
      <c r="G43">
        <v>1140</v>
      </c>
      <c r="H43" t="s">
        <v>62</v>
      </c>
      <c r="I43" t="str">
        <f t="shared" si="2"/>
        <v>INSERT INTO tbFinanceItemSeq(Report,ItemSeqID,ItemSN,ItemID) VALUES('PNLS',36,8,1140)</v>
      </c>
    </row>
  </sheetData>
  <conditionalFormatting sqref="A2">
    <cfRule type="cellIs" dxfId="7" priority="1" operator="equal">
      <formula>$A$2="New"</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A14" sqref="A14:A17"/>
    </sheetView>
  </sheetViews>
  <sheetFormatPr defaultColWidth="8.85546875" defaultRowHeight="15"/>
  <cols>
    <col min="1" max="1" width="50" bestFit="1" customWidth="1"/>
  </cols>
  <sheetData>
    <row r="1" spans="1:1">
      <c r="A1" t="s">
        <v>2184</v>
      </c>
    </row>
    <row r="2" spans="1:1">
      <c r="A2" t="s">
        <v>2185</v>
      </c>
    </row>
    <row r="3" spans="1:1">
      <c r="A3" t="s">
        <v>2186</v>
      </c>
    </row>
    <row r="4" spans="1:1">
      <c r="A4" t="s">
        <v>166</v>
      </c>
    </row>
    <row r="6" spans="1:1">
      <c r="A6" t="s">
        <v>77</v>
      </c>
    </row>
    <row r="7" spans="1:1">
      <c r="A7" t="s">
        <v>78</v>
      </c>
    </row>
    <row r="8" spans="1:1">
      <c r="A8" t="s">
        <v>2187</v>
      </c>
    </row>
    <row r="9" spans="1:1">
      <c r="A9" t="s">
        <v>79</v>
      </c>
    </row>
    <row r="12" spans="1:1">
      <c r="A12" t="s">
        <v>2188</v>
      </c>
    </row>
    <row r="14" spans="1:1">
      <c r="A14" t="s">
        <v>2745</v>
      </c>
    </row>
    <row r="15" spans="1:1">
      <c r="A15" t="s">
        <v>2759</v>
      </c>
    </row>
    <row r="16" spans="1:1">
      <c r="A16" t="s">
        <v>2758</v>
      </c>
    </row>
    <row r="17" spans="1:1">
      <c r="A17" t="s">
        <v>2757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workbookViewId="0">
      <selection sqref="A1:XFD1048576"/>
    </sheetView>
  </sheetViews>
  <sheetFormatPr defaultColWidth="8.85546875" defaultRowHeight="15"/>
  <cols>
    <col min="1" max="1" width="7" bestFit="1" customWidth="1"/>
    <col min="2" max="2" width="10.28515625" bestFit="1" customWidth="1"/>
    <col min="3" max="3" width="7.42578125" bestFit="1" customWidth="1"/>
    <col min="4" max="4" width="7" bestFit="1" customWidth="1"/>
    <col min="5" max="5" width="36.140625" bestFit="1" customWidth="1"/>
  </cols>
  <sheetData>
    <row r="1" spans="1:5">
      <c r="A1" t="s">
        <v>65</v>
      </c>
      <c r="B1" t="s">
        <v>66</v>
      </c>
      <c r="C1" t="s">
        <v>67</v>
      </c>
      <c r="D1" t="s">
        <v>68</v>
      </c>
      <c r="E1" t="s">
        <v>71</v>
      </c>
    </row>
    <row r="2" spans="1:5">
      <c r="A2" t="s">
        <v>2189</v>
      </c>
      <c r="B2">
        <v>1</v>
      </c>
      <c r="C2">
        <v>1</v>
      </c>
      <c r="D2">
        <v>1280</v>
      </c>
      <c r="E2" t="s">
        <v>2190</v>
      </c>
    </row>
    <row r="3" spans="1:5">
      <c r="A3" t="s">
        <v>2189</v>
      </c>
      <c r="B3">
        <v>2</v>
      </c>
      <c r="C3">
        <v>2</v>
      </c>
      <c r="D3">
        <v>1281</v>
      </c>
      <c r="E3" t="s">
        <v>2191</v>
      </c>
    </row>
    <row r="4" spans="1:5">
      <c r="A4" t="s">
        <v>2189</v>
      </c>
      <c r="B4">
        <v>3</v>
      </c>
      <c r="C4">
        <v>3</v>
      </c>
      <c r="D4">
        <v>1282</v>
      </c>
      <c r="E4" t="s">
        <v>2192</v>
      </c>
    </row>
    <row r="5" spans="1:5">
      <c r="A5" t="s">
        <v>2189</v>
      </c>
      <c r="B5">
        <v>4</v>
      </c>
      <c r="C5">
        <v>4</v>
      </c>
      <c r="D5">
        <v>1283</v>
      </c>
      <c r="E5" t="s">
        <v>2193</v>
      </c>
    </row>
    <row r="6" spans="1:5">
      <c r="A6" t="s">
        <v>2189</v>
      </c>
      <c r="B6">
        <v>5</v>
      </c>
      <c r="C6">
        <v>5</v>
      </c>
      <c r="D6">
        <v>1284</v>
      </c>
      <c r="E6" t="s">
        <v>2194</v>
      </c>
    </row>
    <row r="7" spans="1:5">
      <c r="A7" t="s">
        <v>2189</v>
      </c>
      <c r="B7">
        <v>6</v>
      </c>
      <c r="C7">
        <v>6</v>
      </c>
      <c r="D7">
        <v>1285</v>
      </c>
      <c r="E7" t="s">
        <v>2195</v>
      </c>
    </row>
    <row r="8" spans="1:5">
      <c r="A8" t="s">
        <v>2189</v>
      </c>
      <c r="B8">
        <v>7</v>
      </c>
      <c r="C8">
        <v>7</v>
      </c>
      <c r="D8">
        <v>1286</v>
      </c>
      <c r="E8" t="s">
        <v>2196</v>
      </c>
    </row>
    <row r="9" spans="1:5">
      <c r="A9" t="s">
        <v>2189</v>
      </c>
      <c r="B9">
        <v>8</v>
      </c>
      <c r="C9">
        <v>8</v>
      </c>
      <c r="D9">
        <v>1287</v>
      </c>
      <c r="E9" t="s">
        <v>2197</v>
      </c>
    </row>
    <row r="10" spans="1:5">
      <c r="A10" t="s">
        <v>2189</v>
      </c>
      <c r="B10">
        <v>9</v>
      </c>
      <c r="C10">
        <v>9</v>
      </c>
      <c r="D10">
        <v>1288</v>
      </c>
      <c r="E10" t="s">
        <v>2198</v>
      </c>
    </row>
    <row r="11" spans="1:5">
      <c r="A11" t="s">
        <v>2189</v>
      </c>
      <c r="B11">
        <v>10</v>
      </c>
      <c r="C11">
        <v>10</v>
      </c>
      <c r="D11">
        <v>1289</v>
      </c>
      <c r="E11" t="s">
        <v>2199</v>
      </c>
    </row>
    <row r="12" spans="1:5">
      <c r="A12" t="s">
        <v>2189</v>
      </c>
      <c r="B12">
        <v>11</v>
      </c>
      <c r="C12">
        <v>11</v>
      </c>
      <c r="D12">
        <v>1290</v>
      </c>
      <c r="E12" t="s">
        <v>2200</v>
      </c>
    </row>
    <row r="13" spans="1:5">
      <c r="A13" t="s">
        <v>2189</v>
      </c>
      <c r="B13">
        <v>12</v>
      </c>
      <c r="C13">
        <v>12</v>
      </c>
      <c r="D13">
        <v>1291</v>
      </c>
      <c r="E13" t="s">
        <v>2201</v>
      </c>
    </row>
    <row r="14" spans="1:5">
      <c r="A14" t="s">
        <v>2189</v>
      </c>
      <c r="B14">
        <v>13</v>
      </c>
      <c r="C14">
        <v>13</v>
      </c>
      <c r="D14">
        <v>1292</v>
      </c>
      <c r="E14" t="s">
        <v>2202</v>
      </c>
    </row>
    <row r="15" spans="1:5">
      <c r="A15" t="s">
        <v>2189</v>
      </c>
      <c r="B15">
        <v>14</v>
      </c>
      <c r="C15">
        <v>14</v>
      </c>
      <c r="D15">
        <v>1293</v>
      </c>
      <c r="E15" t="s">
        <v>2203</v>
      </c>
    </row>
    <row r="16" spans="1:5">
      <c r="A16" t="s">
        <v>2189</v>
      </c>
      <c r="B16">
        <v>15</v>
      </c>
      <c r="C16">
        <v>15</v>
      </c>
      <c r="D16">
        <v>1294</v>
      </c>
      <c r="E16" t="s">
        <v>2204</v>
      </c>
    </row>
    <row r="17" spans="1:5">
      <c r="A17" t="s">
        <v>2189</v>
      </c>
      <c r="B17">
        <v>16</v>
      </c>
      <c r="C17">
        <v>16</v>
      </c>
      <c r="D17">
        <v>1295</v>
      </c>
      <c r="E17" t="s">
        <v>2205</v>
      </c>
    </row>
    <row r="18" spans="1:5">
      <c r="A18" t="s">
        <v>2189</v>
      </c>
      <c r="B18">
        <v>17</v>
      </c>
      <c r="C18">
        <v>17</v>
      </c>
      <c r="D18">
        <v>1296</v>
      </c>
      <c r="E18" t="s">
        <v>2206</v>
      </c>
    </row>
    <row r="19" spans="1:5">
      <c r="A19" t="s">
        <v>2189</v>
      </c>
      <c r="B19">
        <v>18</v>
      </c>
      <c r="C19">
        <v>18</v>
      </c>
      <c r="D19">
        <v>1297</v>
      </c>
      <c r="E19" t="s">
        <v>2207</v>
      </c>
    </row>
    <row r="20" spans="1:5">
      <c r="A20" t="s">
        <v>2189</v>
      </c>
      <c r="B20">
        <v>19</v>
      </c>
      <c r="C20">
        <v>19</v>
      </c>
      <c r="D20">
        <v>1298</v>
      </c>
      <c r="E20" t="s">
        <v>2208</v>
      </c>
    </row>
    <row r="21" spans="1:5">
      <c r="A21" t="s">
        <v>2189</v>
      </c>
      <c r="B21">
        <v>20</v>
      </c>
      <c r="C21">
        <v>20</v>
      </c>
      <c r="D21">
        <v>1299</v>
      </c>
      <c r="E21" t="s">
        <v>2209</v>
      </c>
    </row>
    <row r="22" spans="1:5">
      <c r="A22" t="s">
        <v>2189</v>
      </c>
      <c r="B22">
        <v>21</v>
      </c>
      <c r="C22">
        <v>21</v>
      </c>
      <c r="D22">
        <v>1300</v>
      </c>
      <c r="E22" t="s">
        <v>2210</v>
      </c>
    </row>
    <row r="23" spans="1:5">
      <c r="A23" t="s">
        <v>2189</v>
      </c>
      <c r="B23">
        <v>22</v>
      </c>
      <c r="C23">
        <v>22</v>
      </c>
      <c r="D23">
        <v>1301</v>
      </c>
      <c r="E23" t="s">
        <v>2211</v>
      </c>
    </row>
    <row r="24" spans="1:5">
      <c r="A24" t="s">
        <v>2189</v>
      </c>
      <c r="B24">
        <v>23</v>
      </c>
      <c r="C24">
        <v>23</v>
      </c>
      <c r="D24">
        <v>1302</v>
      </c>
      <c r="E24" t="s">
        <v>2212</v>
      </c>
    </row>
    <row r="25" spans="1:5">
      <c r="A25" t="s">
        <v>2189</v>
      </c>
      <c r="B25">
        <v>24</v>
      </c>
      <c r="C25">
        <v>24</v>
      </c>
      <c r="D25">
        <v>1303</v>
      </c>
      <c r="E25" t="s">
        <v>2213</v>
      </c>
    </row>
    <row r="26" spans="1:5">
      <c r="A26" t="s">
        <v>2189</v>
      </c>
      <c r="B26">
        <v>25</v>
      </c>
      <c r="C26">
        <v>25</v>
      </c>
      <c r="D26">
        <v>1304</v>
      </c>
      <c r="E26" t="s">
        <v>2214</v>
      </c>
    </row>
    <row r="27" spans="1:5">
      <c r="A27" t="s">
        <v>2189</v>
      </c>
      <c r="B27">
        <v>26</v>
      </c>
      <c r="C27">
        <v>26</v>
      </c>
      <c r="D27">
        <v>1305</v>
      </c>
      <c r="E27" t="s">
        <v>2215</v>
      </c>
    </row>
    <row r="28" spans="1:5">
      <c r="A28" t="s">
        <v>2189</v>
      </c>
      <c r="B28">
        <v>27</v>
      </c>
      <c r="C28">
        <v>27</v>
      </c>
      <c r="D28">
        <v>1306</v>
      </c>
      <c r="E28" t="s">
        <v>2216</v>
      </c>
    </row>
    <row r="29" spans="1:5">
      <c r="A29" t="s">
        <v>2189</v>
      </c>
      <c r="B29">
        <v>28</v>
      </c>
      <c r="C29">
        <v>28</v>
      </c>
      <c r="D29">
        <v>1307</v>
      </c>
      <c r="E29" t="s">
        <v>2217</v>
      </c>
    </row>
    <row r="30" spans="1:5">
      <c r="A30" t="s">
        <v>2189</v>
      </c>
      <c r="B30">
        <v>29</v>
      </c>
      <c r="C30">
        <v>29</v>
      </c>
      <c r="D30">
        <v>1308</v>
      </c>
      <c r="E30" t="s">
        <v>2218</v>
      </c>
    </row>
    <row r="31" spans="1:5">
      <c r="A31" t="s">
        <v>2189</v>
      </c>
      <c r="B31">
        <v>30</v>
      </c>
      <c r="C31">
        <v>30</v>
      </c>
      <c r="D31">
        <v>1309</v>
      </c>
      <c r="E31" t="s">
        <v>2219</v>
      </c>
    </row>
    <row r="32" spans="1:5">
      <c r="A32" t="s">
        <v>2189</v>
      </c>
      <c r="B32">
        <v>31</v>
      </c>
      <c r="C32">
        <v>31</v>
      </c>
      <c r="D32">
        <v>1310</v>
      </c>
      <c r="E32" t="s">
        <v>2220</v>
      </c>
    </row>
    <row r="33" spans="1:5">
      <c r="A33" t="s">
        <v>2189</v>
      </c>
      <c r="B33">
        <v>32</v>
      </c>
      <c r="C33">
        <v>32</v>
      </c>
      <c r="D33">
        <v>1311</v>
      </c>
      <c r="E33" t="s">
        <v>2221</v>
      </c>
    </row>
    <row r="34" spans="1:5">
      <c r="A34" t="s">
        <v>2189</v>
      </c>
      <c r="B34">
        <v>33</v>
      </c>
      <c r="C34">
        <v>33</v>
      </c>
      <c r="D34">
        <v>1312</v>
      </c>
      <c r="E34" t="s">
        <v>2222</v>
      </c>
    </row>
    <row r="35" spans="1:5">
      <c r="A35" t="s">
        <v>2189</v>
      </c>
      <c r="B35">
        <v>34</v>
      </c>
      <c r="C35">
        <v>34</v>
      </c>
      <c r="D35">
        <v>1313</v>
      </c>
      <c r="E35" t="s">
        <v>2223</v>
      </c>
    </row>
    <row r="36" spans="1:5">
      <c r="A36" t="s">
        <v>2189</v>
      </c>
      <c r="B36">
        <v>35</v>
      </c>
      <c r="C36">
        <v>35</v>
      </c>
      <c r="D36">
        <v>1314</v>
      </c>
      <c r="E36" t="s">
        <v>2224</v>
      </c>
    </row>
    <row r="37" spans="1:5">
      <c r="A37" t="s">
        <v>2189</v>
      </c>
      <c r="B37">
        <v>36</v>
      </c>
      <c r="C37">
        <v>36</v>
      </c>
      <c r="D37">
        <v>1315</v>
      </c>
      <c r="E37" t="s">
        <v>2225</v>
      </c>
    </row>
    <row r="38" spans="1:5">
      <c r="A38" t="s">
        <v>2189</v>
      </c>
      <c r="B38">
        <v>37</v>
      </c>
      <c r="C38">
        <v>37</v>
      </c>
      <c r="D38">
        <v>1316</v>
      </c>
      <c r="E38" t="s">
        <v>2226</v>
      </c>
    </row>
    <row r="39" spans="1:5">
      <c r="A39" t="s">
        <v>2189</v>
      </c>
      <c r="B39">
        <v>38</v>
      </c>
      <c r="C39">
        <v>38</v>
      </c>
      <c r="D39">
        <v>1317</v>
      </c>
      <c r="E39" t="s">
        <v>2227</v>
      </c>
    </row>
    <row r="40" spans="1:5">
      <c r="A40" t="s">
        <v>2189</v>
      </c>
      <c r="B40">
        <v>39</v>
      </c>
      <c r="C40">
        <v>39</v>
      </c>
      <c r="D40">
        <v>1318</v>
      </c>
      <c r="E40" t="s">
        <v>2228</v>
      </c>
    </row>
    <row r="41" spans="1:5">
      <c r="A41" t="s">
        <v>2189</v>
      </c>
      <c r="B41">
        <v>40</v>
      </c>
      <c r="C41">
        <v>40</v>
      </c>
      <c r="D41">
        <v>1319</v>
      </c>
      <c r="E41" t="s">
        <v>2229</v>
      </c>
    </row>
    <row r="42" spans="1:5">
      <c r="A42" t="s">
        <v>2189</v>
      </c>
      <c r="B42">
        <v>41</v>
      </c>
      <c r="C42">
        <v>41</v>
      </c>
      <c r="D42">
        <v>1320</v>
      </c>
      <c r="E42" t="s">
        <v>2230</v>
      </c>
    </row>
    <row r="43" spans="1:5">
      <c r="A43" t="s">
        <v>2189</v>
      </c>
      <c r="B43">
        <v>42</v>
      </c>
      <c r="C43">
        <v>42</v>
      </c>
      <c r="D43">
        <v>1321</v>
      </c>
      <c r="E43" t="s">
        <v>2231</v>
      </c>
    </row>
    <row r="44" spans="1:5">
      <c r="A44" t="s">
        <v>2189</v>
      </c>
      <c r="B44">
        <v>43</v>
      </c>
      <c r="C44">
        <v>43</v>
      </c>
      <c r="D44">
        <v>1322</v>
      </c>
      <c r="E44" t="s">
        <v>2232</v>
      </c>
    </row>
    <row r="45" spans="1:5">
      <c r="A45" t="s">
        <v>2189</v>
      </c>
      <c r="B45">
        <v>44</v>
      </c>
      <c r="C45">
        <v>44</v>
      </c>
      <c r="D45">
        <v>1323</v>
      </c>
      <c r="E45" t="s">
        <v>2233</v>
      </c>
    </row>
    <row r="46" spans="1:5">
      <c r="A46" t="s">
        <v>2189</v>
      </c>
      <c r="B46">
        <v>45</v>
      </c>
      <c r="C46">
        <v>45</v>
      </c>
      <c r="D46">
        <v>1324</v>
      </c>
      <c r="E46" t="s">
        <v>2234</v>
      </c>
    </row>
    <row r="47" spans="1:5">
      <c r="A47" t="s">
        <v>2189</v>
      </c>
      <c r="B47">
        <v>46</v>
      </c>
      <c r="C47">
        <v>46</v>
      </c>
      <c r="D47">
        <v>1325</v>
      </c>
      <c r="E47" t="s">
        <v>2235</v>
      </c>
    </row>
    <row r="48" spans="1:5">
      <c r="A48" t="s">
        <v>2189</v>
      </c>
      <c r="B48">
        <v>47</v>
      </c>
      <c r="C48">
        <v>47</v>
      </c>
      <c r="D48">
        <v>1326</v>
      </c>
      <c r="E48" t="s">
        <v>2236</v>
      </c>
    </row>
    <row r="49" spans="1:5">
      <c r="A49" t="s">
        <v>2189</v>
      </c>
      <c r="B49">
        <v>48</v>
      </c>
      <c r="C49">
        <v>48</v>
      </c>
      <c r="D49">
        <v>1327</v>
      </c>
      <c r="E49" t="s">
        <v>2237</v>
      </c>
    </row>
    <row r="50" spans="1:5">
      <c r="A50" t="s">
        <v>2189</v>
      </c>
      <c r="B50">
        <v>49</v>
      </c>
      <c r="C50">
        <v>49</v>
      </c>
      <c r="D50">
        <v>1328</v>
      </c>
      <c r="E50" t="s">
        <v>2238</v>
      </c>
    </row>
    <row r="51" spans="1:5">
      <c r="A51" t="s">
        <v>2189</v>
      </c>
      <c r="B51">
        <v>50</v>
      </c>
      <c r="C51">
        <v>50</v>
      </c>
      <c r="D51">
        <v>1329</v>
      </c>
      <c r="E51" t="s">
        <v>2239</v>
      </c>
    </row>
    <row r="52" spans="1:5">
      <c r="A52" t="s">
        <v>2189</v>
      </c>
      <c r="B52">
        <v>51</v>
      </c>
      <c r="C52">
        <v>51</v>
      </c>
      <c r="D52">
        <v>1330</v>
      </c>
      <c r="E52" t="s">
        <v>2240</v>
      </c>
    </row>
    <row r="53" spans="1:5">
      <c r="A53" t="s">
        <v>2189</v>
      </c>
      <c r="B53">
        <v>52</v>
      </c>
      <c r="C53">
        <v>52</v>
      </c>
      <c r="D53">
        <v>1331</v>
      </c>
      <c r="E53" t="s">
        <v>2241</v>
      </c>
    </row>
    <row r="54" spans="1:5">
      <c r="A54" t="s">
        <v>2189</v>
      </c>
      <c r="B54">
        <v>53</v>
      </c>
      <c r="C54">
        <v>53</v>
      </c>
      <c r="D54">
        <v>1332</v>
      </c>
      <c r="E54" t="s">
        <v>2242</v>
      </c>
    </row>
    <row r="55" spans="1:5">
      <c r="A55" t="s">
        <v>2189</v>
      </c>
      <c r="B55">
        <v>54</v>
      </c>
      <c r="C55">
        <v>54</v>
      </c>
      <c r="D55">
        <v>1333</v>
      </c>
      <c r="E55" t="s">
        <v>2243</v>
      </c>
    </row>
    <row r="56" spans="1:5">
      <c r="A56" t="s">
        <v>2189</v>
      </c>
      <c r="B56">
        <v>55</v>
      </c>
      <c r="C56">
        <v>0</v>
      </c>
      <c r="D56">
        <v>46</v>
      </c>
      <c r="E56" t="s">
        <v>55</v>
      </c>
    </row>
    <row r="57" spans="1:5">
      <c r="A57" t="s">
        <v>2189</v>
      </c>
      <c r="B57">
        <v>56</v>
      </c>
      <c r="C57">
        <v>1</v>
      </c>
      <c r="D57">
        <v>1334</v>
      </c>
      <c r="E57" t="s">
        <v>2244</v>
      </c>
    </row>
    <row r="58" spans="1:5">
      <c r="A58" t="s">
        <v>2189</v>
      </c>
      <c r="B58">
        <v>57</v>
      </c>
      <c r="C58">
        <v>2</v>
      </c>
      <c r="D58">
        <v>1335</v>
      </c>
      <c r="E58" t="s">
        <v>2245</v>
      </c>
    </row>
    <row r="59" spans="1:5">
      <c r="A59" t="s">
        <v>2189</v>
      </c>
      <c r="B59">
        <v>58</v>
      </c>
      <c r="C59">
        <v>3</v>
      </c>
      <c r="D59">
        <v>1336</v>
      </c>
      <c r="E59" t="s">
        <v>2246</v>
      </c>
    </row>
    <row r="60" spans="1:5">
      <c r="A60" t="s">
        <v>2189</v>
      </c>
      <c r="B60">
        <v>59</v>
      </c>
      <c r="C60">
        <v>4</v>
      </c>
      <c r="D60">
        <v>1337</v>
      </c>
      <c r="E60" t="s">
        <v>2247</v>
      </c>
    </row>
    <row r="61" spans="1:5">
      <c r="A61" t="s">
        <v>2189</v>
      </c>
      <c r="B61">
        <v>60</v>
      </c>
      <c r="C61">
        <v>5</v>
      </c>
      <c r="D61">
        <v>1338</v>
      </c>
      <c r="E61" t="s">
        <v>2248</v>
      </c>
    </row>
    <row r="62" spans="1:5">
      <c r="A62" t="s">
        <v>2189</v>
      </c>
      <c r="B62">
        <v>61</v>
      </c>
      <c r="C62">
        <v>6</v>
      </c>
      <c r="D62">
        <v>1339</v>
      </c>
      <c r="E62" t="s">
        <v>2249</v>
      </c>
    </row>
    <row r="63" spans="1:5">
      <c r="A63" t="s">
        <v>2189</v>
      </c>
      <c r="B63">
        <v>62</v>
      </c>
      <c r="C63">
        <v>7</v>
      </c>
      <c r="D63">
        <v>1340</v>
      </c>
      <c r="E63" t="s">
        <v>2250</v>
      </c>
    </row>
    <row r="64" spans="1:5">
      <c r="A64" t="s">
        <v>2189</v>
      </c>
      <c r="B64">
        <v>63</v>
      </c>
      <c r="C64">
        <v>8</v>
      </c>
      <c r="D64">
        <v>1341</v>
      </c>
      <c r="E64" t="s">
        <v>2251</v>
      </c>
    </row>
    <row r="65" spans="1:5">
      <c r="A65" t="s">
        <v>2189</v>
      </c>
      <c r="B65">
        <v>64</v>
      </c>
      <c r="C65">
        <v>9</v>
      </c>
      <c r="D65">
        <v>1342</v>
      </c>
      <c r="E65" t="s">
        <v>2252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7"/>
  <sheetViews>
    <sheetView topLeftCell="A46" workbookViewId="0">
      <selection activeCell="I50" sqref="I50"/>
    </sheetView>
  </sheetViews>
  <sheetFormatPr defaultColWidth="8.85546875" defaultRowHeight="15"/>
  <cols>
    <col min="1" max="1" width="38.85546875" customWidth="1"/>
    <col min="2" max="2" width="27.28515625" customWidth="1"/>
    <col min="3" max="3" width="33" bestFit="1" customWidth="1"/>
    <col min="4" max="4" width="27.7109375" bestFit="1" customWidth="1"/>
    <col min="5" max="6" width="7" bestFit="1" customWidth="1"/>
    <col min="7" max="7" width="10.140625" bestFit="1" customWidth="1"/>
  </cols>
  <sheetData>
    <row r="1" spans="1:8">
      <c r="A1" s="4" t="s">
        <v>310</v>
      </c>
      <c r="B1" s="4" t="s">
        <v>75</v>
      </c>
      <c r="C1" s="4" t="s">
        <v>1260</v>
      </c>
      <c r="D1" s="4" t="s">
        <v>2308</v>
      </c>
      <c r="E1" s="4" t="s">
        <v>1879</v>
      </c>
      <c r="F1" s="4" t="s">
        <v>1882</v>
      </c>
      <c r="G1" s="4" t="s">
        <v>1883</v>
      </c>
      <c r="H1" s="4" t="s">
        <v>1273</v>
      </c>
    </row>
    <row r="2" spans="1:8">
      <c r="A2" t="s">
        <v>2273</v>
      </c>
      <c r="C2" t="b">
        <f>EXACT(A2,B2)</f>
        <v>0</v>
      </c>
      <c r="D2" t="e">
        <f>VLOOKUP(B2, A2:A336, 1, FALSE)</f>
        <v>#N/A</v>
      </c>
      <c r="E2" t="str">
        <f>IF((AND(EXACT(C2,"TRUE"),_xlfn.IFNA(D2,"NA")&lt;&gt;"NA")),"Exist","")</f>
        <v/>
      </c>
      <c r="F2" t="str">
        <f>IF((AND(EXACT(C2,"FALSE"),_xlfn.IFNA(D2,"NA")="NA")),"New","")</f>
        <v>New</v>
      </c>
      <c r="G2" t="str">
        <f>IF((AND(ISBLANK(B2),EXACT(C2,"FALSE"))),"Remove","")</f>
        <v>Remove</v>
      </c>
    </row>
    <row r="3" spans="1:8">
      <c r="A3" t="s">
        <v>2274</v>
      </c>
      <c r="C3" t="b">
        <f t="shared" ref="C3:C65" si="0">EXACT(A3,B3)</f>
        <v>0</v>
      </c>
      <c r="D3" t="e">
        <f t="shared" ref="D3:D65" si="1">VLOOKUP(B3, A3:A337, 1, FALSE)</f>
        <v>#N/A</v>
      </c>
      <c r="E3" t="str">
        <f t="shared" ref="E3:E65" si="2">IF((AND(EXACT(C3,"TRUE"),_xlfn.IFNA(D3,"NA")&lt;&gt;"NA")),"Exist","")</f>
        <v/>
      </c>
      <c r="F3" t="str">
        <f t="shared" ref="F3:F65" si="3">IF((AND(EXACT(C3,"FALSE"),_xlfn.IFNA(D3,"NA")="NA")),"New","")</f>
        <v>New</v>
      </c>
      <c r="G3" t="str">
        <f t="shared" ref="G3:G65" si="4">IF((AND(ISBLANK(B3),EXACT(C3,"FALSE"))),"Remove","")</f>
        <v>Remove</v>
      </c>
    </row>
    <row r="4" spans="1:8">
      <c r="A4" t="s">
        <v>2275</v>
      </c>
      <c r="C4" t="b">
        <f t="shared" si="0"/>
        <v>0</v>
      </c>
      <c r="D4" t="e">
        <f t="shared" si="1"/>
        <v>#N/A</v>
      </c>
      <c r="E4" t="str">
        <f t="shared" si="2"/>
        <v/>
      </c>
      <c r="F4" t="str">
        <f t="shared" si="3"/>
        <v>New</v>
      </c>
      <c r="G4" t="str">
        <f t="shared" si="4"/>
        <v>Remove</v>
      </c>
    </row>
    <row r="5" spans="1:8">
      <c r="A5" t="s">
        <v>2253</v>
      </c>
      <c r="B5" s="87" t="s">
        <v>2253</v>
      </c>
      <c r="C5" t="b">
        <f t="shared" si="0"/>
        <v>1</v>
      </c>
      <c r="D5" t="str">
        <f t="shared" si="1"/>
        <v>Manufacturing Costs</v>
      </c>
      <c r="E5" t="str">
        <f t="shared" si="2"/>
        <v>Exist</v>
      </c>
      <c r="F5" t="str">
        <f t="shared" si="3"/>
        <v/>
      </c>
      <c r="G5" t="str">
        <f t="shared" si="4"/>
        <v/>
      </c>
    </row>
    <row r="6" spans="1:8">
      <c r="A6" t="s">
        <v>1188</v>
      </c>
      <c r="B6" s="85" t="s">
        <v>1188</v>
      </c>
      <c r="C6" t="b">
        <f t="shared" si="0"/>
        <v>1</v>
      </c>
      <c r="D6" t="str">
        <f t="shared" si="1"/>
        <v>DM-Raw Materials</v>
      </c>
      <c r="E6" t="str">
        <f t="shared" si="2"/>
        <v>Exist</v>
      </c>
      <c r="F6" t="str">
        <f t="shared" si="3"/>
        <v/>
      </c>
      <c r="G6" t="str">
        <f t="shared" si="4"/>
        <v/>
      </c>
    </row>
    <row r="7" spans="1:8">
      <c r="A7" t="s">
        <v>1189</v>
      </c>
      <c r="B7" s="88" t="s">
        <v>1189</v>
      </c>
      <c r="C7" t="b">
        <f t="shared" si="0"/>
        <v>1</v>
      </c>
      <c r="D7" t="str">
        <f t="shared" si="1"/>
        <v>DM-Parts &amp; Access</v>
      </c>
      <c r="E7" t="str">
        <f t="shared" si="2"/>
        <v>Exist</v>
      </c>
      <c r="F7" t="str">
        <f t="shared" si="3"/>
        <v/>
      </c>
      <c r="G7" t="str">
        <f t="shared" si="4"/>
        <v/>
      </c>
    </row>
    <row r="8" spans="1:8">
      <c r="A8" t="s">
        <v>2276</v>
      </c>
      <c r="B8" s="86" t="s">
        <v>2276</v>
      </c>
      <c r="C8" t="b">
        <f t="shared" si="0"/>
        <v>1</v>
      </c>
      <c r="D8" t="str">
        <f t="shared" si="1"/>
        <v>DM-Packing &amp; Label Materials</v>
      </c>
      <c r="E8" t="str">
        <f t="shared" si="2"/>
        <v>Exist</v>
      </c>
      <c r="F8" t="str">
        <f t="shared" si="3"/>
        <v/>
      </c>
      <c r="G8" t="str">
        <f t="shared" si="4"/>
        <v/>
      </c>
    </row>
    <row r="9" spans="1:8">
      <c r="A9" t="s">
        <v>1193</v>
      </c>
      <c r="B9" s="86" t="s">
        <v>1193</v>
      </c>
      <c r="C9" t="b">
        <f t="shared" si="0"/>
        <v>1</v>
      </c>
      <c r="D9" t="str">
        <f t="shared" si="1"/>
        <v>DM-Others</v>
      </c>
      <c r="E9" t="str">
        <f t="shared" si="2"/>
        <v>Exist</v>
      </c>
      <c r="F9" t="str">
        <f t="shared" si="3"/>
        <v/>
      </c>
      <c r="G9" t="str">
        <f t="shared" si="4"/>
        <v/>
      </c>
    </row>
    <row r="10" spans="1:8">
      <c r="A10" t="s">
        <v>1140</v>
      </c>
      <c r="B10" s="89" t="s">
        <v>1140</v>
      </c>
      <c r="C10" t="b">
        <f t="shared" si="0"/>
        <v>1</v>
      </c>
      <c r="D10" t="str">
        <f t="shared" si="1"/>
        <v>Direct Material</v>
      </c>
      <c r="E10" t="str">
        <f t="shared" si="2"/>
        <v>Exist</v>
      </c>
      <c r="F10" t="str">
        <f t="shared" si="3"/>
        <v/>
      </c>
      <c r="G10" t="str">
        <f t="shared" si="4"/>
        <v/>
      </c>
    </row>
    <row r="11" spans="1:8">
      <c r="A11" t="s">
        <v>699</v>
      </c>
      <c r="B11" s="90" t="s">
        <v>699</v>
      </c>
      <c r="C11" t="b">
        <f t="shared" si="0"/>
        <v>1</v>
      </c>
      <c r="D11" t="str">
        <f t="shared" si="1"/>
        <v>Salary &amp; Leave</v>
      </c>
      <c r="E11" t="str">
        <f t="shared" si="2"/>
        <v>Exist</v>
      </c>
      <c r="F11" t="str">
        <f t="shared" si="3"/>
        <v/>
      </c>
      <c r="G11" t="str">
        <f t="shared" si="4"/>
        <v/>
      </c>
    </row>
    <row r="12" spans="1:8">
      <c r="A12" t="s">
        <v>2254</v>
      </c>
      <c r="B12" s="91" t="s">
        <v>2254</v>
      </c>
      <c r="C12" t="b">
        <f t="shared" si="0"/>
        <v>1</v>
      </c>
      <c r="D12" t="str">
        <f t="shared" si="1"/>
        <v>Bonus</v>
      </c>
      <c r="E12" t="str">
        <f t="shared" si="2"/>
        <v>Exist</v>
      </c>
      <c r="F12" t="str">
        <f t="shared" si="3"/>
        <v/>
      </c>
      <c r="G12" t="str">
        <f t="shared" si="4"/>
        <v/>
      </c>
    </row>
    <row r="13" spans="1:8">
      <c r="A13" t="s">
        <v>2255</v>
      </c>
      <c r="B13" s="91" t="s">
        <v>2255</v>
      </c>
      <c r="C13" t="b">
        <f t="shared" si="0"/>
        <v>1</v>
      </c>
      <c r="D13" t="str">
        <f t="shared" si="1"/>
        <v>Foreign Workers/Casual/Temp</v>
      </c>
      <c r="E13" t="str">
        <f t="shared" si="2"/>
        <v>Exist</v>
      </c>
      <c r="F13" t="str">
        <f t="shared" si="3"/>
        <v/>
      </c>
      <c r="G13" t="str">
        <f t="shared" si="4"/>
        <v/>
      </c>
    </row>
    <row r="14" spans="1:8">
      <c r="A14" t="s">
        <v>2309</v>
      </c>
      <c r="B14" s="91"/>
      <c r="C14" t="b">
        <f t="shared" si="0"/>
        <v>0</v>
      </c>
      <c r="D14" t="e">
        <f t="shared" si="1"/>
        <v>#N/A</v>
      </c>
      <c r="E14" t="str">
        <f t="shared" si="2"/>
        <v/>
      </c>
      <c r="F14" t="str">
        <f t="shared" si="3"/>
        <v>New</v>
      </c>
      <c r="G14" t="str">
        <f t="shared" si="4"/>
        <v>Remove</v>
      </c>
    </row>
    <row r="15" spans="1:8">
      <c r="A15" t="s">
        <v>1203</v>
      </c>
      <c r="B15" s="91" t="s">
        <v>1203</v>
      </c>
      <c r="C15" t="b">
        <f t="shared" si="0"/>
        <v>1</v>
      </c>
      <c r="D15" t="str">
        <f t="shared" si="1"/>
        <v>DL-Overtime</v>
      </c>
      <c r="E15" t="str">
        <f t="shared" si="2"/>
        <v>Exist</v>
      </c>
      <c r="F15" t="str">
        <f t="shared" si="3"/>
        <v/>
      </c>
      <c r="G15" t="str">
        <f t="shared" si="4"/>
        <v/>
      </c>
    </row>
    <row r="16" spans="1:8">
      <c r="A16" t="s">
        <v>2277</v>
      </c>
      <c r="B16" s="91" t="s">
        <v>2277</v>
      </c>
      <c r="C16" t="b">
        <f t="shared" si="0"/>
        <v>1</v>
      </c>
      <c r="D16" t="str">
        <f t="shared" si="1"/>
        <v>DL-Shift Allowance &amp; Incentive</v>
      </c>
      <c r="E16" t="str">
        <f t="shared" si="2"/>
        <v>Exist</v>
      </c>
      <c r="F16" t="str">
        <f t="shared" si="3"/>
        <v/>
      </c>
      <c r="G16" t="str">
        <f t="shared" si="4"/>
        <v/>
      </c>
    </row>
    <row r="17" spans="1:7">
      <c r="A17" t="s">
        <v>2278</v>
      </c>
      <c r="B17" s="91" t="s">
        <v>2278</v>
      </c>
      <c r="C17" t="b">
        <f t="shared" si="0"/>
        <v>1</v>
      </c>
      <c r="D17" t="str">
        <f t="shared" si="1"/>
        <v>DL-Staff Transport/Vehicle Rental</v>
      </c>
      <c r="E17" t="str">
        <f t="shared" si="2"/>
        <v>Exist</v>
      </c>
      <c r="F17" t="str">
        <f t="shared" si="3"/>
        <v/>
      </c>
      <c r="G17" t="str">
        <f t="shared" si="4"/>
        <v/>
      </c>
    </row>
    <row r="18" spans="1:7">
      <c r="A18" t="s">
        <v>2279</v>
      </c>
      <c r="B18" s="91" t="s">
        <v>2279</v>
      </c>
      <c r="C18" t="b">
        <f t="shared" si="0"/>
        <v>1</v>
      </c>
      <c r="D18" t="str">
        <f t="shared" si="1"/>
        <v>DL-Social Security Contribution</v>
      </c>
      <c r="E18" t="str">
        <f t="shared" si="2"/>
        <v>Exist</v>
      </c>
      <c r="F18" t="str">
        <f t="shared" si="3"/>
        <v/>
      </c>
      <c r="G18" t="str">
        <f t="shared" si="4"/>
        <v/>
      </c>
    </row>
    <row r="19" spans="1:7">
      <c r="A19" t="s">
        <v>2280</v>
      </c>
      <c r="B19" s="91" t="s">
        <v>2280</v>
      </c>
      <c r="C19" t="b">
        <f t="shared" si="0"/>
        <v>1</v>
      </c>
      <c r="D19" t="str">
        <f t="shared" si="1"/>
        <v>DL-Workers` Levy</v>
      </c>
      <c r="E19" t="str">
        <f t="shared" si="2"/>
        <v>Exist</v>
      </c>
      <c r="F19" t="str">
        <f t="shared" si="3"/>
        <v/>
      </c>
      <c r="G19" t="str">
        <f t="shared" si="4"/>
        <v/>
      </c>
    </row>
    <row r="20" spans="1:7">
      <c r="A20" t="s">
        <v>2281</v>
      </c>
      <c r="B20" s="92" t="s">
        <v>2281</v>
      </c>
      <c r="C20" t="b">
        <f t="shared" si="0"/>
        <v>1</v>
      </c>
      <c r="D20" t="str">
        <f t="shared" si="1"/>
        <v>DL-Others Direct Labor Costs</v>
      </c>
      <c r="E20" t="str">
        <f t="shared" si="2"/>
        <v>Exist</v>
      </c>
      <c r="F20" t="str">
        <f t="shared" si="3"/>
        <v/>
      </c>
      <c r="G20" t="str">
        <f t="shared" si="4"/>
        <v/>
      </c>
    </row>
    <row r="21" spans="1:7">
      <c r="A21" t="s">
        <v>2282</v>
      </c>
      <c r="B21" s="89" t="s">
        <v>2282</v>
      </c>
      <c r="C21" t="b">
        <f t="shared" si="0"/>
        <v>1</v>
      </c>
      <c r="D21" t="str">
        <f t="shared" si="1"/>
        <v>Direct Labor</v>
      </c>
      <c r="E21" t="str">
        <f t="shared" si="2"/>
        <v>Exist</v>
      </c>
      <c r="F21" t="str">
        <f t="shared" si="3"/>
        <v/>
      </c>
      <c r="G21" t="str">
        <f t="shared" si="4"/>
        <v/>
      </c>
    </row>
    <row r="22" spans="1:7">
      <c r="A22" t="s">
        <v>2283</v>
      </c>
      <c r="B22" s="93" t="s">
        <v>2283</v>
      </c>
      <c r="C22" t="b">
        <f t="shared" si="0"/>
        <v>1</v>
      </c>
      <c r="D22" t="str">
        <f t="shared" si="1"/>
        <v>Direct Expenses</v>
      </c>
      <c r="E22" t="str">
        <f t="shared" si="2"/>
        <v>Exist</v>
      </c>
      <c r="F22" t="str">
        <f t="shared" si="3"/>
        <v/>
      </c>
      <c r="G22" t="str">
        <f t="shared" si="4"/>
        <v/>
      </c>
    </row>
    <row r="23" spans="1:7" ht="15.75" thickBot="1">
      <c r="A23" t="s">
        <v>1146</v>
      </c>
      <c r="B23" s="94" t="s">
        <v>1146</v>
      </c>
      <c r="C23" t="b">
        <f t="shared" si="0"/>
        <v>1</v>
      </c>
      <c r="D23" t="str">
        <f t="shared" si="1"/>
        <v>Prime Cost</v>
      </c>
      <c r="E23" t="str">
        <f t="shared" si="2"/>
        <v>Exist</v>
      </c>
      <c r="F23" t="str">
        <f t="shared" si="3"/>
        <v/>
      </c>
      <c r="G23" t="str">
        <f t="shared" si="4"/>
        <v/>
      </c>
    </row>
    <row r="24" spans="1:7" ht="15.75" thickTop="1">
      <c r="A24" t="s">
        <v>1221</v>
      </c>
      <c r="B24" s="89" t="s">
        <v>1221</v>
      </c>
      <c r="C24" t="b">
        <f t="shared" si="0"/>
        <v>1</v>
      </c>
      <c r="D24" t="str">
        <f t="shared" si="1"/>
        <v>Indirect Material</v>
      </c>
      <c r="E24" t="str">
        <f t="shared" si="2"/>
        <v>Exist</v>
      </c>
      <c r="F24" t="str">
        <f t="shared" si="3"/>
        <v/>
      </c>
      <c r="G24" t="str">
        <f t="shared" si="4"/>
        <v/>
      </c>
    </row>
    <row r="25" spans="1:7">
      <c r="A25" t="s">
        <v>1223</v>
      </c>
      <c r="B25" s="90" t="s">
        <v>1223</v>
      </c>
      <c r="C25" t="b">
        <f t="shared" si="0"/>
        <v>1</v>
      </c>
      <c r="D25" t="str">
        <f t="shared" si="1"/>
        <v>IL-Salary &amp; Leave</v>
      </c>
      <c r="E25" t="str">
        <f t="shared" si="2"/>
        <v>Exist</v>
      </c>
      <c r="F25" t="str">
        <f t="shared" si="3"/>
        <v/>
      </c>
      <c r="G25" t="str">
        <f t="shared" si="4"/>
        <v/>
      </c>
    </row>
    <row r="26" spans="1:7">
      <c r="A26" t="s">
        <v>1224</v>
      </c>
      <c r="B26" s="91" t="s">
        <v>1224</v>
      </c>
      <c r="C26" t="b">
        <f t="shared" si="0"/>
        <v>1</v>
      </c>
      <c r="D26" t="str">
        <f t="shared" si="1"/>
        <v>IL-Bonus</v>
      </c>
      <c r="E26" t="str">
        <f t="shared" si="2"/>
        <v>Exist</v>
      </c>
      <c r="F26" t="str">
        <f t="shared" si="3"/>
        <v/>
      </c>
      <c r="G26" t="str">
        <f t="shared" si="4"/>
        <v/>
      </c>
    </row>
    <row r="27" spans="1:7">
      <c r="A27" t="s">
        <v>2284</v>
      </c>
      <c r="B27" s="91" t="s">
        <v>2284</v>
      </c>
      <c r="C27" t="b">
        <f t="shared" si="0"/>
        <v>1</v>
      </c>
      <c r="D27" t="str">
        <f t="shared" si="1"/>
        <v>IL-Foreign Workers/Casual/Temp</v>
      </c>
      <c r="E27" t="str">
        <f t="shared" si="2"/>
        <v>Exist</v>
      </c>
      <c r="F27" t="str">
        <f t="shared" si="3"/>
        <v/>
      </c>
      <c r="G27" t="str">
        <f t="shared" si="4"/>
        <v/>
      </c>
    </row>
    <row r="28" spans="1:7">
      <c r="A28" t="s">
        <v>1229</v>
      </c>
      <c r="B28" s="91" t="s">
        <v>1229</v>
      </c>
      <c r="C28" t="b">
        <f t="shared" si="0"/>
        <v>1</v>
      </c>
      <c r="D28" t="str">
        <f t="shared" si="1"/>
        <v>IL-Overtime</v>
      </c>
      <c r="E28" t="str">
        <f t="shared" si="2"/>
        <v>Exist</v>
      </c>
      <c r="F28" t="str">
        <f t="shared" si="3"/>
        <v/>
      </c>
      <c r="G28" t="str">
        <f t="shared" si="4"/>
        <v/>
      </c>
    </row>
    <row r="29" spans="1:7">
      <c r="A29" t="s">
        <v>2285</v>
      </c>
      <c r="B29" s="91" t="s">
        <v>2285</v>
      </c>
      <c r="C29" t="b">
        <f t="shared" si="0"/>
        <v>1</v>
      </c>
      <c r="D29" t="str">
        <f t="shared" si="1"/>
        <v>IL-Shift Allowance &amp; Incentive</v>
      </c>
      <c r="E29" t="str">
        <f t="shared" si="2"/>
        <v>Exist</v>
      </c>
      <c r="F29" t="str">
        <f t="shared" si="3"/>
        <v/>
      </c>
      <c r="G29" t="str">
        <f t="shared" si="4"/>
        <v/>
      </c>
    </row>
    <row r="30" spans="1:7">
      <c r="A30" t="s">
        <v>2286</v>
      </c>
      <c r="B30" s="91" t="s">
        <v>2286</v>
      </c>
      <c r="C30" t="b">
        <f t="shared" si="0"/>
        <v>1</v>
      </c>
      <c r="D30" t="str">
        <f t="shared" si="1"/>
        <v>IL-Staff Transport/Vehicle Rental</v>
      </c>
      <c r="E30" t="str">
        <f t="shared" si="2"/>
        <v>Exist</v>
      </c>
      <c r="F30" t="str">
        <f t="shared" si="3"/>
        <v/>
      </c>
      <c r="G30" t="str">
        <f t="shared" si="4"/>
        <v/>
      </c>
    </row>
    <row r="31" spans="1:7">
      <c r="A31" t="s">
        <v>2287</v>
      </c>
      <c r="B31" s="91" t="s">
        <v>2287</v>
      </c>
      <c r="C31" t="b">
        <f t="shared" si="0"/>
        <v>1</v>
      </c>
      <c r="D31" t="str">
        <f t="shared" si="1"/>
        <v>IL-Social Security Contribution</v>
      </c>
      <c r="E31" t="str">
        <f t="shared" si="2"/>
        <v>Exist</v>
      </c>
      <c r="F31" t="str">
        <f t="shared" si="3"/>
        <v/>
      </c>
      <c r="G31" t="str">
        <f t="shared" si="4"/>
        <v/>
      </c>
    </row>
    <row r="32" spans="1:7">
      <c r="A32" t="s">
        <v>2288</v>
      </c>
      <c r="B32" s="91" t="s">
        <v>2288</v>
      </c>
      <c r="C32" t="b">
        <f t="shared" si="0"/>
        <v>1</v>
      </c>
      <c r="D32" t="str">
        <f t="shared" si="1"/>
        <v>IL-Workers` Levy</v>
      </c>
      <c r="E32" t="str">
        <f t="shared" si="2"/>
        <v>Exist</v>
      </c>
      <c r="F32" t="str">
        <f t="shared" si="3"/>
        <v/>
      </c>
      <c r="G32" t="str">
        <f t="shared" si="4"/>
        <v/>
      </c>
    </row>
    <row r="33" spans="1:7">
      <c r="A33" t="s">
        <v>2289</v>
      </c>
      <c r="B33" s="91" t="s">
        <v>2289</v>
      </c>
      <c r="C33" t="b">
        <f t="shared" si="0"/>
        <v>1</v>
      </c>
      <c r="D33" t="str">
        <f t="shared" si="1"/>
        <v>IL-Expats` Expenses</v>
      </c>
      <c r="E33" t="str">
        <f t="shared" si="2"/>
        <v>Exist</v>
      </c>
      <c r="F33" t="str">
        <f t="shared" si="3"/>
        <v/>
      </c>
      <c r="G33" t="str">
        <f t="shared" si="4"/>
        <v/>
      </c>
    </row>
    <row r="34" spans="1:7">
      <c r="A34" t="s">
        <v>2290</v>
      </c>
      <c r="B34" s="91" t="s">
        <v>2290</v>
      </c>
      <c r="C34" t="b">
        <f t="shared" si="0"/>
        <v>1</v>
      </c>
      <c r="D34" t="str">
        <f t="shared" si="1"/>
        <v>IL-Other Indirect Labor Costs</v>
      </c>
      <c r="E34" t="str">
        <f t="shared" si="2"/>
        <v>Exist</v>
      </c>
      <c r="F34" t="str">
        <f t="shared" si="3"/>
        <v/>
      </c>
      <c r="G34" t="str">
        <f t="shared" si="4"/>
        <v/>
      </c>
    </row>
    <row r="35" spans="1:7">
      <c r="B35" s="91" t="s">
        <v>1155</v>
      </c>
      <c r="C35" t="b">
        <f t="shared" si="0"/>
        <v>0</v>
      </c>
      <c r="D35" t="e">
        <f t="shared" si="1"/>
        <v>#N/A</v>
      </c>
      <c r="E35" t="str">
        <f t="shared" si="2"/>
        <v/>
      </c>
      <c r="F35" t="str">
        <f t="shared" si="3"/>
        <v>New</v>
      </c>
      <c r="G35" t="str">
        <f t="shared" si="4"/>
        <v/>
      </c>
    </row>
    <row r="36" spans="1:7">
      <c r="B36" s="91" t="s">
        <v>1156</v>
      </c>
      <c r="C36" t="b">
        <f t="shared" si="0"/>
        <v>0</v>
      </c>
      <c r="D36" t="e">
        <f t="shared" si="1"/>
        <v>#N/A</v>
      </c>
      <c r="E36" t="str">
        <f t="shared" si="2"/>
        <v/>
      </c>
      <c r="F36" t="str">
        <f t="shared" si="3"/>
        <v>New</v>
      </c>
      <c r="G36" t="str">
        <f t="shared" si="4"/>
        <v/>
      </c>
    </row>
    <row r="37" spans="1:7">
      <c r="A37" t="s">
        <v>2256</v>
      </c>
      <c r="B37" s="95" t="s">
        <v>2256</v>
      </c>
      <c r="C37" t="b">
        <f t="shared" si="0"/>
        <v>1</v>
      </c>
      <c r="D37" t="str">
        <f t="shared" si="1"/>
        <v>Indirect Labor</v>
      </c>
      <c r="E37" t="str">
        <f t="shared" si="2"/>
        <v>Exist</v>
      </c>
      <c r="F37" t="str">
        <f t="shared" si="3"/>
        <v/>
      </c>
      <c r="G37" t="str">
        <f t="shared" si="4"/>
        <v/>
      </c>
    </row>
    <row r="38" spans="1:7">
      <c r="A38" t="s">
        <v>2257</v>
      </c>
      <c r="B38" s="85" t="s">
        <v>2257</v>
      </c>
      <c r="C38" t="b">
        <f t="shared" si="0"/>
        <v>1</v>
      </c>
      <c r="D38" t="str">
        <f t="shared" si="1"/>
        <v>Utilities - Elec, Water, Gas</v>
      </c>
      <c r="E38" t="str">
        <f t="shared" si="2"/>
        <v>Exist</v>
      </c>
      <c r="F38" t="str">
        <f t="shared" si="3"/>
        <v/>
      </c>
      <c r="G38" t="str">
        <f t="shared" si="4"/>
        <v/>
      </c>
    </row>
    <row r="39" spans="1:7">
      <c r="A39" t="s">
        <v>2291</v>
      </c>
      <c r="B39" s="86" t="s">
        <v>2291</v>
      </c>
      <c r="C39" t="b">
        <f t="shared" si="0"/>
        <v>1</v>
      </c>
      <c r="D39" t="str">
        <f t="shared" si="1"/>
        <v>Product Development/Testing</v>
      </c>
      <c r="E39" t="str">
        <f t="shared" si="2"/>
        <v>Exist</v>
      </c>
      <c r="F39" t="str">
        <f t="shared" si="3"/>
        <v/>
      </c>
      <c r="G39" t="str">
        <f t="shared" si="4"/>
        <v/>
      </c>
    </row>
    <row r="40" spans="1:7">
      <c r="A40" t="s">
        <v>2292</v>
      </c>
      <c r="B40" s="86"/>
      <c r="C40" t="b">
        <f t="shared" si="0"/>
        <v>0</v>
      </c>
      <c r="D40" t="e">
        <f t="shared" si="1"/>
        <v>#N/A</v>
      </c>
      <c r="E40" t="str">
        <f t="shared" si="2"/>
        <v/>
      </c>
      <c r="F40" t="str">
        <f t="shared" si="3"/>
        <v>New</v>
      </c>
      <c r="G40" t="str">
        <f t="shared" si="4"/>
        <v>Remove</v>
      </c>
    </row>
    <row r="41" spans="1:7">
      <c r="B41" s="86" t="s">
        <v>2258</v>
      </c>
      <c r="C41" t="b">
        <f t="shared" si="0"/>
        <v>0</v>
      </c>
      <c r="D41" t="e">
        <f t="shared" si="1"/>
        <v>#N/A</v>
      </c>
      <c r="E41" t="str">
        <f t="shared" si="2"/>
        <v/>
      </c>
      <c r="F41" t="str">
        <f t="shared" si="3"/>
        <v>New</v>
      </c>
      <c r="G41" t="str">
        <f t="shared" si="4"/>
        <v/>
      </c>
    </row>
    <row r="42" spans="1:7">
      <c r="A42" t="s">
        <v>2259</v>
      </c>
      <c r="B42" s="88" t="s">
        <v>2259</v>
      </c>
      <c r="C42" t="b">
        <f t="shared" si="0"/>
        <v>1</v>
      </c>
      <c r="D42" t="str">
        <f t="shared" si="1"/>
        <v>Manufacturing Loss/Wastage</v>
      </c>
      <c r="E42" t="str">
        <f t="shared" si="2"/>
        <v>Exist</v>
      </c>
      <c r="F42" t="str">
        <f t="shared" si="3"/>
        <v/>
      </c>
      <c r="G42" t="str">
        <f t="shared" si="4"/>
        <v/>
      </c>
    </row>
    <row r="43" spans="1:7">
      <c r="A43" t="s">
        <v>2260</v>
      </c>
      <c r="B43" s="88" t="s">
        <v>2260</v>
      </c>
      <c r="C43" t="b">
        <f t="shared" si="0"/>
        <v>1</v>
      </c>
      <c r="D43" t="str">
        <f t="shared" si="1"/>
        <v>Rejects/Reworks/Scrap</v>
      </c>
      <c r="E43" t="str">
        <f t="shared" si="2"/>
        <v>Exist</v>
      </c>
      <c r="F43" t="str">
        <f t="shared" si="3"/>
        <v/>
      </c>
      <c r="G43" t="str">
        <f t="shared" si="4"/>
        <v/>
      </c>
    </row>
    <row r="44" spans="1:7">
      <c r="A44" t="s">
        <v>2293</v>
      </c>
      <c r="B44" s="88"/>
      <c r="C44" t="b">
        <f t="shared" si="0"/>
        <v>0</v>
      </c>
      <c r="D44" t="e">
        <f t="shared" si="1"/>
        <v>#N/A</v>
      </c>
      <c r="E44" t="str">
        <f t="shared" si="2"/>
        <v/>
      </c>
      <c r="F44" t="str">
        <f t="shared" si="3"/>
        <v>New</v>
      </c>
      <c r="G44" t="str">
        <f t="shared" si="4"/>
        <v>Remove</v>
      </c>
    </row>
    <row r="45" spans="1:7">
      <c r="A45" t="s">
        <v>2294</v>
      </c>
      <c r="B45" s="88"/>
      <c r="C45" t="b">
        <f t="shared" si="0"/>
        <v>0</v>
      </c>
      <c r="D45" t="e">
        <f t="shared" si="1"/>
        <v>#N/A</v>
      </c>
      <c r="E45" t="str">
        <f t="shared" si="2"/>
        <v/>
      </c>
      <c r="F45" t="str">
        <f t="shared" si="3"/>
        <v>New</v>
      </c>
      <c r="G45" t="str">
        <f t="shared" si="4"/>
        <v>Remove</v>
      </c>
    </row>
    <row r="46" spans="1:7">
      <c r="B46" s="88" t="s">
        <v>2261</v>
      </c>
      <c r="C46" t="b">
        <f t="shared" si="0"/>
        <v>0</v>
      </c>
      <c r="D46" t="e">
        <f t="shared" si="1"/>
        <v>#N/A</v>
      </c>
      <c r="E46" t="str">
        <f t="shared" si="2"/>
        <v/>
      </c>
      <c r="F46" t="str">
        <f t="shared" si="3"/>
        <v>New</v>
      </c>
      <c r="G46" t="str">
        <f t="shared" si="4"/>
        <v/>
      </c>
    </row>
    <row r="47" spans="1:7">
      <c r="A47" t="s">
        <v>2295</v>
      </c>
      <c r="B47" s="88"/>
      <c r="C47" t="b">
        <f t="shared" si="0"/>
        <v>0</v>
      </c>
      <c r="D47" t="e">
        <f t="shared" si="1"/>
        <v>#N/A</v>
      </c>
      <c r="E47" t="str">
        <f t="shared" si="2"/>
        <v/>
      </c>
      <c r="F47" t="str">
        <f t="shared" si="3"/>
        <v>New</v>
      </c>
      <c r="G47" t="str">
        <f t="shared" si="4"/>
        <v>Remove</v>
      </c>
    </row>
    <row r="48" spans="1:7">
      <c r="A48" t="s">
        <v>1651</v>
      </c>
      <c r="B48" s="88"/>
      <c r="C48" t="b">
        <f t="shared" si="0"/>
        <v>0</v>
      </c>
      <c r="D48" t="e">
        <f t="shared" si="1"/>
        <v>#N/A</v>
      </c>
      <c r="E48" t="str">
        <f t="shared" si="2"/>
        <v/>
      </c>
      <c r="F48" t="str">
        <f t="shared" si="3"/>
        <v>New</v>
      </c>
      <c r="G48" t="str">
        <f t="shared" si="4"/>
        <v>Remove</v>
      </c>
    </row>
    <row r="49" spans="1:7">
      <c r="B49" s="88" t="s">
        <v>1155</v>
      </c>
      <c r="C49" t="b">
        <f t="shared" si="0"/>
        <v>0</v>
      </c>
      <c r="D49" t="e">
        <f t="shared" si="1"/>
        <v>#N/A</v>
      </c>
      <c r="E49" t="str">
        <f t="shared" si="2"/>
        <v/>
      </c>
      <c r="F49" t="str">
        <f t="shared" si="3"/>
        <v>New</v>
      </c>
      <c r="G49" t="str">
        <f t="shared" si="4"/>
        <v/>
      </c>
    </row>
    <row r="50" spans="1:7">
      <c r="B50" s="88" t="s">
        <v>1156</v>
      </c>
      <c r="C50" t="b">
        <f t="shared" si="0"/>
        <v>0</v>
      </c>
      <c r="D50" t="e">
        <f t="shared" si="1"/>
        <v>#N/A</v>
      </c>
      <c r="E50" t="str">
        <f t="shared" si="2"/>
        <v/>
      </c>
      <c r="F50" t="str">
        <f t="shared" si="3"/>
        <v>New</v>
      </c>
      <c r="G50" t="str">
        <f t="shared" si="4"/>
        <v/>
      </c>
    </row>
    <row r="51" spans="1:7">
      <c r="A51" t="s">
        <v>2296</v>
      </c>
      <c r="B51" s="98"/>
      <c r="C51" t="b">
        <f t="shared" si="0"/>
        <v>0</v>
      </c>
      <c r="D51" t="e">
        <f t="shared" si="1"/>
        <v>#N/A</v>
      </c>
      <c r="E51" t="str">
        <f t="shared" si="2"/>
        <v/>
      </c>
      <c r="F51" t="str">
        <f t="shared" si="3"/>
        <v>New</v>
      </c>
      <c r="G51" t="str">
        <f t="shared" si="4"/>
        <v>Remove</v>
      </c>
    </row>
    <row r="52" spans="1:7">
      <c r="B52" s="95" t="s">
        <v>1170</v>
      </c>
      <c r="C52" t="b">
        <f t="shared" si="0"/>
        <v>0</v>
      </c>
      <c r="D52" t="e">
        <f t="shared" si="1"/>
        <v>#N/A</v>
      </c>
      <c r="E52" t="str">
        <f t="shared" si="2"/>
        <v/>
      </c>
      <c r="F52" t="str">
        <f t="shared" si="3"/>
        <v>New</v>
      </c>
      <c r="G52" t="str">
        <f t="shared" si="4"/>
        <v/>
      </c>
    </row>
    <row r="53" spans="1:7" ht="15.75" thickBot="1">
      <c r="B53" s="94" t="s">
        <v>2262</v>
      </c>
      <c r="C53" t="b">
        <f t="shared" si="0"/>
        <v>0</v>
      </c>
      <c r="D53" t="e">
        <f t="shared" si="1"/>
        <v>#N/A</v>
      </c>
      <c r="E53" t="str">
        <f t="shared" si="2"/>
        <v/>
      </c>
      <c r="F53" t="str">
        <f t="shared" si="3"/>
        <v>New</v>
      </c>
      <c r="G53" t="str">
        <f t="shared" si="4"/>
        <v/>
      </c>
    </row>
    <row r="54" spans="1:7" ht="15.75" thickTop="1">
      <c r="A54" t="s">
        <v>2263</v>
      </c>
      <c r="B54" s="96" t="s">
        <v>2263</v>
      </c>
      <c r="C54" t="b">
        <f t="shared" si="0"/>
        <v>1</v>
      </c>
      <c r="D54" t="str">
        <f t="shared" si="1"/>
        <v>Factory Rental/Upkeep</v>
      </c>
      <c r="E54" t="str">
        <f t="shared" si="2"/>
        <v>Exist</v>
      </c>
      <c r="F54" t="str">
        <f t="shared" si="3"/>
        <v/>
      </c>
      <c r="G54" t="str">
        <f t="shared" si="4"/>
        <v/>
      </c>
    </row>
    <row r="55" spans="1:7">
      <c r="A55" t="s">
        <v>2264</v>
      </c>
      <c r="B55" s="97" t="s">
        <v>2264</v>
      </c>
      <c r="C55" t="b">
        <f t="shared" si="0"/>
        <v>1</v>
      </c>
      <c r="D55" t="str">
        <f t="shared" si="1"/>
        <v>Property Tax for Factory</v>
      </c>
      <c r="E55" t="str">
        <f t="shared" si="2"/>
        <v>Exist</v>
      </c>
      <c r="F55" t="str">
        <f t="shared" si="3"/>
        <v/>
      </c>
      <c r="G55" t="str">
        <f t="shared" si="4"/>
        <v/>
      </c>
    </row>
    <row r="56" spans="1:7">
      <c r="A56" t="s">
        <v>2297</v>
      </c>
      <c r="B56" s="97"/>
      <c r="C56" t="b">
        <f t="shared" si="0"/>
        <v>0</v>
      </c>
      <c r="D56" t="e">
        <f t="shared" si="1"/>
        <v>#N/A</v>
      </c>
      <c r="E56" t="str">
        <f t="shared" si="2"/>
        <v/>
      </c>
      <c r="F56" t="str">
        <f t="shared" si="3"/>
        <v>New</v>
      </c>
      <c r="G56" t="str">
        <f t="shared" si="4"/>
        <v>Remove</v>
      </c>
    </row>
    <row r="57" spans="1:7">
      <c r="B57" s="97" t="s">
        <v>2265</v>
      </c>
      <c r="C57" t="b">
        <f t="shared" si="0"/>
        <v>0</v>
      </c>
      <c r="D57" t="e">
        <f t="shared" si="1"/>
        <v>#N/A</v>
      </c>
      <c r="E57" t="str">
        <f t="shared" si="2"/>
        <v/>
      </c>
      <c r="F57" t="str">
        <f t="shared" si="3"/>
        <v>New</v>
      </c>
      <c r="G57" t="str">
        <f t="shared" si="4"/>
        <v/>
      </c>
    </row>
    <row r="58" spans="1:7">
      <c r="A58" t="s">
        <v>2298</v>
      </c>
      <c r="B58" s="97"/>
      <c r="C58" t="b">
        <f t="shared" si="0"/>
        <v>0</v>
      </c>
      <c r="D58" t="e">
        <f t="shared" si="1"/>
        <v>#N/A</v>
      </c>
      <c r="E58" t="str">
        <f t="shared" si="2"/>
        <v/>
      </c>
      <c r="F58" t="str">
        <f t="shared" si="3"/>
        <v>New</v>
      </c>
      <c r="G58" t="str">
        <f t="shared" si="4"/>
        <v>Remove</v>
      </c>
    </row>
    <row r="59" spans="1:7">
      <c r="B59" s="97" t="s">
        <v>2266</v>
      </c>
      <c r="C59" t="b">
        <f t="shared" si="0"/>
        <v>0</v>
      </c>
      <c r="D59" t="e">
        <f t="shared" si="1"/>
        <v>#N/A</v>
      </c>
      <c r="E59" t="str">
        <f t="shared" si="2"/>
        <v/>
      </c>
      <c r="F59" t="str">
        <f t="shared" si="3"/>
        <v>New</v>
      </c>
      <c r="G59" t="str">
        <f t="shared" si="4"/>
        <v/>
      </c>
    </row>
    <row r="60" spans="1:7">
      <c r="A60" t="s">
        <v>2267</v>
      </c>
      <c r="B60" s="97" t="s">
        <v>2267</v>
      </c>
      <c r="C60" t="b">
        <f t="shared" si="0"/>
        <v>1</v>
      </c>
      <c r="D60" t="str">
        <f t="shared" si="1"/>
        <v>Depreciation</v>
      </c>
      <c r="E60" t="str">
        <f t="shared" si="2"/>
        <v>Exist</v>
      </c>
      <c r="F60" t="str">
        <f t="shared" si="3"/>
        <v/>
      </c>
      <c r="G60" t="str">
        <f t="shared" si="4"/>
        <v/>
      </c>
    </row>
    <row r="61" spans="1:7">
      <c r="A61" t="s">
        <v>2268</v>
      </c>
      <c r="B61" s="97" t="s">
        <v>2268</v>
      </c>
      <c r="C61" t="b">
        <f t="shared" si="0"/>
        <v>1</v>
      </c>
      <c r="D61" t="str">
        <f t="shared" si="1"/>
        <v>Licenses &amp; Insurance</v>
      </c>
      <c r="E61" t="str">
        <f t="shared" si="2"/>
        <v>Exist</v>
      </c>
      <c r="F61" t="str">
        <f t="shared" si="3"/>
        <v/>
      </c>
      <c r="G61" t="str">
        <f t="shared" si="4"/>
        <v/>
      </c>
    </row>
    <row r="62" spans="1:7">
      <c r="A62" t="s">
        <v>2269</v>
      </c>
      <c r="B62" s="97" t="s">
        <v>2269</v>
      </c>
      <c r="C62" t="b">
        <f t="shared" si="0"/>
        <v>1</v>
      </c>
      <c r="D62" t="str">
        <f t="shared" si="1"/>
        <v>Non Capitalised Purchases</v>
      </c>
      <c r="E62" t="str">
        <f t="shared" si="2"/>
        <v>Exist</v>
      </c>
      <c r="F62" t="str">
        <f t="shared" si="3"/>
        <v/>
      </c>
      <c r="G62" t="str">
        <f t="shared" si="4"/>
        <v/>
      </c>
    </row>
    <row r="63" spans="1:7">
      <c r="A63" t="s">
        <v>2270</v>
      </c>
      <c r="B63" s="97" t="s">
        <v>2270</v>
      </c>
      <c r="C63" t="b">
        <f t="shared" si="0"/>
        <v>1</v>
      </c>
      <c r="D63" t="str">
        <f t="shared" si="1"/>
        <v>Others Fixed Overhead</v>
      </c>
      <c r="E63" t="str">
        <f t="shared" si="2"/>
        <v>Exist</v>
      </c>
      <c r="F63" t="str">
        <f t="shared" si="3"/>
        <v/>
      </c>
      <c r="G63" t="str">
        <f t="shared" si="4"/>
        <v/>
      </c>
    </row>
    <row r="64" spans="1:7">
      <c r="B64" s="97" t="s">
        <v>1155</v>
      </c>
      <c r="C64" t="b">
        <f t="shared" si="0"/>
        <v>0</v>
      </c>
      <c r="D64" t="e">
        <f t="shared" si="1"/>
        <v>#N/A</v>
      </c>
      <c r="E64" t="str">
        <f t="shared" si="2"/>
        <v/>
      </c>
      <c r="F64" t="str">
        <f t="shared" si="3"/>
        <v>New</v>
      </c>
      <c r="G64" t="str">
        <f t="shared" si="4"/>
        <v/>
      </c>
    </row>
    <row r="65" spans="1:7">
      <c r="B65" s="97" t="s">
        <v>1156</v>
      </c>
      <c r="C65" t="b">
        <f t="shared" si="0"/>
        <v>0</v>
      </c>
      <c r="D65" t="e">
        <f t="shared" si="1"/>
        <v>#N/A</v>
      </c>
      <c r="E65" t="str">
        <f t="shared" si="2"/>
        <v/>
      </c>
      <c r="F65" t="str">
        <f t="shared" si="3"/>
        <v>New</v>
      </c>
      <c r="G65" t="str">
        <f t="shared" si="4"/>
        <v/>
      </c>
    </row>
    <row r="66" spans="1:7">
      <c r="A66" t="s">
        <v>2271</v>
      </c>
      <c r="B66" s="95" t="s">
        <v>2271</v>
      </c>
    </row>
    <row r="67" spans="1:7" ht="15.75" thickBot="1">
      <c r="A67" t="s">
        <v>2272</v>
      </c>
      <c r="B67" s="94" t="s">
        <v>2272</v>
      </c>
    </row>
    <row r="68" spans="1:7" ht="15.75" thickTop="1">
      <c r="A68" t="s">
        <v>55</v>
      </c>
    </row>
    <row r="69" spans="1:7">
      <c r="A69" t="s">
        <v>2299</v>
      </c>
    </row>
    <row r="70" spans="1:7">
      <c r="A70" t="s">
        <v>2300</v>
      </c>
    </row>
    <row r="71" spans="1:7">
      <c r="A71" t="s">
        <v>2301</v>
      </c>
    </row>
    <row r="72" spans="1:7">
      <c r="A72" t="s">
        <v>2302</v>
      </c>
    </row>
    <row r="73" spans="1:7">
      <c r="A73" t="s">
        <v>2303</v>
      </c>
    </row>
    <row r="74" spans="1:7">
      <c r="A74" t="s">
        <v>2304</v>
      </c>
    </row>
    <row r="75" spans="1:7">
      <c r="A75" t="s">
        <v>2305</v>
      </c>
    </row>
    <row r="76" spans="1:7">
      <c r="A76" t="s">
        <v>2306</v>
      </c>
    </row>
    <row r="77" spans="1:7">
      <c r="A77" t="s">
        <v>2307</v>
      </c>
    </row>
  </sheetData>
  <conditionalFormatting sqref="F2:F65">
    <cfRule type="cellIs" dxfId="6" priority="2" operator="equal">
      <formula>"New"</formula>
    </cfRule>
  </conditionalFormatting>
  <conditionalFormatting sqref="G2:G65">
    <cfRule type="cellIs" dxfId="5" priority="1" operator="equal">
      <formula>"Remove"</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77"/>
  <sheetViews>
    <sheetView topLeftCell="G19" zoomScale="136" zoomScaleNormal="136" zoomScalePageLayoutView="136" workbookViewId="0">
      <selection activeCell="G36" sqref="G36"/>
    </sheetView>
  </sheetViews>
  <sheetFormatPr defaultColWidth="8.85546875" defaultRowHeight="15"/>
  <cols>
    <col min="2" max="2" width="7" bestFit="1" customWidth="1"/>
    <col min="3" max="3" width="15.28515625" bestFit="1" customWidth="1"/>
    <col min="4" max="4" width="10.28515625" bestFit="1" customWidth="1"/>
    <col min="5" max="5" width="12.42578125" bestFit="1" customWidth="1"/>
    <col min="6" max="6" width="7.42578125" bestFit="1" customWidth="1"/>
    <col min="7" max="7" width="29" customWidth="1"/>
    <col min="8" max="8" width="38.42578125" bestFit="1" customWidth="1"/>
    <col min="9" max="9" width="36.140625" customWidth="1"/>
    <col min="10" max="10" width="171.42578125" bestFit="1" customWidth="1"/>
    <col min="11" max="11" width="25.140625" customWidth="1"/>
  </cols>
  <sheetData>
    <row r="1" spans="1:11">
      <c r="A1" s="4" t="s">
        <v>73</v>
      </c>
      <c r="B1" s="4" t="s">
        <v>65</v>
      </c>
      <c r="C1" s="4" t="s">
        <v>1138</v>
      </c>
      <c r="D1" s="4" t="s">
        <v>66</v>
      </c>
      <c r="E1" s="4" t="s">
        <v>1139</v>
      </c>
      <c r="F1" s="4" t="s">
        <v>67</v>
      </c>
      <c r="G1" s="4" t="s">
        <v>68</v>
      </c>
      <c r="H1" s="4" t="s">
        <v>71</v>
      </c>
      <c r="I1" s="4" t="s">
        <v>1886</v>
      </c>
      <c r="J1" s="4" t="s">
        <v>72</v>
      </c>
      <c r="K1" s="4" t="s">
        <v>1287</v>
      </c>
    </row>
    <row r="2" spans="1:11" s="2" customFormat="1">
      <c r="A2" s="2" t="s">
        <v>76</v>
      </c>
      <c r="B2" s="2" t="s">
        <v>2189</v>
      </c>
      <c r="C2" s="2">
        <v>1</v>
      </c>
      <c r="D2" s="2">
        <v>1</v>
      </c>
      <c r="E2" s="2">
        <v>1</v>
      </c>
      <c r="F2" s="2">
        <v>1</v>
      </c>
      <c r="G2" s="2">
        <v>1280</v>
      </c>
      <c r="H2" s="2" t="s">
        <v>2190</v>
      </c>
      <c r="J2" s="2" t="str">
        <f>IF(A2&lt;&gt;"Remove",CONCATENATE("INSERT INTO tbFinanceItemSeq(Report,ItemSeqID,ItemSN,ItemID) VALUES('",B2,"',",C2,",",E2,",",G2,")"),"")</f>
        <v/>
      </c>
      <c r="K2" s="2" t="str">
        <f>IF(A2&lt;&gt;"New","",CONCATENATE("INSERT INTO tbFinanceItem(ItemName) VALUES('",H2,"')"))</f>
        <v/>
      </c>
    </row>
    <row r="3" spans="1:11" s="2" customFormat="1">
      <c r="A3" s="2" t="s">
        <v>76</v>
      </c>
      <c r="B3" s="2" t="s">
        <v>2189</v>
      </c>
      <c r="C3" s="2">
        <v>2</v>
      </c>
      <c r="D3" s="2">
        <v>2</v>
      </c>
      <c r="E3" s="2">
        <v>2</v>
      </c>
      <c r="F3" s="2">
        <v>2</v>
      </c>
      <c r="G3" s="2">
        <v>1281</v>
      </c>
      <c r="H3" s="2" t="s">
        <v>2191</v>
      </c>
      <c r="J3" s="2" t="str">
        <f t="shared" ref="J3:J77" si="0">IF(A3&lt;&gt;"Remove",CONCATENATE("INSERT INTO tbFinanceItemSeq(Report,ItemSeqID,ItemSN,ItemID) VALUES('",B3,"',",C3,",",E3,",",G3,")"),"")</f>
        <v/>
      </c>
      <c r="K3" s="2" t="str">
        <f t="shared" ref="K3:K77" si="1">IF(A3&lt;&gt;"New","",CONCATENATE("INSERT INTO tbFinanceItem(ItemName) VALUES('",H3,"')"))</f>
        <v/>
      </c>
    </row>
    <row r="4" spans="1:11" s="2" customFormat="1">
      <c r="A4" s="2" t="s">
        <v>76</v>
      </c>
      <c r="B4" s="2" t="s">
        <v>2189</v>
      </c>
      <c r="C4" s="2">
        <v>3</v>
      </c>
      <c r="D4" s="2">
        <v>3</v>
      </c>
      <c r="E4" s="2">
        <v>3</v>
      </c>
      <c r="F4" s="2">
        <v>3</v>
      </c>
      <c r="G4" s="2">
        <v>1282</v>
      </c>
      <c r="H4" s="2" t="s">
        <v>2192</v>
      </c>
      <c r="J4" s="2" t="str">
        <f t="shared" si="0"/>
        <v/>
      </c>
      <c r="K4" s="2" t="str">
        <f t="shared" si="1"/>
        <v/>
      </c>
    </row>
    <row r="5" spans="1:11">
      <c r="A5" t="s">
        <v>74</v>
      </c>
      <c r="B5" t="s">
        <v>2189</v>
      </c>
      <c r="C5">
        <v>1</v>
      </c>
      <c r="D5">
        <v>4</v>
      </c>
      <c r="E5">
        <v>1</v>
      </c>
      <c r="F5">
        <v>4</v>
      </c>
      <c r="G5">
        <v>1283</v>
      </c>
      <c r="H5" t="s">
        <v>2193</v>
      </c>
      <c r="J5" t="str">
        <f t="shared" si="0"/>
        <v>INSERT INTO tbFinanceItemSeq(Report,ItemSeqID,ItemSN,ItemID) VALUES('MA',1,1,1283)</v>
      </c>
      <c r="K5" t="str">
        <f t="shared" si="1"/>
        <v/>
      </c>
    </row>
    <row r="6" spans="1:11">
      <c r="A6" t="s">
        <v>74</v>
      </c>
      <c r="B6" t="s">
        <v>2189</v>
      </c>
      <c r="C6">
        <v>2</v>
      </c>
      <c r="D6">
        <v>5</v>
      </c>
      <c r="E6">
        <v>2</v>
      </c>
      <c r="F6">
        <v>5</v>
      </c>
      <c r="G6">
        <v>1284</v>
      </c>
      <c r="H6" t="s">
        <v>2194</v>
      </c>
      <c r="I6" s="99">
        <v>6101</v>
      </c>
      <c r="J6" t="str">
        <f t="shared" si="0"/>
        <v>INSERT INTO tbFinanceItemSeq(Report,ItemSeqID,ItemSN,ItemID) VALUES('MA',2,2,1284)</v>
      </c>
      <c r="K6" t="str">
        <f t="shared" si="1"/>
        <v/>
      </c>
    </row>
    <row r="7" spans="1:11">
      <c r="A7" t="s">
        <v>74</v>
      </c>
      <c r="B7" t="s">
        <v>2189</v>
      </c>
      <c r="C7">
        <v>3</v>
      </c>
      <c r="D7">
        <v>6</v>
      </c>
      <c r="E7">
        <v>3</v>
      </c>
      <c r="F7">
        <v>6</v>
      </c>
      <c r="G7">
        <v>1285</v>
      </c>
      <c r="H7" t="s">
        <v>2195</v>
      </c>
      <c r="I7" s="101">
        <v>6102</v>
      </c>
      <c r="J7" t="str">
        <f t="shared" si="0"/>
        <v>INSERT INTO tbFinanceItemSeq(Report,ItemSeqID,ItemSN,ItemID) VALUES('MA',3,3,1285)</v>
      </c>
      <c r="K7" t="str">
        <f t="shared" si="1"/>
        <v/>
      </c>
    </row>
    <row r="8" spans="1:11">
      <c r="A8" t="s">
        <v>74</v>
      </c>
      <c r="B8" t="s">
        <v>2189</v>
      </c>
      <c r="C8">
        <v>4</v>
      </c>
      <c r="D8">
        <v>7</v>
      </c>
      <c r="E8">
        <v>4</v>
      </c>
      <c r="F8">
        <v>7</v>
      </c>
      <c r="G8">
        <v>1286</v>
      </c>
      <c r="H8" t="s">
        <v>2196</v>
      </c>
      <c r="I8" s="100" t="s">
        <v>2316</v>
      </c>
      <c r="J8" t="str">
        <f t="shared" si="0"/>
        <v>INSERT INTO tbFinanceItemSeq(Report,ItemSeqID,ItemSN,ItemID) VALUES('MA',4,4,1286)</v>
      </c>
      <c r="K8" t="str">
        <f t="shared" si="1"/>
        <v/>
      </c>
    </row>
    <row r="9" spans="1:11">
      <c r="A9" t="s">
        <v>74</v>
      </c>
      <c r="B9" t="s">
        <v>2189</v>
      </c>
      <c r="C9">
        <v>5</v>
      </c>
      <c r="D9">
        <v>8</v>
      </c>
      <c r="E9">
        <v>5</v>
      </c>
      <c r="F9">
        <v>8</v>
      </c>
      <c r="G9">
        <v>1287</v>
      </c>
      <c r="H9" t="s">
        <v>2197</v>
      </c>
      <c r="I9" s="100" t="s">
        <v>2317</v>
      </c>
      <c r="J9" t="str">
        <f t="shared" si="0"/>
        <v>INSERT INTO tbFinanceItemSeq(Report,ItemSeqID,ItemSN,ItemID) VALUES('MA',5,5,1287)</v>
      </c>
      <c r="K9" t="str">
        <f t="shared" si="1"/>
        <v/>
      </c>
    </row>
    <row r="10" spans="1:11">
      <c r="A10" t="s">
        <v>74</v>
      </c>
      <c r="B10" t="s">
        <v>2189</v>
      </c>
      <c r="C10">
        <v>6</v>
      </c>
      <c r="D10">
        <v>9</v>
      </c>
      <c r="E10">
        <v>6</v>
      </c>
      <c r="F10">
        <v>9</v>
      </c>
      <c r="G10">
        <v>1288</v>
      </c>
      <c r="H10" t="s">
        <v>2198</v>
      </c>
      <c r="I10" s="102" t="s">
        <v>2318</v>
      </c>
      <c r="J10" t="str">
        <f t="shared" si="0"/>
        <v>INSERT INTO tbFinanceItemSeq(Report,ItemSeqID,ItemSN,ItemID) VALUES('MA',6,6,1288)</v>
      </c>
      <c r="K10" t="str">
        <f t="shared" si="1"/>
        <v/>
      </c>
    </row>
    <row r="11" spans="1:11">
      <c r="A11" t="s">
        <v>74</v>
      </c>
      <c r="B11" t="s">
        <v>2189</v>
      </c>
      <c r="C11">
        <v>7</v>
      </c>
      <c r="D11">
        <v>10</v>
      </c>
      <c r="E11">
        <v>7</v>
      </c>
      <c r="F11">
        <v>10</v>
      </c>
      <c r="G11">
        <v>1289</v>
      </c>
      <c r="H11" t="s">
        <v>2199</v>
      </c>
      <c r="I11" s="103" t="s">
        <v>2319</v>
      </c>
      <c r="J11" t="str">
        <f t="shared" si="0"/>
        <v>INSERT INTO tbFinanceItemSeq(Report,ItemSeqID,ItemSN,ItemID) VALUES('MA',7,7,1289)</v>
      </c>
      <c r="K11" t="str">
        <f t="shared" si="1"/>
        <v/>
      </c>
    </row>
    <row r="12" spans="1:11">
      <c r="A12" t="s">
        <v>74</v>
      </c>
      <c r="B12" t="s">
        <v>2189</v>
      </c>
      <c r="C12">
        <v>8</v>
      </c>
      <c r="D12">
        <v>11</v>
      </c>
      <c r="E12">
        <v>8</v>
      </c>
      <c r="F12">
        <v>11</v>
      </c>
      <c r="G12">
        <v>1290</v>
      </c>
      <c r="H12" t="s">
        <v>2200</v>
      </c>
      <c r="I12" s="104" t="s">
        <v>2320</v>
      </c>
      <c r="J12" t="str">
        <f t="shared" si="0"/>
        <v>INSERT INTO tbFinanceItemSeq(Report,ItemSeqID,ItemSN,ItemID) VALUES('MA',8,8,1290)</v>
      </c>
      <c r="K12" t="str">
        <f t="shared" si="1"/>
        <v/>
      </c>
    </row>
    <row r="13" spans="1:11">
      <c r="A13" t="s">
        <v>74</v>
      </c>
      <c r="B13" t="s">
        <v>2189</v>
      </c>
      <c r="C13">
        <v>9</v>
      </c>
      <c r="D13">
        <v>12</v>
      </c>
      <c r="E13">
        <v>9</v>
      </c>
      <c r="F13">
        <v>12</v>
      </c>
      <c r="G13">
        <v>1291</v>
      </c>
      <c r="H13" t="s">
        <v>2201</v>
      </c>
      <c r="I13" s="104" t="s">
        <v>2321</v>
      </c>
      <c r="J13" t="str">
        <f t="shared" si="0"/>
        <v>INSERT INTO tbFinanceItemSeq(Report,ItemSeqID,ItemSN,ItemID) VALUES('MA',9,9,1291)</v>
      </c>
      <c r="K13" t="str">
        <f t="shared" si="1"/>
        <v/>
      </c>
    </row>
    <row r="14" spans="1:11" s="2" customFormat="1">
      <c r="A14" s="2" t="s">
        <v>76</v>
      </c>
      <c r="B14" s="2" t="s">
        <v>2189</v>
      </c>
      <c r="C14" s="2">
        <v>10</v>
      </c>
      <c r="D14" s="2">
        <v>13</v>
      </c>
      <c r="E14" s="2">
        <v>10</v>
      </c>
      <c r="F14" s="2">
        <v>13</v>
      </c>
      <c r="G14" s="2">
        <v>1292</v>
      </c>
      <c r="H14" s="2" t="s">
        <v>2202</v>
      </c>
      <c r="I14" s="104"/>
      <c r="J14" s="2" t="str">
        <f t="shared" si="0"/>
        <v/>
      </c>
      <c r="K14" s="2" t="str">
        <f t="shared" si="1"/>
        <v/>
      </c>
    </row>
    <row r="15" spans="1:11">
      <c r="A15" t="s">
        <v>74</v>
      </c>
      <c r="B15" t="s">
        <v>2189</v>
      </c>
      <c r="C15">
        <v>10</v>
      </c>
      <c r="D15">
        <v>14</v>
      </c>
      <c r="E15">
        <v>10</v>
      </c>
      <c r="F15">
        <v>14</v>
      </c>
      <c r="G15">
        <v>1293</v>
      </c>
      <c r="H15" t="s">
        <v>2203</v>
      </c>
      <c r="I15" s="104" t="s">
        <v>2322</v>
      </c>
      <c r="J15" t="str">
        <f t="shared" si="0"/>
        <v>INSERT INTO tbFinanceItemSeq(Report,ItemSeqID,ItemSN,ItemID) VALUES('MA',10,10,1293)</v>
      </c>
      <c r="K15" t="str">
        <f t="shared" si="1"/>
        <v/>
      </c>
    </row>
    <row r="16" spans="1:11">
      <c r="A16" t="s">
        <v>74</v>
      </c>
      <c r="B16" t="s">
        <v>2189</v>
      </c>
      <c r="C16">
        <v>11</v>
      </c>
      <c r="D16">
        <v>15</v>
      </c>
      <c r="E16">
        <v>11</v>
      </c>
      <c r="F16">
        <v>15</v>
      </c>
      <c r="G16">
        <v>1294</v>
      </c>
      <c r="H16" t="s">
        <v>2204</v>
      </c>
      <c r="I16" s="104" t="s">
        <v>2323</v>
      </c>
      <c r="J16" t="str">
        <f t="shared" si="0"/>
        <v>INSERT INTO tbFinanceItemSeq(Report,ItemSeqID,ItemSN,ItemID) VALUES('MA',11,11,1294)</v>
      </c>
      <c r="K16" t="str">
        <f t="shared" si="1"/>
        <v/>
      </c>
    </row>
    <row r="17" spans="1:11">
      <c r="A17" t="s">
        <v>74</v>
      </c>
      <c r="B17" t="s">
        <v>2189</v>
      </c>
      <c r="C17">
        <v>12</v>
      </c>
      <c r="D17">
        <v>16</v>
      </c>
      <c r="E17">
        <v>12</v>
      </c>
      <c r="F17">
        <v>16</v>
      </c>
      <c r="G17">
        <v>1295</v>
      </c>
      <c r="H17" t="s">
        <v>2205</v>
      </c>
      <c r="I17" s="104" t="s">
        <v>1307</v>
      </c>
      <c r="J17" t="str">
        <f t="shared" si="0"/>
        <v>INSERT INTO tbFinanceItemSeq(Report,ItemSeqID,ItemSN,ItemID) VALUES('MA',12,12,1295)</v>
      </c>
      <c r="K17" t="str">
        <f t="shared" si="1"/>
        <v/>
      </c>
    </row>
    <row r="18" spans="1:11">
      <c r="A18" t="s">
        <v>74</v>
      </c>
      <c r="B18" t="s">
        <v>2189</v>
      </c>
      <c r="C18">
        <v>13</v>
      </c>
      <c r="D18">
        <v>17</v>
      </c>
      <c r="E18">
        <v>13</v>
      </c>
      <c r="F18">
        <v>17</v>
      </c>
      <c r="G18">
        <v>1296</v>
      </c>
      <c r="H18" t="s">
        <v>2206</v>
      </c>
      <c r="I18" s="104" t="s">
        <v>1308</v>
      </c>
      <c r="J18" t="str">
        <f t="shared" si="0"/>
        <v>INSERT INTO tbFinanceItemSeq(Report,ItemSeqID,ItemSN,ItemID) VALUES('MA',13,13,1296)</v>
      </c>
      <c r="K18" t="str">
        <f t="shared" si="1"/>
        <v/>
      </c>
    </row>
    <row r="19" spans="1:11">
      <c r="A19" t="s">
        <v>74</v>
      </c>
      <c r="B19" t="s">
        <v>2189</v>
      </c>
      <c r="C19">
        <v>14</v>
      </c>
      <c r="D19">
        <v>18</v>
      </c>
      <c r="E19">
        <v>14</v>
      </c>
      <c r="F19">
        <v>18</v>
      </c>
      <c r="G19">
        <v>1297</v>
      </c>
      <c r="H19" t="s">
        <v>2207</v>
      </c>
      <c r="I19" s="104" t="s">
        <v>1309</v>
      </c>
      <c r="J19" t="str">
        <f t="shared" si="0"/>
        <v>INSERT INTO tbFinanceItemSeq(Report,ItemSeqID,ItemSN,ItemID) VALUES('MA',14,14,1297)</v>
      </c>
      <c r="K19" t="str">
        <f t="shared" si="1"/>
        <v/>
      </c>
    </row>
    <row r="20" spans="1:11">
      <c r="A20" t="s">
        <v>74</v>
      </c>
      <c r="B20" t="s">
        <v>2189</v>
      </c>
      <c r="C20">
        <v>15</v>
      </c>
      <c r="D20">
        <v>19</v>
      </c>
      <c r="E20">
        <v>15</v>
      </c>
      <c r="F20">
        <v>19</v>
      </c>
      <c r="G20">
        <v>1298</v>
      </c>
      <c r="H20" t="s">
        <v>2208</v>
      </c>
      <c r="I20" s="100" t="s">
        <v>2324</v>
      </c>
      <c r="J20" t="str">
        <f t="shared" si="0"/>
        <v>INSERT INTO tbFinanceItemSeq(Report,ItemSeqID,ItemSN,ItemID) VALUES('MA',15,15,1298)</v>
      </c>
      <c r="K20" t="str">
        <f t="shared" si="1"/>
        <v/>
      </c>
    </row>
    <row r="21" spans="1:11">
      <c r="A21" t="s">
        <v>74</v>
      </c>
      <c r="B21" t="s">
        <v>2189</v>
      </c>
      <c r="C21">
        <v>16</v>
      </c>
      <c r="D21">
        <v>20</v>
      </c>
      <c r="E21">
        <v>16</v>
      </c>
      <c r="F21">
        <v>20</v>
      </c>
      <c r="G21">
        <v>1299</v>
      </c>
      <c r="H21" t="s">
        <v>2209</v>
      </c>
      <c r="I21" s="102" t="s">
        <v>2325</v>
      </c>
      <c r="J21" t="str">
        <f t="shared" si="0"/>
        <v>INSERT INTO tbFinanceItemSeq(Report,ItemSeqID,ItemSN,ItemID) VALUES('MA',16,16,1299)</v>
      </c>
      <c r="K21" t="str">
        <f t="shared" si="1"/>
        <v/>
      </c>
    </row>
    <row r="22" spans="1:11">
      <c r="A22" t="s">
        <v>74</v>
      </c>
      <c r="B22" t="s">
        <v>2189</v>
      </c>
      <c r="C22">
        <v>17</v>
      </c>
      <c r="D22">
        <v>21</v>
      </c>
      <c r="E22">
        <v>17</v>
      </c>
      <c r="F22">
        <v>21</v>
      </c>
      <c r="G22">
        <v>1300</v>
      </c>
      <c r="H22" t="s">
        <v>2210</v>
      </c>
      <c r="I22" s="105" t="s">
        <v>2326</v>
      </c>
      <c r="J22" t="str">
        <f t="shared" si="0"/>
        <v>INSERT INTO tbFinanceItemSeq(Report,ItemSeqID,ItemSN,ItemID) VALUES('MA',17,17,1300)</v>
      </c>
      <c r="K22" t="str">
        <f t="shared" si="1"/>
        <v/>
      </c>
    </row>
    <row r="23" spans="1:11" ht="15.75" thickBot="1">
      <c r="A23" t="s">
        <v>74</v>
      </c>
      <c r="B23" t="s">
        <v>2189</v>
      </c>
      <c r="C23">
        <v>18</v>
      </c>
      <c r="D23">
        <v>22</v>
      </c>
      <c r="E23">
        <v>18</v>
      </c>
      <c r="F23">
        <v>22</v>
      </c>
      <c r="G23">
        <v>1301</v>
      </c>
      <c r="H23" t="s">
        <v>2211</v>
      </c>
      <c r="I23" s="106" t="s">
        <v>2327</v>
      </c>
      <c r="J23" t="str">
        <f t="shared" si="0"/>
        <v>INSERT INTO tbFinanceItemSeq(Report,ItemSeqID,ItemSN,ItemID) VALUES('MA',18,18,1301)</v>
      </c>
      <c r="K23" t="str">
        <f t="shared" si="1"/>
        <v/>
      </c>
    </row>
    <row r="24" spans="1:11" ht="15.75" thickTop="1">
      <c r="A24" t="s">
        <v>74</v>
      </c>
      <c r="B24" t="s">
        <v>2189</v>
      </c>
      <c r="C24">
        <v>19</v>
      </c>
      <c r="D24">
        <v>23</v>
      </c>
      <c r="E24">
        <v>19</v>
      </c>
      <c r="F24">
        <v>23</v>
      </c>
      <c r="G24">
        <v>1302</v>
      </c>
      <c r="H24" t="s">
        <v>2212</v>
      </c>
      <c r="I24" s="102" t="s">
        <v>1325</v>
      </c>
      <c r="J24" t="str">
        <f t="shared" si="0"/>
        <v>INSERT INTO tbFinanceItemSeq(Report,ItemSeqID,ItemSN,ItemID) VALUES('MA',19,19,1302)</v>
      </c>
      <c r="K24" t="str">
        <f t="shared" si="1"/>
        <v/>
      </c>
    </row>
    <row r="25" spans="1:11">
      <c r="A25" t="s">
        <v>74</v>
      </c>
      <c r="B25" t="s">
        <v>2189</v>
      </c>
      <c r="C25">
        <v>20</v>
      </c>
      <c r="D25">
        <v>24</v>
      </c>
      <c r="E25">
        <v>20</v>
      </c>
      <c r="F25">
        <v>24</v>
      </c>
      <c r="G25">
        <v>1303</v>
      </c>
      <c r="H25" t="s">
        <v>2213</v>
      </c>
      <c r="I25" s="103" t="s">
        <v>1326</v>
      </c>
      <c r="J25" t="str">
        <f t="shared" si="0"/>
        <v>INSERT INTO tbFinanceItemSeq(Report,ItemSeqID,ItemSN,ItemID) VALUES('MA',20,20,1303)</v>
      </c>
      <c r="K25" t="str">
        <f t="shared" si="1"/>
        <v/>
      </c>
    </row>
    <row r="26" spans="1:11">
      <c r="A26" t="s">
        <v>74</v>
      </c>
      <c r="B26" t="s">
        <v>2189</v>
      </c>
      <c r="C26">
        <v>21</v>
      </c>
      <c r="D26">
        <v>25</v>
      </c>
      <c r="E26">
        <v>21</v>
      </c>
      <c r="F26">
        <v>25</v>
      </c>
      <c r="G26">
        <v>1304</v>
      </c>
      <c r="H26" t="s">
        <v>2214</v>
      </c>
      <c r="I26" s="104" t="s">
        <v>1327</v>
      </c>
      <c r="J26" t="str">
        <f t="shared" si="0"/>
        <v>INSERT INTO tbFinanceItemSeq(Report,ItemSeqID,ItemSN,ItemID) VALUES('MA',21,21,1304)</v>
      </c>
      <c r="K26" t="str">
        <f t="shared" si="1"/>
        <v/>
      </c>
    </row>
    <row r="27" spans="1:11">
      <c r="A27" t="s">
        <v>74</v>
      </c>
      <c r="B27" t="s">
        <v>2189</v>
      </c>
      <c r="C27">
        <v>22</v>
      </c>
      <c r="D27">
        <v>26</v>
      </c>
      <c r="E27">
        <v>22</v>
      </c>
      <c r="F27">
        <v>26</v>
      </c>
      <c r="G27">
        <v>1305</v>
      </c>
      <c r="H27" t="s">
        <v>2215</v>
      </c>
      <c r="I27" s="104" t="s">
        <v>2328</v>
      </c>
      <c r="J27" t="str">
        <f t="shared" si="0"/>
        <v>INSERT INTO tbFinanceItemSeq(Report,ItemSeqID,ItemSN,ItemID) VALUES('MA',22,22,1305)</v>
      </c>
      <c r="K27" t="str">
        <f t="shared" si="1"/>
        <v/>
      </c>
    </row>
    <row r="28" spans="1:11">
      <c r="A28" t="s">
        <v>74</v>
      </c>
      <c r="B28" t="s">
        <v>2189</v>
      </c>
      <c r="C28">
        <v>23</v>
      </c>
      <c r="D28">
        <v>27</v>
      </c>
      <c r="E28">
        <v>23</v>
      </c>
      <c r="F28">
        <v>27</v>
      </c>
      <c r="G28">
        <v>1306</v>
      </c>
      <c r="H28" t="s">
        <v>2216</v>
      </c>
      <c r="I28" s="104" t="s">
        <v>1332</v>
      </c>
      <c r="J28" t="str">
        <f t="shared" si="0"/>
        <v>INSERT INTO tbFinanceItemSeq(Report,ItemSeqID,ItemSN,ItemID) VALUES('MA',23,23,1306)</v>
      </c>
      <c r="K28" t="str">
        <f t="shared" si="1"/>
        <v/>
      </c>
    </row>
    <row r="29" spans="1:11">
      <c r="A29" t="s">
        <v>74</v>
      </c>
      <c r="B29" t="s">
        <v>2189</v>
      </c>
      <c r="C29">
        <v>24</v>
      </c>
      <c r="D29">
        <v>28</v>
      </c>
      <c r="E29">
        <v>24</v>
      </c>
      <c r="F29">
        <v>28</v>
      </c>
      <c r="G29">
        <v>1307</v>
      </c>
      <c r="H29" t="s">
        <v>2217</v>
      </c>
      <c r="I29" s="104" t="s">
        <v>2329</v>
      </c>
      <c r="J29" t="str">
        <f t="shared" si="0"/>
        <v>INSERT INTO tbFinanceItemSeq(Report,ItemSeqID,ItemSN,ItemID) VALUES('MA',24,24,1307)</v>
      </c>
      <c r="K29" t="str">
        <f t="shared" si="1"/>
        <v/>
      </c>
    </row>
    <row r="30" spans="1:11">
      <c r="A30" t="s">
        <v>74</v>
      </c>
      <c r="B30" t="s">
        <v>2189</v>
      </c>
      <c r="C30">
        <v>25</v>
      </c>
      <c r="D30">
        <v>29</v>
      </c>
      <c r="E30">
        <v>25</v>
      </c>
      <c r="F30">
        <v>29</v>
      </c>
      <c r="G30">
        <v>1308</v>
      </c>
      <c r="H30" t="s">
        <v>2218</v>
      </c>
      <c r="I30" s="104" t="s">
        <v>1335</v>
      </c>
      <c r="J30" t="str">
        <f t="shared" si="0"/>
        <v>INSERT INTO tbFinanceItemSeq(Report,ItemSeqID,ItemSN,ItemID) VALUES('MA',25,25,1308)</v>
      </c>
      <c r="K30" t="str">
        <f t="shared" si="1"/>
        <v/>
      </c>
    </row>
    <row r="31" spans="1:11">
      <c r="A31" t="s">
        <v>74</v>
      </c>
      <c r="B31" t="s">
        <v>2189</v>
      </c>
      <c r="C31">
        <v>26</v>
      </c>
      <c r="D31">
        <v>30</v>
      </c>
      <c r="E31">
        <v>26</v>
      </c>
      <c r="F31">
        <v>30</v>
      </c>
      <c r="G31">
        <v>1309</v>
      </c>
      <c r="H31" t="s">
        <v>2219</v>
      </c>
      <c r="I31" s="104" t="s">
        <v>1336</v>
      </c>
      <c r="J31" t="str">
        <f t="shared" si="0"/>
        <v>INSERT INTO tbFinanceItemSeq(Report,ItemSeqID,ItemSN,ItemID) VALUES('MA',26,26,1309)</v>
      </c>
      <c r="K31" t="str">
        <f t="shared" si="1"/>
        <v/>
      </c>
    </row>
    <row r="32" spans="1:11">
      <c r="A32" t="s">
        <v>74</v>
      </c>
      <c r="B32" t="s">
        <v>2189</v>
      </c>
      <c r="C32">
        <v>27</v>
      </c>
      <c r="D32">
        <v>31</v>
      </c>
      <c r="E32">
        <v>27</v>
      </c>
      <c r="F32">
        <v>31</v>
      </c>
      <c r="G32">
        <v>1310</v>
      </c>
      <c r="H32" t="s">
        <v>2220</v>
      </c>
      <c r="I32" s="104" t="s">
        <v>1337</v>
      </c>
      <c r="J32" t="str">
        <f t="shared" si="0"/>
        <v>INSERT INTO tbFinanceItemSeq(Report,ItemSeqID,ItemSN,ItemID) VALUES('MA',27,27,1310)</v>
      </c>
      <c r="K32" t="str">
        <f t="shared" si="1"/>
        <v/>
      </c>
    </row>
    <row r="33" spans="1:11">
      <c r="A33" t="s">
        <v>74</v>
      </c>
      <c r="B33" t="s">
        <v>2189</v>
      </c>
      <c r="C33">
        <v>28</v>
      </c>
      <c r="D33">
        <v>32</v>
      </c>
      <c r="E33">
        <v>28</v>
      </c>
      <c r="F33">
        <v>32</v>
      </c>
      <c r="G33">
        <v>1311</v>
      </c>
      <c r="H33" t="s">
        <v>2221</v>
      </c>
      <c r="I33" s="108" t="s">
        <v>2330</v>
      </c>
      <c r="J33" t="str">
        <f t="shared" si="0"/>
        <v>INSERT INTO tbFinanceItemSeq(Report,ItemSeqID,ItemSN,ItemID) VALUES('MA',28,28,1311)</v>
      </c>
      <c r="K33" t="str">
        <f t="shared" si="1"/>
        <v/>
      </c>
    </row>
    <row r="34" spans="1:11">
      <c r="A34" t="s">
        <v>74</v>
      </c>
      <c r="B34" t="s">
        <v>2189</v>
      </c>
      <c r="C34">
        <v>29</v>
      </c>
      <c r="D34">
        <v>33</v>
      </c>
      <c r="E34">
        <v>29</v>
      </c>
      <c r="F34">
        <v>33</v>
      </c>
      <c r="G34">
        <v>1312</v>
      </c>
      <c r="H34" t="s">
        <v>2222</v>
      </c>
      <c r="I34" s="108" t="s">
        <v>2331</v>
      </c>
      <c r="J34" t="str">
        <f t="shared" si="0"/>
        <v>INSERT INTO tbFinanceItemSeq(Report,ItemSeqID,ItemSN,ItemID) VALUES('MA',29,29,1312)</v>
      </c>
      <c r="K34" t="str">
        <f t="shared" si="1"/>
        <v/>
      </c>
    </row>
    <row r="35" spans="1:11" s="3" customFormat="1">
      <c r="A35" s="3" t="s">
        <v>75</v>
      </c>
      <c r="B35" s="3" t="s">
        <v>2189</v>
      </c>
      <c r="C35" s="3">
        <v>30</v>
      </c>
      <c r="E35" s="3">
        <v>30</v>
      </c>
      <c r="G35" s="3" t="str">
        <f>CONCATENATE("(SELECT ItemID FROM tbFinanceItem where ItemName = '",H35,"')")</f>
        <v>(SELECT ItemID FROM tbFinanceItem where ItemName = '(MA)IL-QA Allocated Cost')</v>
      </c>
      <c r="H35" s="3" t="s">
        <v>2350</v>
      </c>
      <c r="I35" s="108"/>
      <c r="J35" s="3" t="str">
        <f t="shared" si="0"/>
        <v>INSERT INTO tbFinanceItemSeq(Report,ItemSeqID,ItemSN,ItemID) VALUES('MA',30,30,(SELECT ItemID FROM tbFinanceItem where ItemName = '(MA)IL-QA Allocated Cost'))</v>
      </c>
      <c r="K35" s="3" t="str">
        <f t="shared" si="1"/>
        <v>INSERT INTO tbFinanceItem(ItemName) VALUES('(MA)IL-QA Allocated Cost')</v>
      </c>
    </row>
    <row r="36" spans="1:11" s="3" customFormat="1">
      <c r="A36" s="3" t="s">
        <v>75</v>
      </c>
      <c r="B36" s="3" t="s">
        <v>2189</v>
      </c>
      <c r="C36" s="3">
        <v>31</v>
      </c>
      <c r="E36" s="3">
        <v>31</v>
      </c>
      <c r="G36" s="3" t="str">
        <f>CONCATENATE("(SELECT ItemID FROM tbFinanceItem where ItemName = '",H36,"')")</f>
        <v>(SELECT ItemID FROM tbFinanceItem where ItemName = '(MA)IL-PM Allocated Cost')</v>
      </c>
      <c r="H36" s="3" t="s">
        <v>2351</v>
      </c>
      <c r="I36" s="108"/>
      <c r="J36" s="3" t="str">
        <f t="shared" si="0"/>
        <v>INSERT INTO tbFinanceItemSeq(Report,ItemSeqID,ItemSN,ItemID) VALUES('MA',31,31,(SELECT ItemID FROM tbFinanceItem where ItemName = '(MA)IL-PM Allocated Cost'))</v>
      </c>
      <c r="K36" s="3" t="str">
        <f t="shared" si="1"/>
        <v>INSERT INTO tbFinanceItem(ItemName) VALUES('(MA)IL-PM Allocated Cost')</v>
      </c>
    </row>
    <row r="37" spans="1:11">
      <c r="A37" t="s">
        <v>74</v>
      </c>
      <c r="B37" t="s">
        <v>2189</v>
      </c>
      <c r="C37">
        <v>32</v>
      </c>
      <c r="D37">
        <v>34</v>
      </c>
      <c r="E37">
        <v>32</v>
      </c>
      <c r="F37">
        <v>34</v>
      </c>
      <c r="G37">
        <v>1313</v>
      </c>
      <c r="H37" t="s">
        <v>2223</v>
      </c>
      <c r="I37" s="102" t="s">
        <v>2332</v>
      </c>
      <c r="J37" t="str">
        <f t="shared" si="0"/>
        <v>INSERT INTO tbFinanceItemSeq(Report,ItemSeqID,ItemSN,ItemID) VALUES('MA',32,32,1313)</v>
      </c>
      <c r="K37" t="str">
        <f t="shared" si="1"/>
        <v/>
      </c>
    </row>
    <row r="38" spans="1:11">
      <c r="A38" t="s">
        <v>74</v>
      </c>
      <c r="B38" t="s">
        <v>2189</v>
      </c>
      <c r="C38">
        <v>33</v>
      </c>
      <c r="D38">
        <v>35</v>
      </c>
      <c r="E38">
        <v>33</v>
      </c>
      <c r="F38">
        <v>35</v>
      </c>
      <c r="G38">
        <v>1314</v>
      </c>
      <c r="H38" t="s">
        <v>2224</v>
      </c>
      <c r="I38" s="99" t="s">
        <v>2333</v>
      </c>
      <c r="J38" t="str">
        <f t="shared" si="0"/>
        <v>INSERT INTO tbFinanceItemSeq(Report,ItemSeqID,ItemSN,ItemID) VALUES('MA',33,33,1314)</v>
      </c>
      <c r="K38" t="str">
        <f t="shared" si="1"/>
        <v/>
      </c>
    </row>
    <row r="39" spans="1:11">
      <c r="A39" t="s">
        <v>74</v>
      </c>
      <c r="B39" t="s">
        <v>2189</v>
      </c>
      <c r="C39">
        <v>34</v>
      </c>
      <c r="D39">
        <v>36</v>
      </c>
      <c r="E39">
        <v>34</v>
      </c>
      <c r="F39">
        <v>36</v>
      </c>
      <c r="G39">
        <v>1315</v>
      </c>
      <c r="H39" t="s">
        <v>2225</v>
      </c>
      <c r="I39" s="100" t="s">
        <v>2334</v>
      </c>
      <c r="J39" t="str">
        <f t="shared" si="0"/>
        <v>INSERT INTO tbFinanceItemSeq(Report,ItemSeqID,ItemSN,ItemID) VALUES('MA',34,34,1315)</v>
      </c>
      <c r="K39" t="str">
        <f t="shared" si="1"/>
        <v/>
      </c>
    </row>
    <row r="40" spans="1:11" s="2" customFormat="1">
      <c r="A40" s="2" t="s">
        <v>76</v>
      </c>
      <c r="B40" s="2" t="s">
        <v>2189</v>
      </c>
      <c r="C40" s="2">
        <v>35</v>
      </c>
      <c r="D40" s="2">
        <v>37</v>
      </c>
      <c r="E40" s="2">
        <v>35</v>
      </c>
      <c r="F40" s="2">
        <v>37</v>
      </c>
      <c r="G40" s="2">
        <v>1316</v>
      </c>
      <c r="H40" s="2" t="s">
        <v>2226</v>
      </c>
      <c r="I40" s="100"/>
      <c r="J40" s="2" t="str">
        <f>IF(A40&lt;&gt;"Remove",CONCATENATE("INSERT INTO tbFinanceItemSeq(Report,ItemSeqID,ItemSN,ItemID) VALUES('",B40,"',",C40,",",E40,",",G40,")"),"")</f>
        <v/>
      </c>
      <c r="K40" s="2" t="str">
        <f>IF(A40&lt;&gt;"New","",CONCATENATE("INSERT INTO tbFinanceItem(ItemName) VALUES('",H40,"')"))</f>
        <v/>
      </c>
    </row>
    <row r="41" spans="1:11" s="3" customFormat="1">
      <c r="A41" s="3" t="s">
        <v>75</v>
      </c>
      <c r="B41" s="3" t="s">
        <v>2189</v>
      </c>
      <c r="C41" s="3">
        <v>35</v>
      </c>
      <c r="D41" s="3">
        <v>37</v>
      </c>
      <c r="E41" s="3">
        <v>35</v>
      </c>
      <c r="F41" s="3">
        <v>37</v>
      </c>
      <c r="G41" s="3" t="str">
        <f>CONCATENATE("(SELECT ItemID FROM tbFinanceItem where ItemName = '",H41,"')")</f>
        <v>(SELECT ItemID FROM tbFinanceItem where ItemName = '(MA)Carriage/Transport/Storage')</v>
      </c>
      <c r="H41" s="3" t="s">
        <v>2312</v>
      </c>
      <c r="I41" s="100" t="s">
        <v>2335</v>
      </c>
      <c r="J41" s="3" t="str">
        <f t="shared" si="0"/>
        <v>INSERT INTO tbFinanceItemSeq(Report,ItemSeqID,ItemSN,ItemID) VALUES('MA',35,35,(SELECT ItemID FROM tbFinanceItem where ItemName = '(MA)Carriage/Transport/Storage'))</v>
      </c>
      <c r="K41" s="3" t="str">
        <f t="shared" si="1"/>
        <v>INSERT INTO tbFinanceItem(ItemName) VALUES('(MA)Carriage/Transport/Storage')</v>
      </c>
    </row>
    <row r="42" spans="1:11">
      <c r="A42" t="s">
        <v>74</v>
      </c>
      <c r="B42" t="s">
        <v>2189</v>
      </c>
      <c r="C42">
        <v>36</v>
      </c>
      <c r="D42">
        <v>38</v>
      </c>
      <c r="E42">
        <v>36</v>
      </c>
      <c r="F42">
        <v>38</v>
      </c>
      <c r="G42">
        <v>1317</v>
      </c>
      <c r="H42" t="s">
        <v>2227</v>
      </c>
      <c r="I42" s="101" t="s">
        <v>2336</v>
      </c>
      <c r="J42" t="str">
        <f t="shared" si="0"/>
        <v>INSERT INTO tbFinanceItemSeq(Report,ItemSeqID,ItemSN,ItemID) VALUES('MA',36,36,1317)</v>
      </c>
      <c r="K42" t="str">
        <f t="shared" si="1"/>
        <v/>
      </c>
    </row>
    <row r="43" spans="1:11">
      <c r="A43" t="s">
        <v>74</v>
      </c>
      <c r="B43" t="s">
        <v>2189</v>
      </c>
      <c r="C43">
        <v>37</v>
      </c>
      <c r="D43">
        <v>39</v>
      </c>
      <c r="E43">
        <v>37</v>
      </c>
      <c r="F43">
        <v>39</v>
      </c>
      <c r="G43">
        <v>1318</v>
      </c>
      <c r="H43" t="s">
        <v>2228</v>
      </c>
      <c r="I43" s="101" t="s">
        <v>2337</v>
      </c>
      <c r="J43" t="str">
        <f t="shared" si="0"/>
        <v>INSERT INTO tbFinanceItemSeq(Report,ItemSeqID,ItemSN,ItemID) VALUES('MA',37,37,1318)</v>
      </c>
      <c r="K43" t="str">
        <f t="shared" si="1"/>
        <v/>
      </c>
    </row>
    <row r="44" spans="1:11" s="2" customFormat="1">
      <c r="A44" s="2" t="s">
        <v>76</v>
      </c>
      <c r="B44" s="2" t="s">
        <v>2189</v>
      </c>
      <c r="C44" s="2">
        <v>38</v>
      </c>
      <c r="D44" s="2">
        <v>40</v>
      </c>
      <c r="E44" s="2">
        <v>38</v>
      </c>
      <c r="F44" s="2">
        <v>40</v>
      </c>
      <c r="G44" s="2">
        <v>1319</v>
      </c>
      <c r="H44" s="2" t="s">
        <v>2229</v>
      </c>
      <c r="I44" s="101"/>
      <c r="J44" s="2" t="str">
        <f t="shared" si="0"/>
        <v/>
      </c>
      <c r="K44" s="2" t="str">
        <f t="shared" si="1"/>
        <v/>
      </c>
    </row>
    <row r="45" spans="1:11" s="2" customFormat="1">
      <c r="A45" s="2" t="s">
        <v>76</v>
      </c>
      <c r="B45" s="2" t="s">
        <v>2189</v>
      </c>
      <c r="C45" s="2">
        <v>39</v>
      </c>
      <c r="D45" s="2">
        <v>41</v>
      </c>
      <c r="E45" s="2">
        <v>39</v>
      </c>
      <c r="F45" s="2">
        <v>41</v>
      </c>
      <c r="G45" s="2">
        <v>1320</v>
      </c>
      <c r="H45" s="2" t="s">
        <v>2230</v>
      </c>
      <c r="I45" s="101"/>
      <c r="J45" s="2" t="str">
        <f t="shared" si="0"/>
        <v/>
      </c>
      <c r="K45" s="2" t="str">
        <f t="shared" si="1"/>
        <v/>
      </c>
    </row>
    <row r="46" spans="1:11" s="3" customFormat="1">
      <c r="A46" s="3" t="s">
        <v>75</v>
      </c>
      <c r="B46" s="3" t="s">
        <v>2189</v>
      </c>
      <c r="C46" s="3">
        <v>38</v>
      </c>
      <c r="E46" s="3">
        <v>38</v>
      </c>
      <c r="G46" s="3" t="str">
        <f>CONCATENATE("(SELECT ItemID FROM tbFinanceItem where ItemName = '",H46,"')")</f>
        <v>(SELECT ItemID FROM tbFinanceItem where ItemName = '(MA)Disposal of Slurge/Others')</v>
      </c>
      <c r="H46" s="3" t="s">
        <v>2313</v>
      </c>
      <c r="I46" s="101" t="s">
        <v>2338</v>
      </c>
      <c r="J46" s="3" t="str">
        <f t="shared" si="0"/>
        <v>INSERT INTO tbFinanceItemSeq(Report,ItemSeqID,ItemSN,ItemID) VALUES('MA',38,38,(SELECT ItemID FROM tbFinanceItem where ItemName = '(MA)Disposal of Slurge/Others'))</v>
      </c>
      <c r="K46" s="3" t="str">
        <f t="shared" si="1"/>
        <v>INSERT INTO tbFinanceItem(ItemName) VALUES('(MA)Disposal of Slurge/Others')</v>
      </c>
    </row>
    <row r="47" spans="1:11" s="2" customFormat="1">
      <c r="A47" s="2" t="s">
        <v>76</v>
      </c>
      <c r="B47" s="2" t="s">
        <v>2189</v>
      </c>
      <c r="C47" s="2">
        <v>39</v>
      </c>
      <c r="D47" s="2">
        <v>42</v>
      </c>
      <c r="E47" s="2">
        <v>39</v>
      </c>
      <c r="F47" s="2">
        <v>42</v>
      </c>
      <c r="G47" s="2">
        <v>1321</v>
      </c>
      <c r="H47" s="2" t="s">
        <v>2231</v>
      </c>
      <c r="I47" s="101"/>
      <c r="J47" s="2" t="str">
        <f t="shared" si="0"/>
        <v/>
      </c>
      <c r="K47" s="2" t="str">
        <f t="shared" si="1"/>
        <v/>
      </c>
    </row>
    <row r="48" spans="1:11" s="2" customFormat="1">
      <c r="A48" s="2" t="s">
        <v>76</v>
      </c>
      <c r="B48" s="2" t="s">
        <v>2189</v>
      </c>
      <c r="C48" s="2">
        <v>40</v>
      </c>
      <c r="D48" s="2">
        <v>43</v>
      </c>
      <c r="E48" s="2">
        <v>40</v>
      </c>
      <c r="F48" s="2">
        <v>43</v>
      </c>
      <c r="G48" s="2">
        <v>1322</v>
      </c>
      <c r="H48" s="2" t="s">
        <v>2232</v>
      </c>
      <c r="I48" s="101"/>
      <c r="J48" s="2" t="str">
        <f t="shared" si="0"/>
        <v/>
      </c>
      <c r="K48" s="2" t="str">
        <f t="shared" si="1"/>
        <v/>
      </c>
    </row>
    <row r="49" spans="1:11" s="3" customFormat="1">
      <c r="A49" s="3" t="s">
        <v>75</v>
      </c>
      <c r="B49" s="3" t="s">
        <v>2189</v>
      </c>
      <c r="C49" s="3">
        <v>39</v>
      </c>
      <c r="E49" s="3">
        <v>39</v>
      </c>
      <c r="G49" s="3" t="str">
        <f>CONCATENATE("(SELECT ItemID FROM tbFinanceItem where ItemName = '",H49,"')")</f>
        <v>(SELECT ItemID FROM tbFinanceItem where ItemName = '(MA)VO-QA Allocated Cost')</v>
      </c>
      <c r="H49" s="3" t="s">
        <v>2352</v>
      </c>
      <c r="I49" s="101"/>
      <c r="J49" s="3" t="str">
        <f t="shared" si="0"/>
        <v>INSERT INTO tbFinanceItemSeq(Report,ItemSeqID,ItemSN,ItemID) VALUES('MA',39,39,(SELECT ItemID FROM tbFinanceItem where ItemName = '(MA)VO-QA Allocated Cost'))</v>
      </c>
      <c r="K49" s="3" t="str">
        <f t="shared" si="1"/>
        <v>INSERT INTO tbFinanceItem(ItemName) VALUES('(MA)VO-QA Allocated Cost')</v>
      </c>
    </row>
    <row r="50" spans="1:11" s="3" customFormat="1">
      <c r="A50" s="3" t="s">
        <v>75</v>
      </c>
      <c r="B50" s="3" t="s">
        <v>2189</v>
      </c>
      <c r="C50" s="3">
        <v>40</v>
      </c>
      <c r="E50" s="3">
        <v>40</v>
      </c>
      <c r="G50" s="3" t="str">
        <f>CONCATENATE("(SELECT ItemID FROM tbFinanceItem where ItemName = '",H50,"')")</f>
        <v>(SELECT ItemID FROM tbFinanceItem where ItemName = '(MA)VO-PM Allocated Cost')</v>
      </c>
      <c r="H50" s="3" t="s">
        <v>2353</v>
      </c>
      <c r="I50" s="101"/>
      <c r="J50" s="3" t="str">
        <f t="shared" si="0"/>
        <v>INSERT INTO tbFinanceItemSeq(Report,ItemSeqID,ItemSN,ItemID) VALUES('MA',40,40,(SELECT ItemID FROM tbFinanceItem where ItemName = '(MA)VO-PM Allocated Cost'))</v>
      </c>
      <c r="K50" s="3" t="str">
        <f t="shared" si="1"/>
        <v>INSERT INTO tbFinanceItem(ItemName) VALUES('(MA)VO-PM Allocated Cost')</v>
      </c>
    </row>
    <row r="51" spans="1:11" s="2" customFormat="1">
      <c r="A51" s="2" t="s">
        <v>76</v>
      </c>
      <c r="B51" s="2" t="s">
        <v>2189</v>
      </c>
      <c r="C51" s="2">
        <v>43</v>
      </c>
      <c r="D51" s="2">
        <v>44</v>
      </c>
      <c r="E51" s="2">
        <v>43</v>
      </c>
      <c r="F51" s="2">
        <v>44</v>
      </c>
      <c r="G51" s="2">
        <v>1323</v>
      </c>
      <c r="H51" s="2" t="s">
        <v>2233</v>
      </c>
      <c r="I51" s="107"/>
      <c r="J51" s="2" t="str">
        <f t="shared" si="0"/>
        <v/>
      </c>
      <c r="K51" s="2" t="str">
        <f t="shared" si="1"/>
        <v/>
      </c>
    </row>
    <row r="52" spans="1:11" s="3" customFormat="1">
      <c r="A52" s="3" t="s">
        <v>75</v>
      </c>
      <c r="B52" s="3" t="s">
        <v>2189</v>
      </c>
      <c r="C52" s="3">
        <v>41</v>
      </c>
      <c r="E52" s="3">
        <v>41</v>
      </c>
      <c r="G52" s="3" t="str">
        <f>CONCATENATE("(SELECT ItemID FROM tbFinanceItem where ItemName = '",H52,"')")</f>
        <v>(SELECT ItemID FROM tbFinanceItem where ItemName = '(MA)Other Variable Overhead')</v>
      </c>
      <c r="H52" s="3" t="s">
        <v>2354</v>
      </c>
      <c r="I52" s="102" t="s">
        <v>2339</v>
      </c>
      <c r="J52" s="3" t="str">
        <f t="shared" si="0"/>
        <v>INSERT INTO tbFinanceItemSeq(Report,ItemSeqID,ItemSN,ItemID) VALUES('MA',41,41,(SELECT ItemID FROM tbFinanceItem where ItemName = '(MA)Other Variable Overhead'))</v>
      </c>
      <c r="K52" s="3" t="str">
        <f t="shared" si="1"/>
        <v>INSERT INTO tbFinanceItem(ItemName) VALUES('(MA)Other Variable Overhead')</v>
      </c>
    </row>
    <row r="53" spans="1:11" s="3" customFormat="1" ht="15.75" thickBot="1">
      <c r="A53" s="3" t="s">
        <v>75</v>
      </c>
      <c r="B53" s="3" t="s">
        <v>2189</v>
      </c>
      <c r="C53" s="3">
        <v>42</v>
      </c>
      <c r="E53" s="3">
        <v>42</v>
      </c>
      <c r="G53" s="3" t="str">
        <f>CONCATENATE("(SELECT ItemID FROM tbFinanceItem where ItemName = '",H53,"')")</f>
        <v>(SELECT ItemID FROM tbFinanceItem where ItemName = '(MA)Total Variable Overhead')</v>
      </c>
      <c r="H53" s="3" t="s">
        <v>2355</v>
      </c>
      <c r="I53" s="109" t="s">
        <v>2340</v>
      </c>
      <c r="J53" s="3" t="str">
        <f t="shared" si="0"/>
        <v>INSERT INTO tbFinanceItemSeq(Report,ItemSeqID,ItemSN,ItemID) VALUES('MA',42,42,(SELECT ItemID FROM tbFinanceItem where ItemName = '(MA)Total Variable Overhead'))</v>
      </c>
      <c r="K53" s="3" t="str">
        <f t="shared" si="1"/>
        <v>INSERT INTO tbFinanceItem(ItemName) VALUES('(MA)Total Variable Overhead')</v>
      </c>
    </row>
    <row r="54" spans="1:11" ht="15.75" thickTop="1">
      <c r="A54" t="s">
        <v>74</v>
      </c>
      <c r="B54" t="s">
        <v>2189</v>
      </c>
      <c r="C54">
        <v>43</v>
      </c>
      <c r="D54">
        <v>45</v>
      </c>
      <c r="E54">
        <v>43</v>
      </c>
      <c r="F54">
        <v>45</v>
      </c>
      <c r="G54">
        <v>1324</v>
      </c>
      <c r="H54" t="s">
        <v>2234</v>
      </c>
      <c r="I54" s="99" t="s">
        <v>2341</v>
      </c>
      <c r="J54" t="str">
        <f t="shared" si="0"/>
        <v>INSERT INTO tbFinanceItemSeq(Report,ItemSeqID,ItemSN,ItemID) VALUES('MA',43,43,1324)</v>
      </c>
      <c r="K54" t="str">
        <f t="shared" si="1"/>
        <v/>
      </c>
    </row>
    <row r="55" spans="1:11">
      <c r="A55" t="s">
        <v>74</v>
      </c>
      <c r="B55" t="s">
        <v>2189</v>
      </c>
      <c r="C55">
        <v>44</v>
      </c>
      <c r="D55">
        <v>46</v>
      </c>
      <c r="E55">
        <v>44</v>
      </c>
      <c r="F55">
        <v>46</v>
      </c>
      <c r="G55">
        <v>1325</v>
      </c>
      <c r="H55" t="s">
        <v>2235</v>
      </c>
      <c r="I55" s="101" t="s">
        <v>1375</v>
      </c>
      <c r="J55" t="str">
        <f t="shared" si="0"/>
        <v>INSERT INTO tbFinanceItemSeq(Report,ItemSeqID,ItemSN,ItemID) VALUES('MA',44,44,1325)</v>
      </c>
      <c r="K55" t="str">
        <f t="shared" si="1"/>
        <v/>
      </c>
    </row>
    <row r="56" spans="1:11" s="2" customFormat="1">
      <c r="A56" s="2" t="s">
        <v>76</v>
      </c>
      <c r="B56" s="2" t="s">
        <v>2189</v>
      </c>
      <c r="C56" s="2">
        <v>48</v>
      </c>
      <c r="D56" s="2">
        <v>47</v>
      </c>
      <c r="E56" s="2">
        <v>48</v>
      </c>
      <c r="F56" s="2">
        <v>47</v>
      </c>
      <c r="G56" s="2">
        <v>1326</v>
      </c>
      <c r="H56" s="2" t="s">
        <v>2236</v>
      </c>
      <c r="I56" s="111"/>
      <c r="J56" s="2" t="str">
        <f t="shared" si="0"/>
        <v/>
      </c>
      <c r="K56" s="2" t="str">
        <f t="shared" si="1"/>
        <v/>
      </c>
    </row>
    <row r="57" spans="1:11" s="3" customFormat="1">
      <c r="A57" s="3" t="s">
        <v>75</v>
      </c>
      <c r="B57" s="3" t="s">
        <v>2189</v>
      </c>
      <c r="C57" s="3">
        <v>45</v>
      </c>
      <c r="E57" s="3">
        <v>45</v>
      </c>
      <c r="G57" s="3" t="str">
        <f>CONCATENATE("(SELECT ItemID FROM tbFinanceItem where ItemName = '",H57,"')")</f>
        <v>(SELECT ItemID FROM tbFinanceItem where ItemName = '(MA)Repair &amp; Maintainance/Upkeep')</v>
      </c>
      <c r="H57" s="3" t="s">
        <v>2314</v>
      </c>
      <c r="I57" s="110" t="s">
        <v>2342</v>
      </c>
      <c r="J57" s="3" t="str">
        <f t="shared" si="0"/>
        <v>INSERT INTO tbFinanceItemSeq(Report,ItemSeqID,ItemSN,ItemID) VALUES('MA',45,45,(SELECT ItemID FROM tbFinanceItem where ItemName = '(MA)Repair &amp; Maintainance/Upkeep'))</v>
      </c>
      <c r="K57" s="3" t="str">
        <f t="shared" si="1"/>
        <v>INSERT INTO tbFinanceItem(ItemName) VALUES('(MA)Repair &amp; Maintainance/Upkeep')</v>
      </c>
    </row>
    <row r="58" spans="1:11" s="2" customFormat="1">
      <c r="A58" s="2" t="s">
        <v>76</v>
      </c>
      <c r="B58" s="2" t="s">
        <v>2189</v>
      </c>
      <c r="C58" s="2">
        <v>49</v>
      </c>
      <c r="D58" s="2">
        <v>48</v>
      </c>
      <c r="E58" s="2">
        <v>49</v>
      </c>
      <c r="F58" s="2">
        <v>48</v>
      </c>
      <c r="G58" s="2">
        <v>1327</v>
      </c>
      <c r="H58" s="2" t="s">
        <v>2237</v>
      </c>
      <c r="I58" s="111"/>
      <c r="J58" s="2" t="str">
        <f t="shared" si="0"/>
        <v/>
      </c>
      <c r="K58" s="2" t="str">
        <f t="shared" si="1"/>
        <v/>
      </c>
    </row>
    <row r="59" spans="1:11" s="3" customFormat="1">
      <c r="A59" s="3" t="s">
        <v>75</v>
      </c>
      <c r="B59" s="3" t="s">
        <v>2189</v>
      </c>
      <c r="C59" s="3">
        <v>46</v>
      </c>
      <c r="E59" s="3">
        <v>46</v>
      </c>
      <c r="G59" s="3" t="str">
        <f>CONCATENATE("(SELECT ItemID FROM tbFinanceItem where ItemName = '",H59,"')")</f>
        <v>(SELECT ItemID FROM tbFinanceItem where ItemName = '(MA)Leasing of Mac &amp; Equip/Vehicles/Cyl')</v>
      </c>
      <c r="H59" s="3" t="s">
        <v>2315</v>
      </c>
      <c r="I59" s="110" t="s">
        <v>2343</v>
      </c>
      <c r="J59" s="3" t="str">
        <f t="shared" si="0"/>
        <v>INSERT INTO tbFinanceItemSeq(Report,ItemSeqID,ItemSN,ItemID) VALUES('MA',46,46,(SELECT ItemID FROM tbFinanceItem where ItemName = '(MA)Leasing of Mac &amp; Equip/Vehicles/Cyl'))</v>
      </c>
      <c r="K59" s="3" t="str">
        <f t="shared" si="1"/>
        <v>INSERT INTO tbFinanceItem(ItemName) VALUES('(MA)Leasing of Mac &amp; Equip/Vehicles/Cyl')</v>
      </c>
    </row>
    <row r="60" spans="1:11">
      <c r="A60" t="s">
        <v>74</v>
      </c>
      <c r="B60" t="s">
        <v>2189</v>
      </c>
      <c r="C60">
        <v>47</v>
      </c>
      <c r="D60">
        <v>49</v>
      </c>
      <c r="E60">
        <v>47</v>
      </c>
      <c r="F60">
        <v>49</v>
      </c>
      <c r="G60">
        <v>1328</v>
      </c>
      <c r="H60" t="s">
        <v>2238</v>
      </c>
      <c r="I60" s="101" t="s">
        <v>2344</v>
      </c>
      <c r="J60" t="str">
        <f t="shared" si="0"/>
        <v>INSERT INTO tbFinanceItemSeq(Report,ItemSeqID,ItemSN,ItemID) VALUES('MA',47,47,1328)</v>
      </c>
      <c r="K60" t="str">
        <f t="shared" si="1"/>
        <v/>
      </c>
    </row>
    <row r="61" spans="1:11">
      <c r="A61" t="s">
        <v>74</v>
      </c>
      <c r="B61" t="s">
        <v>2189</v>
      </c>
      <c r="C61">
        <v>48</v>
      </c>
      <c r="D61">
        <v>50</v>
      </c>
      <c r="E61">
        <v>48</v>
      </c>
      <c r="F61">
        <v>50</v>
      </c>
      <c r="G61">
        <v>1329</v>
      </c>
      <c r="H61" t="s">
        <v>2239</v>
      </c>
      <c r="I61" s="101" t="s">
        <v>2345</v>
      </c>
      <c r="J61" t="str">
        <f t="shared" si="0"/>
        <v>INSERT INTO tbFinanceItemSeq(Report,ItemSeqID,ItemSN,ItemID) VALUES('MA',48,48,1329)</v>
      </c>
      <c r="K61" t="str">
        <f t="shared" si="1"/>
        <v/>
      </c>
    </row>
    <row r="62" spans="1:11">
      <c r="A62" t="s">
        <v>74</v>
      </c>
      <c r="B62" t="s">
        <v>2189</v>
      </c>
      <c r="C62">
        <v>49</v>
      </c>
      <c r="D62">
        <v>51</v>
      </c>
      <c r="E62">
        <v>49</v>
      </c>
      <c r="F62">
        <v>51</v>
      </c>
      <c r="G62">
        <v>1330</v>
      </c>
      <c r="H62" t="s">
        <v>2240</v>
      </c>
      <c r="I62" s="101" t="s">
        <v>2346</v>
      </c>
      <c r="J62" t="str">
        <f t="shared" si="0"/>
        <v>INSERT INTO tbFinanceItemSeq(Report,ItemSeqID,ItemSN,ItemID) VALUES('MA',49,49,1330)</v>
      </c>
      <c r="K62" t="str">
        <f t="shared" si="1"/>
        <v/>
      </c>
    </row>
    <row r="63" spans="1:11">
      <c r="A63" t="s">
        <v>74</v>
      </c>
      <c r="B63" t="s">
        <v>2189</v>
      </c>
      <c r="C63">
        <v>50</v>
      </c>
      <c r="D63">
        <v>52</v>
      </c>
      <c r="E63">
        <v>50</v>
      </c>
      <c r="F63">
        <v>52</v>
      </c>
      <c r="G63">
        <v>1331</v>
      </c>
      <c r="H63" t="s">
        <v>2241</v>
      </c>
      <c r="I63" s="101" t="s">
        <v>2347</v>
      </c>
      <c r="J63" t="str">
        <f t="shared" si="0"/>
        <v>INSERT INTO tbFinanceItemSeq(Report,ItemSeqID,ItemSN,ItemID) VALUES('MA',50,50,1331)</v>
      </c>
      <c r="K63" t="str">
        <f t="shared" si="1"/>
        <v/>
      </c>
    </row>
    <row r="64" spans="1:11" s="3" customFormat="1">
      <c r="A64" s="3" t="s">
        <v>75</v>
      </c>
      <c r="B64" s="3" t="s">
        <v>2189</v>
      </c>
      <c r="C64" s="3">
        <v>51</v>
      </c>
      <c r="E64" s="3">
        <v>51</v>
      </c>
      <c r="G64" s="3" t="str">
        <f>CONCATENATE("(SELECT ItemID FROM tbFinanceItem where ItemName = '",H64,"')")</f>
        <v>(SELECT ItemID FROM tbFinanceItem where ItemName = '(MA)QA Allocated Cost')</v>
      </c>
      <c r="H64" s="3" t="s">
        <v>2310</v>
      </c>
      <c r="I64" s="110"/>
      <c r="J64" s="3" t="str">
        <f t="shared" si="0"/>
        <v>INSERT INTO tbFinanceItemSeq(Report,ItemSeqID,ItemSN,ItemID) VALUES('MA',51,51,(SELECT ItemID FROM tbFinanceItem where ItemName = '(MA)QA Allocated Cost'))</v>
      </c>
      <c r="K64" s="3" t="str">
        <f t="shared" si="1"/>
        <v>INSERT INTO tbFinanceItem(ItemName) VALUES('(MA)QA Allocated Cost')</v>
      </c>
    </row>
    <row r="65" spans="1:11" s="3" customFormat="1">
      <c r="A65" s="3" t="s">
        <v>75</v>
      </c>
      <c r="B65" s="3" t="s">
        <v>2189</v>
      </c>
      <c r="C65" s="3">
        <v>52</v>
      </c>
      <c r="E65" s="3">
        <v>52</v>
      </c>
      <c r="G65" s="3" t="str">
        <f>CONCATENATE("(SELECT ItemID FROM tbFinanceItem where ItemName = '",H65,"')")</f>
        <v>(SELECT ItemID FROM tbFinanceItem where ItemName = '(MA)PM Allocated Cost')</v>
      </c>
      <c r="H65" s="3" t="s">
        <v>2311</v>
      </c>
      <c r="I65" s="110"/>
      <c r="J65" s="3" t="str">
        <f t="shared" si="0"/>
        <v>INSERT INTO tbFinanceItemSeq(Report,ItemSeqID,ItemSN,ItemID) VALUES('MA',52,52,(SELECT ItemID FROM tbFinanceItem where ItemName = '(MA)PM Allocated Cost'))</v>
      </c>
      <c r="K65" s="3" t="str">
        <f t="shared" si="1"/>
        <v>INSERT INTO tbFinanceItem(ItemName) VALUES('(MA)PM Allocated Cost')</v>
      </c>
    </row>
    <row r="66" spans="1:11">
      <c r="A66" t="s">
        <v>74</v>
      </c>
      <c r="B66" t="s">
        <v>2189</v>
      </c>
      <c r="C66">
        <v>53</v>
      </c>
      <c r="D66">
        <v>53</v>
      </c>
      <c r="E66">
        <v>53</v>
      </c>
      <c r="F66">
        <v>53</v>
      </c>
      <c r="G66">
        <v>1332</v>
      </c>
      <c r="H66" t="s">
        <v>2242</v>
      </c>
      <c r="I66" s="102" t="s">
        <v>2348</v>
      </c>
      <c r="J66" t="str">
        <f t="shared" si="0"/>
        <v>INSERT INTO tbFinanceItemSeq(Report,ItemSeqID,ItemSN,ItemID) VALUES('MA',53,53,1332)</v>
      </c>
      <c r="K66" t="str">
        <f t="shared" si="1"/>
        <v/>
      </c>
    </row>
    <row r="67" spans="1:11" ht="15.75" thickBot="1">
      <c r="A67" t="s">
        <v>74</v>
      </c>
      <c r="B67" t="s">
        <v>2189</v>
      </c>
      <c r="C67">
        <v>54</v>
      </c>
      <c r="D67">
        <v>54</v>
      </c>
      <c r="E67">
        <v>54</v>
      </c>
      <c r="F67">
        <v>54</v>
      </c>
      <c r="G67">
        <v>1333</v>
      </c>
      <c r="H67" t="s">
        <v>2243</v>
      </c>
      <c r="I67" s="106" t="s">
        <v>2349</v>
      </c>
      <c r="J67" t="str">
        <f t="shared" si="0"/>
        <v>INSERT INTO tbFinanceItemSeq(Report,ItemSeqID,ItemSN,ItemID) VALUES('MA',54,54,1333)</v>
      </c>
      <c r="K67" t="str">
        <f t="shared" si="1"/>
        <v/>
      </c>
    </row>
    <row r="68" spans="1:11" s="2" customFormat="1" ht="15.75" thickTop="1">
      <c r="A68" s="2" t="s">
        <v>76</v>
      </c>
      <c r="B68" s="2" t="s">
        <v>2189</v>
      </c>
      <c r="C68" s="2">
        <v>58</v>
      </c>
      <c r="D68" s="2">
        <v>55</v>
      </c>
      <c r="E68" s="2">
        <v>58</v>
      </c>
      <c r="F68" s="2">
        <v>0</v>
      </c>
      <c r="G68" s="2">
        <v>46</v>
      </c>
      <c r="H68" s="2" t="s">
        <v>55</v>
      </c>
      <c r="J68" s="2" t="str">
        <f t="shared" si="0"/>
        <v/>
      </c>
      <c r="K68" s="2" t="str">
        <f t="shared" si="1"/>
        <v/>
      </c>
    </row>
    <row r="69" spans="1:11" s="2" customFormat="1">
      <c r="A69" s="2" t="s">
        <v>76</v>
      </c>
      <c r="B69" s="2" t="s">
        <v>2189</v>
      </c>
      <c r="C69" s="2">
        <v>59</v>
      </c>
      <c r="D69" s="2">
        <v>56</v>
      </c>
      <c r="E69" s="2">
        <v>59</v>
      </c>
      <c r="F69" s="2">
        <v>1</v>
      </c>
      <c r="G69" s="2">
        <v>1334</v>
      </c>
      <c r="H69" s="2" t="s">
        <v>2244</v>
      </c>
      <c r="J69" s="2" t="str">
        <f t="shared" si="0"/>
        <v/>
      </c>
      <c r="K69" s="2" t="str">
        <f t="shared" si="1"/>
        <v/>
      </c>
    </row>
    <row r="70" spans="1:11" s="2" customFormat="1">
      <c r="A70" s="2" t="s">
        <v>76</v>
      </c>
      <c r="B70" s="2" t="s">
        <v>2189</v>
      </c>
      <c r="C70" s="2">
        <v>60</v>
      </c>
      <c r="D70" s="2">
        <v>57</v>
      </c>
      <c r="E70" s="2">
        <v>60</v>
      </c>
      <c r="F70" s="2">
        <v>2</v>
      </c>
      <c r="G70" s="2">
        <v>1335</v>
      </c>
      <c r="H70" s="2" t="s">
        <v>2245</v>
      </c>
      <c r="J70" s="2" t="str">
        <f t="shared" si="0"/>
        <v/>
      </c>
      <c r="K70" s="2" t="str">
        <f t="shared" si="1"/>
        <v/>
      </c>
    </row>
    <row r="71" spans="1:11" s="2" customFormat="1">
      <c r="A71" s="2" t="s">
        <v>76</v>
      </c>
      <c r="B71" s="2" t="s">
        <v>2189</v>
      </c>
      <c r="C71" s="2">
        <v>61</v>
      </c>
      <c r="D71" s="2">
        <v>58</v>
      </c>
      <c r="E71" s="2">
        <v>61</v>
      </c>
      <c r="F71" s="2">
        <v>3</v>
      </c>
      <c r="G71" s="2">
        <v>1336</v>
      </c>
      <c r="H71" s="2" t="s">
        <v>2246</v>
      </c>
      <c r="J71" s="2" t="str">
        <f t="shared" si="0"/>
        <v/>
      </c>
      <c r="K71" s="2" t="str">
        <f t="shared" si="1"/>
        <v/>
      </c>
    </row>
    <row r="72" spans="1:11" s="2" customFormat="1">
      <c r="A72" s="2" t="s">
        <v>76</v>
      </c>
      <c r="B72" s="2" t="s">
        <v>2189</v>
      </c>
      <c r="C72" s="2">
        <v>62</v>
      </c>
      <c r="D72" s="2">
        <v>59</v>
      </c>
      <c r="E72" s="2">
        <v>62</v>
      </c>
      <c r="F72" s="2">
        <v>4</v>
      </c>
      <c r="G72" s="2">
        <v>1337</v>
      </c>
      <c r="H72" s="2" t="s">
        <v>2247</v>
      </c>
      <c r="J72" s="2" t="str">
        <f t="shared" si="0"/>
        <v/>
      </c>
      <c r="K72" s="2" t="str">
        <f t="shared" si="1"/>
        <v/>
      </c>
    </row>
    <row r="73" spans="1:11" s="2" customFormat="1">
      <c r="A73" s="2" t="s">
        <v>76</v>
      </c>
      <c r="B73" s="2" t="s">
        <v>2189</v>
      </c>
      <c r="C73" s="2">
        <v>63</v>
      </c>
      <c r="D73" s="2">
        <v>60</v>
      </c>
      <c r="E73" s="2">
        <v>63</v>
      </c>
      <c r="F73" s="2">
        <v>5</v>
      </c>
      <c r="G73" s="2">
        <v>1338</v>
      </c>
      <c r="H73" s="2" t="s">
        <v>2248</v>
      </c>
      <c r="J73" s="2" t="str">
        <f t="shared" si="0"/>
        <v/>
      </c>
      <c r="K73" s="2" t="str">
        <f t="shared" si="1"/>
        <v/>
      </c>
    </row>
    <row r="74" spans="1:11" s="2" customFormat="1">
      <c r="A74" s="2" t="s">
        <v>76</v>
      </c>
      <c r="B74" s="2" t="s">
        <v>2189</v>
      </c>
      <c r="C74" s="2">
        <v>64</v>
      </c>
      <c r="D74" s="2">
        <v>61</v>
      </c>
      <c r="E74" s="2">
        <v>64</v>
      </c>
      <c r="F74" s="2">
        <v>6</v>
      </c>
      <c r="G74" s="2">
        <v>1339</v>
      </c>
      <c r="H74" s="2" t="s">
        <v>2249</v>
      </c>
      <c r="J74" s="2" t="str">
        <f t="shared" si="0"/>
        <v/>
      </c>
      <c r="K74" s="2" t="str">
        <f t="shared" si="1"/>
        <v/>
      </c>
    </row>
    <row r="75" spans="1:11" s="2" customFormat="1">
      <c r="A75" s="2" t="s">
        <v>76</v>
      </c>
      <c r="B75" s="2" t="s">
        <v>2189</v>
      </c>
      <c r="C75" s="2">
        <v>65</v>
      </c>
      <c r="D75" s="2">
        <v>62</v>
      </c>
      <c r="E75" s="2">
        <v>65</v>
      </c>
      <c r="F75" s="2">
        <v>7</v>
      </c>
      <c r="G75" s="2">
        <v>1340</v>
      </c>
      <c r="H75" s="2" t="s">
        <v>2250</v>
      </c>
      <c r="J75" s="2" t="str">
        <f t="shared" si="0"/>
        <v/>
      </c>
      <c r="K75" s="2" t="str">
        <f t="shared" si="1"/>
        <v/>
      </c>
    </row>
    <row r="76" spans="1:11" s="2" customFormat="1">
      <c r="A76" s="2" t="s">
        <v>76</v>
      </c>
      <c r="B76" s="2" t="s">
        <v>2189</v>
      </c>
      <c r="C76" s="2">
        <v>66</v>
      </c>
      <c r="D76" s="2">
        <v>63</v>
      </c>
      <c r="E76" s="2">
        <v>66</v>
      </c>
      <c r="F76" s="2">
        <v>8</v>
      </c>
      <c r="G76" s="2">
        <v>1341</v>
      </c>
      <c r="H76" s="2" t="s">
        <v>2251</v>
      </c>
      <c r="J76" s="2" t="str">
        <f t="shared" si="0"/>
        <v/>
      </c>
      <c r="K76" s="2" t="str">
        <f t="shared" si="1"/>
        <v/>
      </c>
    </row>
    <row r="77" spans="1:11" s="2" customFormat="1">
      <c r="A77" s="2" t="s">
        <v>76</v>
      </c>
      <c r="B77" s="2" t="s">
        <v>2189</v>
      </c>
      <c r="C77" s="2">
        <v>67</v>
      </c>
      <c r="D77" s="2">
        <v>64</v>
      </c>
      <c r="E77" s="2">
        <v>67</v>
      </c>
      <c r="F77" s="2">
        <v>9</v>
      </c>
      <c r="G77" s="2">
        <v>1342</v>
      </c>
      <c r="H77" s="2" t="s">
        <v>2252</v>
      </c>
      <c r="J77" s="2" t="str">
        <f t="shared" si="0"/>
        <v/>
      </c>
      <c r="K77" s="2" t="str">
        <f t="shared" si="1"/>
        <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activeCell="A15" sqref="A15:A18"/>
    </sheetView>
  </sheetViews>
  <sheetFormatPr defaultColWidth="8.85546875" defaultRowHeight="15"/>
  <cols>
    <col min="1" max="1" width="50" bestFit="1" customWidth="1"/>
  </cols>
  <sheetData>
    <row r="1" spans="1:1">
      <c r="A1" t="s">
        <v>163</v>
      </c>
    </row>
    <row r="2" spans="1:1">
      <c r="A2" t="s">
        <v>164</v>
      </c>
    </row>
    <row r="3" spans="1:1">
      <c r="A3" t="s">
        <v>165</v>
      </c>
    </row>
    <row r="4" spans="1:1">
      <c r="A4" t="s">
        <v>166</v>
      </c>
    </row>
    <row r="6" spans="1:1">
      <c r="A6" t="s">
        <v>77</v>
      </c>
    </row>
    <row r="7" spans="1:1">
      <c r="A7" t="s">
        <v>78</v>
      </c>
    </row>
    <row r="8" spans="1:1">
      <c r="A8" t="s">
        <v>167</v>
      </c>
    </row>
    <row r="9" spans="1:1">
      <c r="A9" t="s">
        <v>79</v>
      </c>
    </row>
    <row r="12" spans="1:1">
      <c r="A12" t="s">
        <v>168</v>
      </c>
    </row>
    <row r="15" spans="1:1">
      <c r="A15" t="s">
        <v>2745</v>
      </c>
    </row>
    <row r="16" spans="1:1">
      <c r="A16" t="s">
        <v>2760</v>
      </c>
    </row>
    <row r="17" spans="1:1">
      <c r="A17" t="s">
        <v>2762</v>
      </c>
    </row>
    <row r="18" spans="1:1">
      <c r="A18" t="s">
        <v>2761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Views>
    <sheetView workbookViewId="0">
      <selection activeCell="F2" sqref="F2"/>
    </sheetView>
  </sheetViews>
  <sheetFormatPr defaultColWidth="8.85546875" defaultRowHeight="15"/>
  <cols>
    <col min="2" max="2" width="10.28515625" bestFit="1" customWidth="1"/>
    <col min="3" max="3" width="7.42578125" bestFit="1" customWidth="1"/>
    <col min="4" max="4" width="7" bestFit="1" customWidth="1"/>
    <col min="5" max="5" width="42.7109375" bestFit="1" customWidth="1"/>
    <col min="6" max="6" width="80.28515625" bestFit="1" customWidth="1"/>
  </cols>
  <sheetData>
    <row r="1" spans="1:6">
      <c r="A1" s="4" t="s">
        <v>65</v>
      </c>
      <c r="B1" s="4" t="s">
        <v>66</v>
      </c>
      <c r="C1" s="4" t="s">
        <v>67</v>
      </c>
      <c r="D1" s="4" t="s">
        <v>68</v>
      </c>
      <c r="E1" s="4" t="s">
        <v>71</v>
      </c>
      <c r="F1" s="4" t="s">
        <v>72</v>
      </c>
    </row>
    <row r="2" spans="1:6">
      <c r="A2" t="s">
        <v>169</v>
      </c>
      <c r="B2">
        <v>1</v>
      </c>
      <c r="C2">
        <v>1</v>
      </c>
      <c r="D2">
        <v>501</v>
      </c>
      <c r="E2" t="s">
        <v>170</v>
      </c>
      <c r="F2" t="str">
        <f>CONCATENATE("INSERT INTO tbFinanceItemSeq(Report,ItemSeqID,ItemSN,ItemID) VALUES('",A2,"',",B2,",",C2,",",D2,")")</f>
        <v>INSERT INTO tbFinanceItemSeq(Report,ItemSeqID,ItemSN,ItemID) VALUES('BS',1,1,501)</v>
      </c>
    </row>
    <row r="3" spans="1:6">
      <c r="A3" t="s">
        <v>169</v>
      </c>
      <c r="B3">
        <v>2</v>
      </c>
      <c r="C3">
        <v>2</v>
      </c>
      <c r="D3">
        <v>502</v>
      </c>
      <c r="E3" t="s">
        <v>171</v>
      </c>
      <c r="F3" t="str">
        <f t="shared" ref="F3:F66" si="0">CONCATENATE("INSERT INTO tbFinanceItemSeq(Report,ItemSeqID,ItemSN,ItemID) VALUES('",A3,"',",B3,",",C3,",",D3,")")</f>
        <v>INSERT INTO tbFinanceItemSeq(Report,ItemSeqID,ItemSN,ItemID) VALUES('BS',2,2,502)</v>
      </c>
    </row>
    <row r="4" spans="1:6">
      <c r="A4" t="s">
        <v>169</v>
      </c>
      <c r="B4">
        <v>3</v>
      </c>
      <c r="C4">
        <v>3</v>
      </c>
      <c r="D4">
        <v>503</v>
      </c>
      <c r="E4" t="s">
        <v>172</v>
      </c>
      <c r="F4" t="str">
        <f t="shared" si="0"/>
        <v>INSERT INTO tbFinanceItemSeq(Report,ItemSeqID,ItemSN,ItemID) VALUES('BS',3,3,503)</v>
      </c>
    </row>
    <row r="5" spans="1:6">
      <c r="A5" t="s">
        <v>169</v>
      </c>
      <c r="B5">
        <v>4</v>
      </c>
      <c r="C5">
        <v>4</v>
      </c>
      <c r="D5">
        <v>504</v>
      </c>
      <c r="E5" t="s">
        <v>173</v>
      </c>
      <c r="F5" t="str">
        <f t="shared" si="0"/>
        <v>INSERT INTO tbFinanceItemSeq(Report,ItemSeqID,ItemSN,ItemID) VALUES('BS',4,4,504)</v>
      </c>
    </row>
    <row r="6" spans="1:6">
      <c r="A6" t="s">
        <v>169</v>
      </c>
      <c r="B6">
        <v>5</v>
      </c>
      <c r="C6">
        <v>5</v>
      </c>
      <c r="D6">
        <v>505</v>
      </c>
      <c r="E6" t="s">
        <v>174</v>
      </c>
      <c r="F6" t="str">
        <f t="shared" si="0"/>
        <v>INSERT INTO tbFinanceItemSeq(Report,ItemSeqID,ItemSN,ItemID) VALUES('BS',5,5,505)</v>
      </c>
    </row>
    <row r="7" spans="1:6">
      <c r="A7" t="s">
        <v>169</v>
      </c>
      <c r="B7">
        <v>6</v>
      </c>
      <c r="C7">
        <v>6</v>
      </c>
      <c r="D7">
        <v>506</v>
      </c>
      <c r="E7" t="s">
        <v>175</v>
      </c>
      <c r="F7" t="str">
        <f t="shared" si="0"/>
        <v>INSERT INTO tbFinanceItemSeq(Report,ItemSeqID,ItemSN,ItemID) VALUES('BS',6,6,506)</v>
      </c>
    </row>
    <row r="8" spans="1:6">
      <c r="A8" t="s">
        <v>169</v>
      </c>
      <c r="B8">
        <v>7</v>
      </c>
      <c r="C8">
        <v>7</v>
      </c>
      <c r="D8">
        <v>507</v>
      </c>
      <c r="E8" t="s">
        <v>176</v>
      </c>
      <c r="F8" t="str">
        <f t="shared" si="0"/>
        <v>INSERT INTO tbFinanceItemSeq(Report,ItemSeqID,ItemSN,ItemID) VALUES('BS',7,7,507)</v>
      </c>
    </row>
    <row r="9" spans="1:6">
      <c r="A9" t="s">
        <v>169</v>
      </c>
      <c r="B9">
        <v>8</v>
      </c>
      <c r="C9">
        <v>8</v>
      </c>
      <c r="D9">
        <v>508</v>
      </c>
      <c r="E9" t="s">
        <v>177</v>
      </c>
      <c r="F9" t="str">
        <f t="shared" si="0"/>
        <v>INSERT INTO tbFinanceItemSeq(Report,ItemSeqID,ItemSN,ItemID) VALUES('BS',8,8,508)</v>
      </c>
    </row>
    <row r="10" spans="1:6">
      <c r="A10" t="s">
        <v>169</v>
      </c>
      <c r="B10">
        <v>9</v>
      </c>
      <c r="C10">
        <v>9</v>
      </c>
      <c r="D10">
        <v>509</v>
      </c>
      <c r="E10" t="s">
        <v>178</v>
      </c>
      <c r="F10" t="str">
        <f t="shared" si="0"/>
        <v>INSERT INTO tbFinanceItemSeq(Report,ItemSeqID,ItemSN,ItemID) VALUES('BS',9,9,509)</v>
      </c>
    </row>
    <row r="11" spans="1:6">
      <c r="A11" t="s">
        <v>169</v>
      </c>
      <c r="B11">
        <v>10</v>
      </c>
      <c r="C11">
        <v>10</v>
      </c>
      <c r="D11">
        <v>510</v>
      </c>
      <c r="E11" t="s">
        <v>179</v>
      </c>
      <c r="F11" t="str">
        <f t="shared" si="0"/>
        <v>INSERT INTO tbFinanceItemSeq(Report,ItemSeqID,ItemSN,ItemID) VALUES('BS',10,10,510)</v>
      </c>
    </row>
    <row r="12" spans="1:6">
      <c r="A12" t="s">
        <v>169</v>
      </c>
      <c r="B12">
        <v>11</v>
      </c>
      <c r="C12">
        <v>11</v>
      </c>
      <c r="D12">
        <v>512</v>
      </c>
      <c r="E12" t="s">
        <v>180</v>
      </c>
      <c r="F12" t="str">
        <f t="shared" si="0"/>
        <v>INSERT INTO tbFinanceItemSeq(Report,ItemSeqID,ItemSN,ItemID) VALUES('BS',11,11,512)</v>
      </c>
    </row>
    <row r="13" spans="1:6">
      <c r="A13" t="s">
        <v>169</v>
      </c>
      <c r="B13">
        <v>12</v>
      </c>
      <c r="C13">
        <v>12</v>
      </c>
      <c r="D13">
        <v>513</v>
      </c>
      <c r="E13" t="s">
        <v>181</v>
      </c>
      <c r="F13" t="str">
        <f t="shared" si="0"/>
        <v>INSERT INTO tbFinanceItemSeq(Report,ItemSeqID,ItemSN,ItemID) VALUES('BS',12,12,513)</v>
      </c>
    </row>
    <row r="14" spans="1:6">
      <c r="A14" t="s">
        <v>169</v>
      </c>
      <c r="B14">
        <v>13</v>
      </c>
      <c r="C14">
        <v>13</v>
      </c>
      <c r="D14">
        <v>514</v>
      </c>
      <c r="E14" t="s">
        <v>182</v>
      </c>
      <c r="F14" t="str">
        <f t="shared" si="0"/>
        <v>INSERT INTO tbFinanceItemSeq(Report,ItemSeqID,ItemSN,ItemID) VALUES('BS',13,13,514)</v>
      </c>
    </row>
    <row r="15" spans="1:6">
      <c r="A15" t="s">
        <v>169</v>
      </c>
      <c r="B15">
        <v>14</v>
      </c>
      <c r="C15">
        <v>14</v>
      </c>
      <c r="D15">
        <v>515</v>
      </c>
      <c r="E15" t="s">
        <v>183</v>
      </c>
      <c r="F15" t="str">
        <f t="shared" si="0"/>
        <v>INSERT INTO tbFinanceItemSeq(Report,ItemSeqID,ItemSN,ItemID) VALUES('BS',14,14,515)</v>
      </c>
    </row>
    <row r="16" spans="1:6">
      <c r="A16" t="s">
        <v>169</v>
      </c>
      <c r="B16">
        <v>15</v>
      </c>
      <c r="C16">
        <v>15</v>
      </c>
      <c r="D16">
        <v>516</v>
      </c>
      <c r="E16" t="s">
        <v>184</v>
      </c>
      <c r="F16" t="str">
        <f t="shared" si="0"/>
        <v>INSERT INTO tbFinanceItemSeq(Report,ItemSeqID,ItemSN,ItemID) VALUES('BS',15,15,516)</v>
      </c>
    </row>
    <row r="17" spans="1:6">
      <c r="A17" t="s">
        <v>169</v>
      </c>
      <c r="B17">
        <v>16</v>
      </c>
      <c r="C17">
        <v>16</v>
      </c>
      <c r="D17">
        <v>517</v>
      </c>
      <c r="E17" t="s">
        <v>185</v>
      </c>
      <c r="F17" t="str">
        <f t="shared" si="0"/>
        <v>INSERT INTO tbFinanceItemSeq(Report,ItemSeqID,ItemSN,ItemID) VALUES('BS',16,16,517)</v>
      </c>
    </row>
    <row r="18" spans="1:6">
      <c r="A18" t="s">
        <v>169</v>
      </c>
      <c r="B18">
        <v>17</v>
      </c>
      <c r="C18">
        <v>17</v>
      </c>
      <c r="D18">
        <v>518</v>
      </c>
      <c r="E18" t="s">
        <v>186</v>
      </c>
      <c r="F18" t="str">
        <f t="shared" si="0"/>
        <v>INSERT INTO tbFinanceItemSeq(Report,ItemSeqID,ItemSN,ItemID) VALUES('BS',17,17,518)</v>
      </c>
    </row>
    <row r="19" spans="1:6">
      <c r="A19" t="s">
        <v>169</v>
      </c>
      <c r="B19">
        <v>18</v>
      </c>
      <c r="C19">
        <v>18</v>
      </c>
      <c r="D19">
        <v>519</v>
      </c>
      <c r="E19" t="s">
        <v>187</v>
      </c>
      <c r="F19" t="str">
        <f t="shared" si="0"/>
        <v>INSERT INTO tbFinanceItemSeq(Report,ItemSeqID,ItemSN,ItemID) VALUES('BS',18,18,519)</v>
      </c>
    </row>
    <row r="20" spans="1:6">
      <c r="A20" t="s">
        <v>169</v>
      </c>
      <c r="B20">
        <v>19</v>
      </c>
      <c r="C20">
        <v>19</v>
      </c>
      <c r="D20">
        <v>520</v>
      </c>
      <c r="E20" t="s">
        <v>188</v>
      </c>
      <c r="F20" t="str">
        <f t="shared" si="0"/>
        <v>INSERT INTO tbFinanceItemSeq(Report,ItemSeqID,ItemSN,ItemID) VALUES('BS',19,19,520)</v>
      </c>
    </row>
    <row r="21" spans="1:6">
      <c r="A21" t="s">
        <v>169</v>
      </c>
      <c r="B21">
        <v>20</v>
      </c>
      <c r="C21">
        <v>20</v>
      </c>
      <c r="D21">
        <v>521</v>
      </c>
      <c r="E21" t="s">
        <v>189</v>
      </c>
      <c r="F21" t="str">
        <f t="shared" si="0"/>
        <v>INSERT INTO tbFinanceItemSeq(Report,ItemSeqID,ItemSN,ItemID) VALUES('BS',20,20,521)</v>
      </c>
    </row>
    <row r="22" spans="1:6">
      <c r="A22" t="s">
        <v>169</v>
      </c>
      <c r="B22">
        <v>21</v>
      </c>
      <c r="C22">
        <v>21</v>
      </c>
      <c r="D22">
        <v>522</v>
      </c>
      <c r="E22" t="s">
        <v>190</v>
      </c>
      <c r="F22" t="str">
        <f t="shared" si="0"/>
        <v>INSERT INTO tbFinanceItemSeq(Report,ItemSeqID,ItemSN,ItemID) VALUES('BS',21,21,522)</v>
      </c>
    </row>
    <row r="23" spans="1:6">
      <c r="A23" t="s">
        <v>169</v>
      </c>
      <c r="B23">
        <v>22</v>
      </c>
      <c r="C23">
        <v>22</v>
      </c>
      <c r="D23">
        <v>523</v>
      </c>
      <c r="E23" t="s">
        <v>191</v>
      </c>
      <c r="F23" t="str">
        <f t="shared" si="0"/>
        <v>INSERT INTO tbFinanceItemSeq(Report,ItemSeqID,ItemSN,ItemID) VALUES('BS',22,22,523)</v>
      </c>
    </row>
    <row r="24" spans="1:6">
      <c r="A24" t="s">
        <v>169</v>
      </c>
      <c r="B24">
        <v>23</v>
      </c>
      <c r="C24">
        <v>23</v>
      </c>
      <c r="D24">
        <v>524</v>
      </c>
      <c r="E24" t="s">
        <v>192</v>
      </c>
      <c r="F24" t="str">
        <f t="shared" si="0"/>
        <v>INSERT INTO tbFinanceItemSeq(Report,ItemSeqID,ItemSN,ItemID) VALUES('BS',23,23,524)</v>
      </c>
    </row>
    <row r="25" spans="1:6">
      <c r="A25" t="s">
        <v>169</v>
      </c>
      <c r="B25">
        <v>24</v>
      </c>
      <c r="C25">
        <v>24</v>
      </c>
      <c r="D25">
        <v>525</v>
      </c>
      <c r="E25" t="s">
        <v>193</v>
      </c>
      <c r="F25" t="str">
        <f t="shared" si="0"/>
        <v>INSERT INTO tbFinanceItemSeq(Report,ItemSeqID,ItemSN,ItemID) VALUES('BS',24,24,525)</v>
      </c>
    </row>
    <row r="26" spans="1:6">
      <c r="A26" t="s">
        <v>169</v>
      </c>
      <c r="B26">
        <v>25</v>
      </c>
      <c r="C26">
        <v>25</v>
      </c>
      <c r="D26">
        <v>526</v>
      </c>
      <c r="E26" t="s">
        <v>194</v>
      </c>
      <c r="F26" t="str">
        <f t="shared" si="0"/>
        <v>INSERT INTO tbFinanceItemSeq(Report,ItemSeqID,ItemSN,ItemID) VALUES('BS',25,25,526)</v>
      </c>
    </row>
    <row r="27" spans="1:6">
      <c r="A27" t="s">
        <v>169</v>
      </c>
      <c r="B27">
        <v>26</v>
      </c>
      <c r="C27">
        <v>26</v>
      </c>
      <c r="D27">
        <v>527</v>
      </c>
      <c r="E27" t="s">
        <v>195</v>
      </c>
      <c r="F27" t="str">
        <f t="shared" si="0"/>
        <v>INSERT INTO tbFinanceItemSeq(Report,ItemSeqID,ItemSN,ItemID) VALUES('BS',26,26,527)</v>
      </c>
    </row>
    <row r="28" spans="1:6">
      <c r="A28" t="s">
        <v>169</v>
      </c>
      <c r="B28">
        <v>27</v>
      </c>
      <c r="C28">
        <v>27</v>
      </c>
      <c r="D28">
        <v>528</v>
      </c>
      <c r="E28" t="s">
        <v>196</v>
      </c>
      <c r="F28" t="str">
        <f t="shared" si="0"/>
        <v>INSERT INTO tbFinanceItemSeq(Report,ItemSeqID,ItemSN,ItemID) VALUES('BS',27,27,528)</v>
      </c>
    </row>
    <row r="29" spans="1:6">
      <c r="A29" t="s">
        <v>169</v>
      </c>
      <c r="B29">
        <v>28</v>
      </c>
      <c r="C29">
        <v>28</v>
      </c>
      <c r="D29">
        <v>529</v>
      </c>
      <c r="E29" t="s">
        <v>197</v>
      </c>
      <c r="F29" t="str">
        <f t="shared" si="0"/>
        <v>INSERT INTO tbFinanceItemSeq(Report,ItemSeqID,ItemSN,ItemID) VALUES('BS',28,28,529)</v>
      </c>
    </row>
    <row r="30" spans="1:6">
      <c r="A30" t="s">
        <v>169</v>
      </c>
      <c r="B30">
        <v>29</v>
      </c>
      <c r="C30">
        <v>29</v>
      </c>
      <c r="D30">
        <v>530</v>
      </c>
      <c r="E30" t="s">
        <v>198</v>
      </c>
      <c r="F30" t="str">
        <f t="shared" si="0"/>
        <v>INSERT INTO tbFinanceItemSeq(Report,ItemSeqID,ItemSN,ItemID) VALUES('BS',29,29,530)</v>
      </c>
    </row>
    <row r="31" spans="1:6">
      <c r="A31" t="s">
        <v>169</v>
      </c>
      <c r="B31">
        <v>30</v>
      </c>
      <c r="C31">
        <v>30</v>
      </c>
      <c r="D31">
        <v>531</v>
      </c>
      <c r="E31" t="s">
        <v>199</v>
      </c>
      <c r="F31" t="str">
        <f t="shared" si="0"/>
        <v>INSERT INTO tbFinanceItemSeq(Report,ItemSeqID,ItemSN,ItemID) VALUES('BS',30,30,531)</v>
      </c>
    </row>
    <row r="32" spans="1:6">
      <c r="A32" t="s">
        <v>169</v>
      </c>
      <c r="B32">
        <v>31</v>
      </c>
      <c r="C32">
        <v>31</v>
      </c>
      <c r="D32">
        <v>532</v>
      </c>
      <c r="E32" t="s">
        <v>200</v>
      </c>
      <c r="F32" t="str">
        <f t="shared" si="0"/>
        <v>INSERT INTO tbFinanceItemSeq(Report,ItemSeqID,ItemSN,ItemID) VALUES('BS',31,31,532)</v>
      </c>
    </row>
    <row r="33" spans="1:6">
      <c r="A33" t="s">
        <v>169</v>
      </c>
      <c r="B33">
        <v>32</v>
      </c>
      <c r="C33">
        <v>32</v>
      </c>
      <c r="D33">
        <v>533</v>
      </c>
      <c r="E33" t="s">
        <v>201</v>
      </c>
      <c r="F33" t="str">
        <f t="shared" si="0"/>
        <v>INSERT INTO tbFinanceItemSeq(Report,ItemSeqID,ItemSN,ItemID) VALUES('BS',32,32,533)</v>
      </c>
    </row>
    <row r="34" spans="1:6">
      <c r="A34" t="s">
        <v>169</v>
      </c>
      <c r="B34">
        <v>33</v>
      </c>
      <c r="C34">
        <v>33</v>
      </c>
      <c r="D34">
        <v>534</v>
      </c>
      <c r="E34" t="s">
        <v>202</v>
      </c>
      <c r="F34" t="str">
        <f t="shared" si="0"/>
        <v>INSERT INTO tbFinanceItemSeq(Report,ItemSeqID,ItemSN,ItemID) VALUES('BS',33,33,534)</v>
      </c>
    </row>
    <row r="35" spans="1:6">
      <c r="A35" t="s">
        <v>169</v>
      </c>
      <c r="B35">
        <v>34</v>
      </c>
      <c r="C35">
        <v>34</v>
      </c>
      <c r="D35">
        <v>535</v>
      </c>
      <c r="E35" t="s">
        <v>203</v>
      </c>
      <c r="F35" t="str">
        <f t="shared" si="0"/>
        <v>INSERT INTO tbFinanceItemSeq(Report,ItemSeqID,ItemSN,ItemID) VALUES('BS',34,34,535)</v>
      </c>
    </row>
    <row r="36" spans="1:6">
      <c r="A36" t="s">
        <v>169</v>
      </c>
      <c r="B36">
        <v>35</v>
      </c>
      <c r="C36">
        <v>35</v>
      </c>
      <c r="D36">
        <v>536</v>
      </c>
      <c r="E36" t="s">
        <v>204</v>
      </c>
      <c r="F36" t="str">
        <f t="shared" si="0"/>
        <v>INSERT INTO tbFinanceItemSeq(Report,ItemSeqID,ItemSN,ItemID) VALUES('BS',35,35,536)</v>
      </c>
    </row>
    <row r="37" spans="1:6">
      <c r="A37" t="s">
        <v>169</v>
      </c>
      <c r="B37">
        <v>36</v>
      </c>
      <c r="C37">
        <v>36</v>
      </c>
      <c r="D37">
        <v>537</v>
      </c>
      <c r="E37" t="s">
        <v>205</v>
      </c>
      <c r="F37" t="str">
        <f t="shared" si="0"/>
        <v>INSERT INTO tbFinanceItemSeq(Report,ItemSeqID,ItemSN,ItemID) VALUES('BS',36,36,537)</v>
      </c>
    </row>
    <row r="38" spans="1:6">
      <c r="A38" t="s">
        <v>169</v>
      </c>
      <c r="B38">
        <v>37</v>
      </c>
      <c r="C38">
        <v>37</v>
      </c>
      <c r="D38">
        <v>538</v>
      </c>
      <c r="E38" t="s">
        <v>206</v>
      </c>
      <c r="F38" t="str">
        <f t="shared" si="0"/>
        <v>INSERT INTO tbFinanceItemSeq(Report,ItemSeqID,ItemSN,ItemID) VALUES('BS',37,37,538)</v>
      </c>
    </row>
    <row r="39" spans="1:6">
      <c r="A39" t="s">
        <v>169</v>
      </c>
      <c r="B39">
        <v>38</v>
      </c>
      <c r="C39">
        <v>38</v>
      </c>
      <c r="D39">
        <v>539</v>
      </c>
      <c r="E39" t="s">
        <v>207</v>
      </c>
      <c r="F39" t="str">
        <f t="shared" si="0"/>
        <v>INSERT INTO tbFinanceItemSeq(Report,ItemSeqID,ItemSN,ItemID) VALUES('BS',38,38,539)</v>
      </c>
    </row>
    <row r="40" spans="1:6">
      <c r="A40" t="s">
        <v>169</v>
      </c>
      <c r="B40">
        <v>39</v>
      </c>
      <c r="C40">
        <v>39</v>
      </c>
      <c r="D40">
        <v>540</v>
      </c>
      <c r="E40" t="s">
        <v>208</v>
      </c>
      <c r="F40" t="str">
        <f t="shared" si="0"/>
        <v>INSERT INTO tbFinanceItemSeq(Report,ItemSeqID,ItemSN,ItemID) VALUES('BS',39,39,540)</v>
      </c>
    </row>
    <row r="41" spans="1:6">
      <c r="A41" t="s">
        <v>169</v>
      </c>
      <c r="B41">
        <v>40</v>
      </c>
      <c r="C41">
        <v>40</v>
      </c>
      <c r="D41">
        <v>541</v>
      </c>
      <c r="E41" t="s">
        <v>209</v>
      </c>
      <c r="F41" t="str">
        <f t="shared" si="0"/>
        <v>INSERT INTO tbFinanceItemSeq(Report,ItemSeqID,ItemSN,ItemID) VALUES('BS',40,40,541)</v>
      </c>
    </row>
    <row r="42" spans="1:6">
      <c r="A42" t="s">
        <v>169</v>
      </c>
      <c r="B42">
        <v>41</v>
      </c>
      <c r="C42">
        <v>41</v>
      </c>
      <c r="D42">
        <v>542</v>
      </c>
      <c r="E42" t="s">
        <v>210</v>
      </c>
      <c r="F42" t="str">
        <f t="shared" si="0"/>
        <v>INSERT INTO tbFinanceItemSeq(Report,ItemSeqID,ItemSN,ItemID) VALUES('BS',41,41,542)</v>
      </c>
    </row>
    <row r="43" spans="1:6">
      <c r="A43" t="s">
        <v>169</v>
      </c>
      <c r="B43">
        <v>42</v>
      </c>
      <c r="C43">
        <v>42</v>
      </c>
      <c r="D43">
        <v>543</v>
      </c>
      <c r="E43" t="s">
        <v>211</v>
      </c>
      <c r="F43" t="str">
        <f t="shared" si="0"/>
        <v>INSERT INTO tbFinanceItemSeq(Report,ItemSeqID,ItemSN,ItemID) VALUES('BS',42,42,543)</v>
      </c>
    </row>
    <row r="44" spans="1:6">
      <c r="A44" t="s">
        <v>169</v>
      </c>
      <c r="B44">
        <v>43</v>
      </c>
      <c r="C44">
        <v>43</v>
      </c>
      <c r="D44">
        <v>544</v>
      </c>
      <c r="E44" t="s">
        <v>212</v>
      </c>
      <c r="F44" t="str">
        <f t="shared" si="0"/>
        <v>INSERT INTO tbFinanceItemSeq(Report,ItemSeqID,ItemSN,ItemID) VALUES('BS',43,43,544)</v>
      </c>
    </row>
    <row r="45" spans="1:6">
      <c r="A45" t="s">
        <v>169</v>
      </c>
      <c r="B45">
        <v>44</v>
      </c>
      <c r="C45">
        <v>44</v>
      </c>
      <c r="D45">
        <v>545</v>
      </c>
      <c r="E45" t="s">
        <v>213</v>
      </c>
      <c r="F45" t="str">
        <f t="shared" si="0"/>
        <v>INSERT INTO tbFinanceItemSeq(Report,ItemSeqID,ItemSN,ItemID) VALUES('BS',44,44,545)</v>
      </c>
    </row>
    <row r="46" spans="1:6">
      <c r="A46" t="s">
        <v>169</v>
      </c>
      <c r="B46">
        <v>45</v>
      </c>
      <c r="C46">
        <v>45</v>
      </c>
      <c r="D46">
        <v>546</v>
      </c>
      <c r="E46" t="s">
        <v>214</v>
      </c>
      <c r="F46" t="str">
        <f t="shared" si="0"/>
        <v>INSERT INTO tbFinanceItemSeq(Report,ItemSeqID,ItemSN,ItemID) VALUES('BS',45,45,546)</v>
      </c>
    </row>
    <row r="47" spans="1:6">
      <c r="A47" t="s">
        <v>169</v>
      </c>
      <c r="B47">
        <v>46</v>
      </c>
      <c r="C47">
        <v>46</v>
      </c>
      <c r="D47">
        <v>547</v>
      </c>
      <c r="E47" t="s">
        <v>215</v>
      </c>
      <c r="F47" t="str">
        <f t="shared" si="0"/>
        <v>INSERT INTO tbFinanceItemSeq(Report,ItemSeqID,ItemSN,ItemID) VALUES('BS',46,46,547)</v>
      </c>
    </row>
    <row r="48" spans="1:6">
      <c r="A48" t="s">
        <v>169</v>
      </c>
      <c r="B48">
        <v>47</v>
      </c>
      <c r="C48">
        <v>47</v>
      </c>
      <c r="D48">
        <v>548</v>
      </c>
      <c r="E48" t="s">
        <v>216</v>
      </c>
      <c r="F48" t="str">
        <f t="shared" si="0"/>
        <v>INSERT INTO tbFinanceItemSeq(Report,ItemSeqID,ItemSN,ItemID) VALUES('BS',47,47,548)</v>
      </c>
    </row>
    <row r="49" spans="1:6">
      <c r="A49" t="s">
        <v>169</v>
      </c>
      <c r="B49">
        <v>48</v>
      </c>
      <c r="C49">
        <v>48</v>
      </c>
      <c r="D49">
        <v>549</v>
      </c>
      <c r="E49" t="s">
        <v>217</v>
      </c>
      <c r="F49" t="str">
        <f t="shared" si="0"/>
        <v>INSERT INTO tbFinanceItemSeq(Report,ItemSeqID,ItemSN,ItemID) VALUES('BS',48,48,549)</v>
      </c>
    </row>
    <row r="50" spans="1:6">
      <c r="A50" t="s">
        <v>169</v>
      </c>
      <c r="B50">
        <v>49</v>
      </c>
      <c r="C50">
        <v>49</v>
      </c>
      <c r="D50">
        <v>554</v>
      </c>
      <c r="E50" t="s">
        <v>218</v>
      </c>
      <c r="F50" t="str">
        <f t="shared" si="0"/>
        <v>INSERT INTO tbFinanceItemSeq(Report,ItemSeqID,ItemSN,ItemID) VALUES('BS',49,49,554)</v>
      </c>
    </row>
    <row r="51" spans="1:6">
      <c r="A51" t="s">
        <v>169</v>
      </c>
      <c r="B51">
        <v>50</v>
      </c>
      <c r="C51">
        <v>50</v>
      </c>
      <c r="D51">
        <v>550</v>
      </c>
      <c r="E51" t="s">
        <v>219</v>
      </c>
      <c r="F51" t="str">
        <f t="shared" si="0"/>
        <v>INSERT INTO tbFinanceItemSeq(Report,ItemSeqID,ItemSN,ItemID) VALUES('BS',50,50,550)</v>
      </c>
    </row>
    <row r="52" spans="1:6">
      <c r="A52" t="s">
        <v>169</v>
      </c>
      <c r="B52">
        <v>51</v>
      </c>
      <c r="C52">
        <v>51</v>
      </c>
      <c r="D52">
        <v>551</v>
      </c>
      <c r="E52" t="s">
        <v>220</v>
      </c>
      <c r="F52" t="str">
        <f t="shared" si="0"/>
        <v>INSERT INTO tbFinanceItemSeq(Report,ItemSeqID,ItemSN,ItemID) VALUES('BS',51,51,551)</v>
      </c>
    </row>
    <row r="53" spans="1:6">
      <c r="A53" t="s">
        <v>169</v>
      </c>
      <c r="B53">
        <v>52</v>
      </c>
      <c r="C53">
        <v>52</v>
      </c>
      <c r="D53">
        <v>552</v>
      </c>
      <c r="E53" t="s">
        <v>221</v>
      </c>
      <c r="F53" t="str">
        <f t="shared" si="0"/>
        <v>INSERT INTO tbFinanceItemSeq(Report,ItemSeqID,ItemSN,ItemID) VALUES('BS',52,52,552)</v>
      </c>
    </row>
    <row r="54" spans="1:6">
      <c r="A54" t="s">
        <v>169</v>
      </c>
      <c r="B54">
        <v>53</v>
      </c>
      <c r="C54">
        <v>53</v>
      </c>
      <c r="D54">
        <v>553</v>
      </c>
      <c r="E54" t="s">
        <v>222</v>
      </c>
      <c r="F54" t="str">
        <f t="shared" si="0"/>
        <v>INSERT INTO tbFinanceItemSeq(Report,ItemSeqID,ItemSN,ItemID) VALUES('BS',53,53,553)</v>
      </c>
    </row>
    <row r="55" spans="1:6">
      <c r="A55" t="s">
        <v>169</v>
      </c>
      <c r="B55">
        <v>54</v>
      </c>
      <c r="C55">
        <v>54</v>
      </c>
      <c r="D55">
        <v>555</v>
      </c>
      <c r="E55" t="s">
        <v>223</v>
      </c>
      <c r="F55" t="str">
        <f t="shared" si="0"/>
        <v>INSERT INTO tbFinanceItemSeq(Report,ItemSeqID,ItemSN,ItemID) VALUES('BS',54,54,555)</v>
      </c>
    </row>
    <row r="56" spans="1:6">
      <c r="A56" t="s">
        <v>169</v>
      </c>
      <c r="B56">
        <v>55</v>
      </c>
      <c r="C56">
        <v>55</v>
      </c>
      <c r="D56">
        <v>556</v>
      </c>
      <c r="E56" t="s">
        <v>224</v>
      </c>
      <c r="F56" t="str">
        <f t="shared" si="0"/>
        <v>INSERT INTO tbFinanceItemSeq(Report,ItemSeqID,ItemSN,ItemID) VALUES('BS',55,55,556)</v>
      </c>
    </row>
    <row r="57" spans="1:6">
      <c r="A57" t="s">
        <v>169</v>
      </c>
      <c r="B57">
        <v>56</v>
      </c>
      <c r="C57">
        <v>56</v>
      </c>
      <c r="D57">
        <v>557</v>
      </c>
      <c r="E57" t="s">
        <v>225</v>
      </c>
      <c r="F57" t="str">
        <f t="shared" si="0"/>
        <v>INSERT INTO tbFinanceItemSeq(Report,ItemSeqID,ItemSN,ItemID) VALUES('BS',56,56,557)</v>
      </c>
    </row>
    <row r="58" spans="1:6">
      <c r="A58" t="s">
        <v>169</v>
      </c>
      <c r="B58">
        <v>57</v>
      </c>
      <c r="C58">
        <v>57</v>
      </c>
      <c r="D58">
        <v>558</v>
      </c>
      <c r="E58" t="s">
        <v>226</v>
      </c>
      <c r="F58" t="str">
        <f t="shared" si="0"/>
        <v>INSERT INTO tbFinanceItemSeq(Report,ItemSeqID,ItemSN,ItemID) VALUES('BS',57,57,558)</v>
      </c>
    </row>
    <row r="59" spans="1:6">
      <c r="A59" t="s">
        <v>169</v>
      </c>
      <c r="B59">
        <v>58</v>
      </c>
      <c r="C59">
        <v>58</v>
      </c>
      <c r="D59">
        <v>559</v>
      </c>
      <c r="E59" t="s">
        <v>227</v>
      </c>
      <c r="F59" t="str">
        <f t="shared" si="0"/>
        <v>INSERT INTO tbFinanceItemSeq(Report,ItemSeqID,ItemSN,ItemID) VALUES('BS',58,58,559)</v>
      </c>
    </row>
    <row r="60" spans="1:6">
      <c r="A60" t="s">
        <v>169</v>
      </c>
      <c r="B60">
        <v>59</v>
      </c>
      <c r="C60">
        <v>59</v>
      </c>
      <c r="D60">
        <v>560</v>
      </c>
      <c r="E60" t="s">
        <v>228</v>
      </c>
      <c r="F60" t="str">
        <f t="shared" si="0"/>
        <v>INSERT INTO tbFinanceItemSeq(Report,ItemSeqID,ItemSN,ItemID) VALUES('BS',59,59,560)</v>
      </c>
    </row>
    <row r="61" spans="1:6">
      <c r="A61" t="s">
        <v>169</v>
      </c>
      <c r="B61">
        <v>60</v>
      </c>
      <c r="C61">
        <v>60</v>
      </c>
      <c r="D61">
        <v>561</v>
      </c>
      <c r="E61" t="s">
        <v>229</v>
      </c>
      <c r="F61" t="str">
        <f t="shared" si="0"/>
        <v>INSERT INTO tbFinanceItemSeq(Report,ItemSeqID,ItemSN,ItemID) VALUES('BS',60,60,561)</v>
      </c>
    </row>
    <row r="62" spans="1:6">
      <c r="A62" t="s">
        <v>169</v>
      </c>
      <c r="B62">
        <v>61</v>
      </c>
      <c r="C62">
        <v>0</v>
      </c>
      <c r="D62">
        <v>46</v>
      </c>
      <c r="E62" t="s">
        <v>55</v>
      </c>
      <c r="F62" t="str">
        <f t="shared" si="0"/>
        <v>INSERT INTO tbFinanceItemSeq(Report,ItemSeqID,ItemSN,ItemID) VALUES('BS',61,0,46)</v>
      </c>
    </row>
    <row r="63" spans="1:6">
      <c r="A63" t="s">
        <v>169</v>
      </c>
      <c r="B63">
        <v>62</v>
      </c>
      <c r="C63">
        <v>1</v>
      </c>
      <c r="D63">
        <v>226</v>
      </c>
      <c r="E63" t="s">
        <v>230</v>
      </c>
      <c r="F63" t="str">
        <f t="shared" si="0"/>
        <v>INSERT INTO tbFinanceItemSeq(Report,ItemSeqID,ItemSN,ItemID) VALUES('BS',62,1,226)</v>
      </c>
    </row>
    <row r="64" spans="1:6">
      <c r="A64" t="s">
        <v>169</v>
      </c>
      <c r="B64">
        <v>63</v>
      </c>
      <c r="C64">
        <v>2</v>
      </c>
      <c r="D64">
        <v>227</v>
      </c>
      <c r="E64" t="s">
        <v>231</v>
      </c>
      <c r="F64" t="str">
        <f t="shared" si="0"/>
        <v>INSERT INTO tbFinanceItemSeq(Report,ItemSeqID,ItemSN,ItemID) VALUES('BS',63,2,227)</v>
      </c>
    </row>
    <row r="65" spans="1:6">
      <c r="A65" t="s">
        <v>169</v>
      </c>
      <c r="B65">
        <v>64</v>
      </c>
      <c r="C65">
        <v>3</v>
      </c>
      <c r="D65">
        <v>229</v>
      </c>
      <c r="E65" t="s">
        <v>232</v>
      </c>
      <c r="F65" t="str">
        <f t="shared" si="0"/>
        <v>INSERT INTO tbFinanceItemSeq(Report,ItemSeqID,ItemSN,ItemID) VALUES('BS',64,3,229)</v>
      </c>
    </row>
    <row r="66" spans="1:6">
      <c r="A66" t="s">
        <v>169</v>
      </c>
      <c r="B66">
        <v>65</v>
      </c>
      <c r="C66">
        <v>4</v>
      </c>
      <c r="D66">
        <v>230</v>
      </c>
      <c r="E66" t="s">
        <v>233</v>
      </c>
      <c r="F66" t="str">
        <f t="shared" si="0"/>
        <v>INSERT INTO tbFinanceItemSeq(Report,ItemSeqID,ItemSN,ItemID) VALUES('BS',65,4,230)</v>
      </c>
    </row>
    <row r="67" spans="1:6">
      <c r="A67" t="s">
        <v>169</v>
      </c>
      <c r="B67">
        <v>66</v>
      </c>
      <c r="C67">
        <v>5</v>
      </c>
      <c r="D67">
        <v>1409</v>
      </c>
      <c r="E67" t="s">
        <v>234</v>
      </c>
      <c r="F67" t="str">
        <f>CONCATENATE("INSERT INTO tbFinanceItemSeq(Report,ItemSeqID,ItemSN,ItemID) VALUES('",A67,"',",B67,",",C67,",",D67,")")</f>
        <v>INSERT INTO tbFinanceItemSeq(Report,ItemSeqID,ItemSN,ItemID) VALUES('BS',66,5,1409)</v>
      </c>
    </row>
    <row r="68" spans="1:6">
      <c r="A68" t="s">
        <v>169</v>
      </c>
      <c r="B68">
        <v>67</v>
      </c>
      <c r="C68">
        <v>6</v>
      </c>
      <c r="D68">
        <v>1133</v>
      </c>
      <c r="E68" t="s">
        <v>235</v>
      </c>
      <c r="F68" t="str">
        <f>CONCATENATE("INSERT INTO tbFinanceItemSeq(Report,ItemSeqID,ItemSN,ItemID) VALUES('",A68,"',",B68,",",C68,",",D68,")")</f>
        <v>INSERT INTO tbFinanceItemSeq(Report,ItemSeqID,ItemSN,ItemID) VALUES('BS',67,6,1133)</v>
      </c>
    </row>
    <row r="69" spans="1:6">
      <c r="A69" t="s">
        <v>169</v>
      </c>
      <c r="B69">
        <v>68</v>
      </c>
      <c r="C69">
        <v>7</v>
      </c>
      <c r="D69">
        <v>1134</v>
      </c>
      <c r="E69" t="s">
        <v>236</v>
      </c>
      <c r="F69" t="str">
        <f>CONCATENATE("INSERT INTO tbFinanceItemSeq(Report,ItemSeqID,ItemSN,ItemID) VALUES('",A69,"',",B69,",",C69,",",D69,")")</f>
        <v>INSERT INTO tbFinanceItemSeq(Report,ItemSeqID,ItemSN,ItemID) VALUES('BS',68,7,1134)</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
  <sheetViews>
    <sheetView topLeftCell="A49" workbookViewId="0">
      <selection activeCell="D78" sqref="D78"/>
    </sheetView>
  </sheetViews>
  <sheetFormatPr defaultColWidth="8.85546875" defaultRowHeight="15"/>
  <cols>
    <col min="1" max="1" width="42.7109375" bestFit="1" customWidth="1"/>
    <col min="2" max="2" width="31.28515625" bestFit="1" customWidth="1"/>
    <col min="3" max="3" width="41" bestFit="1" customWidth="1"/>
    <col min="4" max="4" width="31.28515625" bestFit="1" customWidth="1"/>
    <col min="5" max="5" width="41" bestFit="1" customWidth="1"/>
  </cols>
  <sheetData>
    <row r="1" spans="1:5">
      <c r="A1" s="4" t="s">
        <v>310</v>
      </c>
      <c r="B1" s="4" t="s">
        <v>311</v>
      </c>
      <c r="C1" s="4" t="s">
        <v>313</v>
      </c>
      <c r="D1" s="4" t="s">
        <v>312</v>
      </c>
      <c r="E1" s="4" t="s">
        <v>314</v>
      </c>
    </row>
    <row r="2" spans="1:5">
      <c r="A2" t="s">
        <v>237</v>
      </c>
      <c r="B2" s="9" t="s">
        <v>237</v>
      </c>
      <c r="C2" t="b">
        <f>IF(A2=B2,TRUE,B2)</f>
        <v>1</v>
      </c>
      <c r="D2" s="9" t="s">
        <v>237</v>
      </c>
      <c r="E2" t="b">
        <f>IF(A2=D2,TRUE,D2)</f>
        <v>1</v>
      </c>
    </row>
    <row r="3" spans="1:5">
      <c r="A3" t="s">
        <v>238</v>
      </c>
      <c r="B3" s="10" t="s">
        <v>238</v>
      </c>
      <c r="C3" t="b">
        <f t="shared" ref="C3:C64" si="0">IF(A3=B3,TRUE,B3)</f>
        <v>1</v>
      </c>
      <c r="D3" s="10" t="s">
        <v>238</v>
      </c>
      <c r="E3" t="b">
        <f t="shared" ref="E3:E66" si="1">IF(A3=D3,TRUE,D3)</f>
        <v>1</v>
      </c>
    </row>
    <row r="4" spans="1:5">
      <c r="A4" t="s">
        <v>239</v>
      </c>
      <c r="B4" s="10" t="s">
        <v>239</v>
      </c>
      <c r="C4" t="b">
        <f t="shared" si="0"/>
        <v>1</v>
      </c>
      <c r="D4" s="10" t="s">
        <v>239</v>
      </c>
      <c r="E4" t="b">
        <f t="shared" si="1"/>
        <v>1</v>
      </c>
    </row>
    <row r="5" spans="1:5">
      <c r="A5" t="s">
        <v>240</v>
      </c>
      <c r="B5" s="10" t="s">
        <v>240</v>
      </c>
      <c r="C5" t="b">
        <f t="shared" si="0"/>
        <v>1</v>
      </c>
      <c r="D5" s="10" t="s">
        <v>240</v>
      </c>
      <c r="E5" t="b">
        <f t="shared" si="1"/>
        <v>1</v>
      </c>
    </row>
    <row r="6" spans="1:5" s="1" customFormat="1">
      <c r="A6" s="1" t="s">
        <v>296</v>
      </c>
      <c r="B6" s="20" t="s">
        <v>241</v>
      </c>
      <c r="C6" s="1" t="str">
        <f t="shared" si="0"/>
        <v>Due From Assoc/JV/Related</v>
      </c>
      <c r="D6" s="20" t="s">
        <v>241</v>
      </c>
      <c r="E6" s="1" t="str">
        <f t="shared" si="1"/>
        <v>Due From Assoc/JV/Related</v>
      </c>
    </row>
    <row r="7" spans="1:5" s="1" customFormat="1">
      <c r="A7" s="1" t="s">
        <v>297</v>
      </c>
      <c r="B7" s="20" t="s">
        <v>242</v>
      </c>
      <c r="C7" s="1" t="str">
        <f t="shared" si="0"/>
        <v>Due From Interco</v>
      </c>
      <c r="D7" s="20" t="s">
        <v>242</v>
      </c>
      <c r="E7" s="1" t="str">
        <f t="shared" si="1"/>
        <v>Due From Interco</v>
      </c>
    </row>
    <row r="8" spans="1:5">
      <c r="A8" t="s">
        <v>243</v>
      </c>
      <c r="B8" s="10" t="s">
        <v>243</v>
      </c>
      <c r="C8" t="b">
        <f t="shared" si="0"/>
        <v>1</v>
      </c>
      <c r="D8" s="10" t="s">
        <v>243</v>
      </c>
      <c r="E8" t="b">
        <f t="shared" si="1"/>
        <v>1</v>
      </c>
    </row>
    <row r="9" spans="1:5">
      <c r="A9" t="s">
        <v>244</v>
      </c>
      <c r="B9" s="10" t="s">
        <v>244</v>
      </c>
      <c r="C9" t="b">
        <f t="shared" si="0"/>
        <v>1</v>
      </c>
      <c r="D9" s="10" t="s">
        <v>244</v>
      </c>
      <c r="E9" t="b">
        <f t="shared" si="1"/>
        <v>1</v>
      </c>
    </row>
    <row r="10" spans="1:5">
      <c r="A10" t="s">
        <v>245</v>
      </c>
      <c r="B10" s="11" t="s">
        <v>245</v>
      </c>
      <c r="C10" t="b">
        <f t="shared" si="0"/>
        <v>1</v>
      </c>
      <c r="D10" s="11" t="s">
        <v>245</v>
      </c>
      <c r="E10" t="b">
        <f t="shared" si="1"/>
        <v>1</v>
      </c>
    </row>
    <row r="11" spans="1:5">
      <c r="A11" t="s">
        <v>298</v>
      </c>
      <c r="B11" s="10" t="s">
        <v>246</v>
      </c>
      <c r="C11" t="str">
        <f t="shared" si="0"/>
        <v xml:space="preserve">Freehold Land </v>
      </c>
      <c r="D11" s="10" t="s">
        <v>246</v>
      </c>
      <c r="E11" t="str">
        <f t="shared" si="1"/>
        <v xml:space="preserve">Freehold Land </v>
      </c>
    </row>
    <row r="12" spans="1:5">
      <c r="A12" t="s">
        <v>247</v>
      </c>
      <c r="B12" s="10" t="s">
        <v>247</v>
      </c>
      <c r="C12" t="b">
        <f t="shared" si="0"/>
        <v>1</v>
      </c>
      <c r="D12" s="10" t="s">
        <v>247</v>
      </c>
      <c r="E12" t="b">
        <f t="shared" si="1"/>
        <v>1</v>
      </c>
    </row>
    <row r="13" spans="1:5">
      <c r="A13" t="s">
        <v>248</v>
      </c>
      <c r="B13" s="10" t="s">
        <v>248</v>
      </c>
      <c r="C13" t="b">
        <f t="shared" si="0"/>
        <v>1</v>
      </c>
      <c r="D13" s="10" t="s">
        <v>248</v>
      </c>
      <c r="E13" t="b">
        <f t="shared" si="1"/>
        <v>1</v>
      </c>
    </row>
    <row r="14" spans="1:5">
      <c r="A14" t="s">
        <v>249</v>
      </c>
      <c r="B14" s="10" t="s">
        <v>249</v>
      </c>
      <c r="C14" t="b">
        <f t="shared" si="0"/>
        <v>1</v>
      </c>
      <c r="D14" s="10" t="s">
        <v>249</v>
      </c>
      <c r="E14" t="b">
        <f t="shared" si="1"/>
        <v>1</v>
      </c>
    </row>
    <row r="15" spans="1:5">
      <c r="A15" t="s">
        <v>250</v>
      </c>
      <c r="B15" s="10" t="s">
        <v>250</v>
      </c>
      <c r="C15" t="b">
        <f t="shared" si="0"/>
        <v>1</v>
      </c>
      <c r="D15" s="10" t="s">
        <v>250</v>
      </c>
      <c r="E15" t="b">
        <f t="shared" si="1"/>
        <v>1</v>
      </c>
    </row>
    <row r="16" spans="1:5">
      <c r="A16" t="s">
        <v>251</v>
      </c>
      <c r="B16" s="10" t="s">
        <v>251</v>
      </c>
      <c r="C16" t="b">
        <f t="shared" si="0"/>
        <v>1</v>
      </c>
      <c r="D16" s="10" t="s">
        <v>251</v>
      </c>
      <c r="E16" t="b">
        <f t="shared" si="1"/>
        <v>1</v>
      </c>
    </row>
    <row r="17" spans="1:5">
      <c r="A17" t="s">
        <v>252</v>
      </c>
      <c r="B17" s="10" t="s">
        <v>252</v>
      </c>
      <c r="C17" t="b">
        <f t="shared" si="0"/>
        <v>1</v>
      </c>
      <c r="D17" s="10" t="s">
        <v>252</v>
      </c>
      <c r="E17" t="b">
        <f t="shared" si="1"/>
        <v>1</v>
      </c>
    </row>
    <row r="18" spans="1:5">
      <c r="A18" t="s">
        <v>253</v>
      </c>
      <c r="B18" s="12" t="s">
        <v>253</v>
      </c>
      <c r="C18" t="b">
        <f t="shared" si="0"/>
        <v>1</v>
      </c>
      <c r="D18" s="12" t="s">
        <v>253</v>
      </c>
      <c r="E18" t="b">
        <f t="shared" si="1"/>
        <v>1</v>
      </c>
    </row>
    <row r="19" spans="1:5">
      <c r="A19" t="s">
        <v>254</v>
      </c>
      <c r="B19" s="10" t="s">
        <v>254</v>
      </c>
      <c r="C19" t="b">
        <f t="shared" si="0"/>
        <v>1</v>
      </c>
      <c r="D19" s="10" t="s">
        <v>254</v>
      </c>
      <c r="E19" t="b">
        <f t="shared" si="1"/>
        <v>1</v>
      </c>
    </row>
    <row r="20" spans="1:5" s="2" customFormat="1">
      <c r="A20" s="2" t="s">
        <v>299</v>
      </c>
      <c r="B20" s="21" t="s">
        <v>255</v>
      </c>
      <c r="C20" s="2" t="str">
        <f t="shared" si="0"/>
        <v>Less:Accumulated Depreciation/Impairment</v>
      </c>
      <c r="D20" s="21" t="s">
        <v>255</v>
      </c>
      <c r="E20" s="2" t="str">
        <f t="shared" si="1"/>
        <v>Less:Accumulated Depreciation/Impairment</v>
      </c>
    </row>
    <row r="21" spans="1:5">
      <c r="A21" t="s">
        <v>256</v>
      </c>
      <c r="B21" s="11" t="s">
        <v>256</v>
      </c>
      <c r="C21" t="b">
        <f t="shared" si="0"/>
        <v>1</v>
      </c>
      <c r="D21" s="11" t="s">
        <v>256</v>
      </c>
      <c r="E21" t="b">
        <f t="shared" si="1"/>
        <v>1</v>
      </c>
    </row>
    <row r="22" spans="1:5">
      <c r="A22" t="s">
        <v>257</v>
      </c>
      <c r="B22" s="10" t="s">
        <v>257</v>
      </c>
      <c r="C22" t="b">
        <f t="shared" si="0"/>
        <v>1</v>
      </c>
      <c r="D22" s="10" t="s">
        <v>257</v>
      </c>
      <c r="E22" t="b">
        <f t="shared" si="1"/>
        <v>1</v>
      </c>
    </row>
    <row r="23" spans="1:5">
      <c r="A23" t="s">
        <v>258</v>
      </c>
      <c r="B23" s="10" t="s">
        <v>258</v>
      </c>
      <c r="C23" t="b">
        <f t="shared" si="0"/>
        <v>1</v>
      </c>
      <c r="D23" s="10" t="s">
        <v>258</v>
      </c>
      <c r="E23" t="b">
        <f t="shared" si="1"/>
        <v>1</v>
      </c>
    </row>
    <row r="24" spans="1:5">
      <c r="A24" t="s">
        <v>259</v>
      </c>
      <c r="B24" s="10" t="s">
        <v>259</v>
      </c>
      <c r="C24" t="b">
        <f t="shared" si="0"/>
        <v>1</v>
      </c>
      <c r="D24" s="10" t="s">
        <v>259</v>
      </c>
      <c r="E24" t="b">
        <f t="shared" si="1"/>
        <v>1</v>
      </c>
    </row>
    <row r="25" spans="1:5" s="1" customFormat="1">
      <c r="A25" s="1" t="s">
        <v>300</v>
      </c>
      <c r="B25" s="20" t="s">
        <v>242</v>
      </c>
      <c r="C25" s="1" t="str">
        <f t="shared" si="0"/>
        <v>Due From Interco</v>
      </c>
      <c r="D25" s="20" t="s">
        <v>242</v>
      </c>
      <c r="E25" s="1" t="str">
        <f t="shared" si="1"/>
        <v>Due From Interco</v>
      </c>
    </row>
    <row r="26" spans="1:5" s="1" customFormat="1">
      <c r="A26" s="1" t="s">
        <v>301</v>
      </c>
      <c r="B26" s="20" t="s">
        <v>241</v>
      </c>
      <c r="C26" s="1" t="str">
        <f t="shared" si="0"/>
        <v>Due From Assoc/JV/Related</v>
      </c>
      <c r="D26" s="20" t="s">
        <v>241</v>
      </c>
      <c r="E26" s="1" t="str">
        <f t="shared" si="1"/>
        <v>Due From Assoc/JV/Related</v>
      </c>
    </row>
    <row r="27" spans="1:5">
      <c r="A27" t="s">
        <v>260</v>
      </c>
      <c r="B27" s="10" t="s">
        <v>260</v>
      </c>
      <c r="C27" t="b">
        <f t="shared" si="0"/>
        <v>1</v>
      </c>
      <c r="D27" s="10" t="s">
        <v>260</v>
      </c>
      <c r="E27" t="b">
        <f t="shared" si="1"/>
        <v>1</v>
      </c>
    </row>
    <row r="28" spans="1:5">
      <c r="A28" t="s">
        <v>261</v>
      </c>
      <c r="B28" s="10" t="s">
        <v>261</v>
      </c>
      <c r="C28" t="b">
        <f t="shared" si="0"/>
        <v>1</v>
      </c>
      <c r="D28" s="10" t="s">
        <v>261</v>
      </c>
      <c r="E28" t="b">
        <f t="shared" si="1"/>
        <v>1</v>
      </c>
    </row>
    <row r="29" spans="1:5" s="1" customFormat="1">
      <c r="A29" s="1" t="s">
        <v>302</v>
      </c>
      <c r="B29" s="20" t="s">
        <v>262</v>
      </c>
      <c r="C29" s="1" t="str">
        <f t="shared" si="0"/>
        <v>Derivatives</v>
      </c>
      <c r="D29" s="20" t="s">
        <v>262</v>
      </c>
      <c r="E29" s="1" t="str">
        <f t="shared" si="1"/>
        <v>Derivatives</v>
      </c>
    </row>
    <row r="30" spans="1:5">
      <c r="A30" t="s">
        <v>263</v>
      </c>
      <c r="B30" s="10" t="s">
        <v>263</v>
      </c>
      <c r="C30" t="b">
        <f t="shared" si="0"/>
        <v>1</v>
      </c>
      <c r="D30" s="10" t="s">
        <v>263</v>
      </c>
      <c r="E30" t="b">
        <f t="shared" si="1"/>
        <v>1</v>
      </c>
    </row>
    <row r="31" spans="1:5">
      <c r="A31" t="s">
        <v>264</v>
      </c>
      <c r="B31" s="10" t="s">
        <v>264</v>
      </c>
      <c r="C31" t="b">
        <f t="shared" si="0"/>
        <v>1</v>
      </c>
      <c r="D31" s="10" t="s">
        <v>264</v>
      </c>
      <c r="E31" t="b">
        <f t="shared" si="1"/>
        <v>1</v>
      </c>
    </row>
    <row r="32" spans="1:5">
      <c r="A32" t="s">
        <v>265</v>
      </c>
      <c r="B32" s="11" t="s">
        <v>265</v>
      </c>
      <c r="C32" t="b">
        <f t="shared" si="0"/>
        <v>1</v>
      </c>
      <c r="D32" s="11" t="s">
        <v>265</v>
      </c>
      <c r="E32" t="b">
        <f t="shared" si="1"/>
        <v>1</v>
      </c>
    </row>
    <row r="33" spans="1:5">
      <c r="A33" t="s">
        <v>266</v>
      </c>
      <c r="B33" s="11" t="s">
        <v>266</v>
      </c>
      <c r="C33" t="b">
        <f t="shared" si="0"/>
        <v>1</v>
      </c>
      <c r="D33" s="11" t="s">
        <v>266</v>
      </c>
      <c r="E33" t="b">
        <f t="shared" si="1"/>
        <v>1</v>
      </c>
    </row>
    <row r="34" spans="1:5">
      <c r="A34" t="s">
        <v>267</v>
      </c>
      <c r="B34" s="13" t="s">
        <v>267</v>
      </c>
      <c r="C34" t="b">
        <f t="shared" si="0"/>
        <v>1</v>
      </c>
      <c r="D34" s="13" t="s">
        <v>267</v>
      </c>
      <c r="E34" t="b">
        <f t="shared" si="1"/>
        <v>1</v>
      </c>
    </row>
    <row r="35" spans="1:5">
      <c r="A35" t="s">
        <v>268</v>
      </c>
      <c r="B35" s="10" t="s">
        <v>268</v>
      </c>
      <c r="C35" t="b">
        <f t="shared" si="0"/>
        <v>1</v>
      </c>
      <c r="D35" s="10" t="s">
        <v>268</v>
      </c>
      <c r="E35" t="b">
        <f t="shared" si="1"/>
        <v>1</v>
      </c>
    </row>
    <row r="36" spans="1:5">
      <c r="A36" t="s">
        <v>269</v>
      </c>
      <c r="B36" s="10" t="s">
        <v>269</v>
      </c>
      <c r="C36" t="b">
        <f t="shared" si="0"/>
        <v>1</v>
      </c>
      <c r="D36" s="10" t="s">
        <v>269</v>
      </c>
      <c r="E36" t="b">
        <f t="shared" si="1"/>
        <v>1</v>
      </c>
    </row>
    <row r="37" spans="1:5">
      <c r="A37" t="s">
        <v>270</v>
      </c>
      <c r="B37" s="10" t="s">
        <v>270</v>
      </c>
      <c r="C37" t="b">
        <f t="shared" si="0"/>
        <v>1</v>
      </c>
      <c r="D37" s="10" t="s">
        <v>270</v>
      </c>
      <c r="E37" t="b">
        <f t="shared" si="1"/>
        <v>1</v>
      </c>
    </row>
    <row r="38" spans="1:5" s="1" customFormat="1">
      <c r="A38" s="1" t="s">
        <v>303</v>
      </c>
      <c r="B38" s="20" t="s">
        <v>271</v>
      </c>
      <c r="C38" s="1" t="str">
        <f t="shared" si="0"/>
        <v xml:space="preserve">Hire Purchase Creditors </v>
      </c>
      <c r="D38" s="20" t="s">
        <v>271</v>
      </c>
      <c r="E38" s="1" t="str">
        <f t="shared" si="1"/>
        <v xml:space="preserve">Hire Purchase Creditors </v>
      </c>
    </row>
    <row r="39" spans="1:5">
      <c r="A39" t="s">
        <v>272</v>
      </c>
      <c r="B39" s="10" t="s">
        <v>272</v>
      </c>
      <c r="C39" t="b">
        <f t="shared" si="0"/>
        <v>1</v>
      </c>
      <c r="D39" s="10" t="s">
        <v>272</v>
      </c>
      <c r="E39" t="b">
        <f t="shared" si="1"/>
        <v>1</v>
      </c>
    </row>
    <row r="40" spans="1:5" s="1" customFormat="1">
      <c r="A40" s="1" t="s">
        <v>304</v>
      </c>
      <c r="B40" s="20" t="s">
        <v>273</v>
      </c>
      <c r="C40" s="1" t="str">
        <f t="shared" si="0"/>
        <v>Due to Assoc/JV/Related</v>
      </c>
      <c r="D40" s="20" t="s">
        <v>273</v>
      </c>
      <c r="E40" s="1" t="str">
        <f t="shared" si="1"/>
        <v>Due to Assoc/JV/Related</v>
      </c>
    </row>
    <row r="41" spans="1:5" s="1" customFormat="1">
      <c r="A41" s="1" t="s">
        <v>305</v>
      </c>
      <c r="B41" s="20" t="s">
        <v>274</v>
      </c>
      <c r="C41" s="1" t="str">
        <f t="shared" si="0"/>
        <v>Due to Interco</v>
      </c>
      <c r="D41" s="20" t="s">
        <v>274</v>
      </c>
      <c r="E41" s="1" t="str">
        <f t="shared" si="1"/>
        <v>Due to Interco</v>
      </c>
    </row>
    <row r="42" spans="1:5">
      <c r="A42" t="s">
        <v>275</v>
      </c>
      <c r="B42" s="10" t="s">
        <v>275</v>
      </c>
      <c r="C42" t="b">
        <f t="shared" si="0"/>
        <v>1</v>
      </c>
      <c r="D42" s="10" t="s">
        <v>275</v>
      </c>
      <c r="E42" t="b">
        <f t="shared" si="1"/>
        <v>1</v>
      </c>
    </row>
    <row r="43" spans="1:5">
      <c r="A43" t="s">
        <v>276</v>
      </c>
      <c r="B43" s="10" t="s">
        <v>276</v>
      </c>
      <c r="C43" t="b">
        <f t="shared" si="0"/>
        <v>1</v>
      </c>
      <c r="D43" s="10" t="s">
        <v>276</v>
      </c>
      <c r="E43" t="b">
        <f t="shared" si="1"/>
        <v>1</v>
      </c>
    </row>
    <row r="44" spans="1:5">
      <c r="A44" t="s">
        <v>277</v>
      </c>
      <c r="B44" s="11" t="s">
        <v>277</v>
      </c>
      <c r="C44" t="b">
        <f t="shared" si="0"/>
        <v>1</v>
      </c>
      <c r="D44" s="11" t="s">
        <v>277</v>
      </c>
      <c r="E44" t="b">
        <f t="shared" si="1"/>
        <v>1</v>
      </c>
    </row>
    <row r="45" spans="1:5">
      <c r="A45" t="s">
        <v>278</v>
      </c>
      <c r="B45" s="10" t="s">
        <v>278</v>
      </c>
      <c r="C45" t="b">
        <f t="shared" si="0"/>
        <v>1</v>
      </c>
      <c r="D45" s="10" t="s">
        <v>278</v>
      </c>
      <c r="E45" t="b">
        <f t="shared" si="1"/>
        <v>1</v>
      </c>
    </row>
    <row r="46" spans="1:5" s="1" customFormat="1">
      <c r="A46" s="1" t="s">
        <v>306</v>
      </c>
      <c r="B46" s="20" t="s">
        <v>279</v>
      </c>
      <c r="C46" s="1" t="str">
        <f t="shared" si="0"/>
        <v>Hire Purchase Creditors</v>
      </c>
      <c r="D46" s="20" t="s">
        <v>279</v>
      </c>
      <c r="E46" s="1" t="str">
        <f t="shared" si="1"/>
        <v>Hire Purchase Creditors</v>
      </c>
    </row>
    <row r="47" spans="1:5" s="1" customFormat="1">
      <c r="A47" s="1" t="s">
        <v>307</v>
      </c>
      <c r="B47" s="20" t="s">
        <v>273</v>
      </c>
      <c r="C47" s="1" t="str">
        <f t="shared" si="0"/>
        <v>Due to Assoc/JV/Related</v>
      </c>
      <c r="D47" s="20" t="s">
        <v>273</v>
      </c>
      <c r="E47" s="1" t="str">
        <f t="shared" si="1"/>
        <v>Due to Assoc/JV/Related</v>
      </c>
    </row>
    <row r="48" spans="1:5" s="1" customFormat="1">
      <c r="A48" s="1" t="s">
        <v>308</v>
      </c>
      <c r="B48" s="20" t="s">
        <v>274</v>
      </c>
      <c r="C48" s="1" t="str">
        <f t="shared" si="0"/>
        <v>Due to Interco</v>
      </c>
      <c r="D48" s="20" t="s">
        <v>274</v>
      </c>
      <c r="E48" s="1" t="str">
        <f t="shared" si="1"/>
        <v>Due to Interco</v>
      </c>
    </row>
    <row r="49" spans="1:5">
      <c r="A49" t="s">
        <v>280</v>
      </c>
      <c r="B49" s="10" t="s">
        <v>280</v>
      </c>
      <c r="C49" t="b">
        <f t="shared" si="0"/>
        <v>1</v>
      </c>
      <c r="D49" s="10" t="s">
        <v>280</v>
      </c>
      <c r="E49" t="b">
        <f t="shared" si="1"/>
        <v>1</v>
      </c>
    </row>
    <row r="50" spans="1:5" s="1" customFormat="1">
      <c r="A50" s="1" t="s">
        <v>309</v>
      </c>
      <c r="B50" s="20" t="s">
        <v>262</v>
      </c>
      <c r="C50" s="1" t="str">
        <f t="shared" si="0"/>
        <v>Derivatives</v>
      </c>
      <c r="D50" s="20" t="s">
        <v>262</v>
      </c>
      <c r="E50" s="1" t="str">
        <f t="shared" si="1"/>
        <v>Derivatives</v>
      </c>
    </row>
    <row r="51" spans="1:5">
      <c r="A51" t="s">
        <v>281</v>
      </c>
      <c r="B51" s="10" t="s">
        <v>281</v>
      </c>
      <c r="C51" t="b">
        <f t="shared" si="0"/>
        <v>1</v>
      </c>
      <c r="D51" s="10" t="s">
        <v>281</v>
      </c>
      <c r="E51" t="b">
        <f t="shared" si="1"/>
        <v>1</v>
      </c>
    </row>
    <row r="52" spans="1:5">
      <c r="A52" t="s">
        <v>282</v>
      </c>
      <c r="B52" s="11" t="s">
        <v>282</v>
      </c>
      <c r="C52" t="b">
        <f t="shared" si="0"/>
        <v>1</v>
      </c>
      <c r="D52" s="11" t="s">
        <v>282</v>
      </c>
      <c r="E52" t="b">
        <f t="shared" si="1"/>
        <v>1</v>
      </c>
    </row>
    <row r="53" spans="1:5">
      <c r="A53" t="s">
        <v>283</v>
      </c>
      <c r="B53" s="11" t="s">
        <v>283</v>
      </c>
      <c r="C53" t="b">
        <f t="shared" si="0"/>
        <v>1</v>
      </c>
      <c r="D53" s="11" t="s">
        <v>283</v>
      </c>
      <c r="E53" t="b">
        <f t="shared" si="1"/>
        <v>1</v>
      </c>
    </row>
    <row r="54" spans="1:5">
      <c r="A54" t="s">
        <v>284</v>
      </c>
      <c r="B54" s="10" t="s">
        <v>284</v>
      </c>
      <c r="C54" t="b">
        <f t="shared" si="0"/>
        <v>1</v>
      </c>
      <c r="D54" s="10" t="s">
        <v>284</v>
      </c>
      <c r="E54" t="b">
        <f t="shared" si="1"/>
        <v>1</v>
      </c>
    </row>
    <row r="55" spans="1:5">
      <c r="A55" t="s">
        <v>285</v>
      </c>
      <c r="B55" s="10" t="s">
        <v>285</v>
      </c>
      <c r="C55" t="b">
        <f t="shared" si="0"/>
        <v>1</v>
      </c>
      <c r="D55" s="10" t="s">
        <v>285</v>
      </c>
      <c r="E55" t="b">
        <f t="shared" si="1"/>
        <v>1</v>
      </c>
    </row>
    <row r="56" spans="1:5">
      <c r="A56" t="s">
        <v>286</v>
      </c>
      <c r="B56" s="14" t="s">
        <v>286</v>
      </c>
      <c r="C56" t="b">
        <f t="shared" si="0"/>
        <v>1</v>
      </c>
      <c r="D56" s="14" t="s">
        <v>286</v>
      </c>
      <c r="E56" t="b">
        <f t="shared" si="1"/>
        <v>1</v>
      </c>
    </row>
    <row r="57" spans="1:5">
      <c r="A57" t="s">
        <v>287</v>
      </c>
      <c r="B57" s="14" t="s">
        <v>287</v>
      </c>
      <c r="C57" t="b">
        <f t="shared" si="0"/>
        <v>1</v>
      </c>
      <c r="D57" s="14" t="s">
        <v>287</v>
      </c>
      <c r="E57" t="b">
        <f t="shared" si="1"/>
        <v>1</v>
      </c>
    </row>
    <row r="58" spans="1:5">
      <c r="A58" t="s">
        <v>288</v>
      </c>
      <c r="B58" s="14" t="s">
        <v>288</v>
      </c>
      <c r="C58" t="b">
        <f t="shared" si="0"/>
        <v>1</v>
      </c>
      <c r="D58" s="14" t="s">
        <v>288</v>
      </c>
      <c r="E58" t="b">
        <f t="shared" si="1"/>
        <v>1</v>
      </c>
    </row>
    <row r="59" spans="1:5">
      <c r="A59" t="s">
        <v>289</v>
      </c>
      <c r="B59" s="14" t="s">
        <v>289</v>
      </c>
      <c r="C59" t="b">
        <f t="shared" si="0"/>
        <v>1</v>
      </c>
      <c r="D59" s="14" t="s">
        <v>289</v>
      </c>
      <c r="E59" t="b">
        <f t="shared" si="1"/>
        <v>1</v>
      </c>
    </row>
    <row r="60" spans="1:5">
      <c r="A60" t="s">
        <v>290</v>
      </c>
      <c r="B60" s="15" t="s">
        <v>290</v>
      </c>
      <c r="C60" t="b">
        <f t="shared" si="0"/>
        <v>1</v>
      </c>
      <c r="D60" s="15" t="s">
        <v>290</v>
      </c>
      <c r="E60" t="b">
        <f t="shared" si="1"/>
        <v>1</v>
      </c>
    </row>
    <row r="61" spans="1:5">
      <c r="A61" t="s">
        <v>291</v>
      </c>
      <c r="B61" s="15" t="s">
        <v>291</v>
      </c>
      <c r="C61" t="b">
        <f t="shared" si="0"/>
        <v>1</v>
      </c>
      <c r="D61" s="15" t="s">
        <v>291</v>
      </c>
      <c r="E61" t="b">
        <f t="shared" si="1"/>
        <v>1</v>
      </c>
    </row>
    <row r="62" spans="1:5">
      <c r="A62" t="s">
        <v>55</v>
      </c>
      <c r="B62" s="16" t="s">
        <v>55</v>
      </c>
      <c r="C62" t="b">
        <f t="shared" si="0"/>
        <v>1</v>
      </c>
      <c r="D62" s="16" t="s">
        <v>55</v>
      </c>
      <c r="E62" t="b">
        <f t="shared" si="1"/>
        <v>1</v>
      </c>
    </row>
    <row r="63" spans="1:5">
      <c r="A63" t="s">
        <v>230</v>
      </c>
      <c r="B63" s="17" t="s">
        <v>230</v>
      </c>
      <c r="C63" t="b">
        <f t="shared" si="0"/>
        <v>1</v>
      </c>
      <c r="D63" s="17" t="s">
        <v>230</v>
      </c>
      <c r="E63" t="b">
        <f t="shared" si="1"/>
        <v>1</v>
      </c>
    </row>
    <row r="64" spans="1:5">
      <c r="A64" t="s">
        <v>231</v>
      </c>
      <c r="B64" s="18" t="s">
        <v>231</v>
      </c>
      <c r="C64" t="b">
        <f t="shared" si="0"/>
        <v>1</v>
      </c>
      <c r="D64" s="18" t="s">
        <v>231</v>
      </c>
      <c r="E64" t="b">
        <f t="shared" si="1"/>
        <v>1</v>
      </c>
    </row>
    <row r="65" spans="1:5" s="3" customFormat="1">
      <c r="B65" s="22" t="s">
        <v>292</v>
      </c>
      <c r="C65" s="3" t="str">
        <f>IF(A66=B65,TRUE,B65)</f>
        <v>Creditors Turnover (Days)</v>
      </c>
      <c r="D65" s="22" t="s">
        <v>292</v>
      </c>
      <c r="E65" s="3" t="str">
        <f t="shared" si="1"/>
        <v>Creditors Turnover (Days)</v>
      </c>
    </row>
    <row r="66" spans="1:5">
      <c r="A66" t="s">
        <v>232</v>
      </c>
      <c r="B66" s="18" t="s">
        <v>293</v>
      </c>
      <c r="C66" t="b">
        <f>IF(A66=B66,TRUE,B66)</f>
        <v>1</v>
      </c>
      <c r="D66" s="18" t="s">
        <v>293</v>
      </c>
      <c r="E66" t="b">
        <f t="shared" si="1"/>
        <v>1</v>
      </c>
    </row>
    <row r="67" spans="1:5">
      <c r="A67" t="s">
        <v>233</v>
      </c>
      <c r="B67" s="18" t="s">
        <v>294</v>
      </c>
      <c r="C67" t="b">
        <f>IF(A67=B67,TRUE,B67)</f>
        <v>1</v>
      </c>
      <c r="D67" s="18" t="s">
        <v>294</v>
      </c>
      <c r="E67" t="b">
        <f>IF(A67=D67,TRUE,D67)</f>
        <v>1</v>
      </c>
    </row>
    <row r="68" spans="1:5" s="1" customFormat="1">
      <c r="A68" s="1" t="s">
        <v>234</v>
      </c>
      <c r="B68" s="23" t="s">
        <v>295</v>
      </c>
      <c r="C68" s="1" t="str">
        <f>IF(A68=B68,TRUE,B68)</f>
        <v>Provision for Doubtful Debts</v>
      </c>
      <c r="D68" s="23" t="s">
        <v>295</v>
      </c>
      <c r="E68" s="1" t="str">
        <f>IF(A68=D68,TRUE,D68)</f>
        <v>Provision for Doubtful Debts</v>
      </c>
    </row>
    <row r="69" spans="1:5">
      <c r="A69" t="s">
        <v>235</v>
      </c>
      <c r="B69" s="18" t="s">
        <v>235</v>
      </c>
      <c r="C69" t="b">
        <f>IF(A69=B69,TRUE,B69)</f>
        <v>1</v>
      </c>
      <c r="D69" s="18" t="s">
        <v>235</v>
      </c>
      <c r="E69" t="b">
        <f>IF(A69=D69,TRUE,D69)</f>
        <v>1</v>
      </c>
    </row>
    <row r="70" spans="1:5">
      <c r="A70" t="s">
        <v>236</v>
      </c>
      <c r="B70" s="19" t="s">
        <v>236</v>
      </c>
      <c r="C70" t="b">
        <f>IF(A70=B70,TRUE,B70)</f>
        <v>1</v>
      </c>
      <c r="D70" s="19" t="s">
        <v>236</v>
      </c>
      <c r="E70" t="b">
        <f>IF(A70=D70,TRUE,D70)</f>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2"/>
  <sheetViews>
    <sheetView topLeftCell="A49" zoomScaleNormal="100" workbookViewId="0">
      <selection activeCell="H21" sqref="H21"/>
    </sheetView>
  </sheetViews>
  <sheetFormatPr defaultColWidth="8.85546875" defaultRowHeight="15"/>
  <cols>
    <col min="4" max="4" width="10.28515625" bestFit="1" customWidth="1"/>
    <col min="5" max="5" width="10.28515625" customWidth="1"/>
    <col min="6" max="6" width="7.42578125" bestFit="1" customWidth="1"/>
    <col min="7" max="7" width="7" bestFit="1" customWidth="1"/>
    <col min="8" max="8" width="44.7109375" bestFit="1" customWidth="1"/>
    <col min="9" max="9" width="44.7109375" customWidth="1"/>
    <col min="10" max="10" width="82.28515625" customWidth="1"/>
    <col min="11" max="11" width="13.28515625" bestFit="1" customWidth="1"/>
  </cols>
  <sheetData>
    <row r="1" spans="1:11">
      <c r="A1" s="84" t="s">
        <v>73</v>
      </c>
      <c r="B1" s="4" t="s">
        <v>65</v>
      </c>
      <c r="C1" s="4"/>
      <c r="D1" s="4" t="s">
        <v>66</v>
      </c>
      <c r="E1" s="4"/>
      <c r="F1" s="4" t="s">
        <v>67</v>
      </c>
      <c r="G1" s="4" t="s">
        <v>68</v>
      </c>
      <c r="H1" s="4" t="s">
        <v>71</v>
      </c>
      <c r="I1" s="4"/>
      <c r="J1" s="4" t="s">
        <v>72</v>
      </c>
      <c r="K1" s="4" t="s">
        <v>1273</v>
      </c>
    </row>
    <row r="2" spans="1:11">
      <c r="A2" t="s">
        <v>74</v>
      </c>
      <c r="B2" t="s">
        <v>169</v>
      </c>
      <c r="C2">
        <v>1</v>
      </c>
      <c r="D2">
        <v>1</v>
      </c>
      <c r="E2">
        <v>1</v>
      </c>
      <c r="F2">
        <v>1</v>
      </c>
      <c r="G2">
        <v>501</v>
      </c>
      <c r="H2" t="s">
        <v>170</v>
      </c>
      <c r="I2" s="81" t="s">
        <v>1927</v>
      </c>
      <c r="J2" t="str">
        <f t="shared" ref="J2:J33" si="0">IF(A2&lt;&gt;"Remove",CONCATENATE("INSERT INTO tbFinanceItemSeq(Report,ItemSeqID,ItemSN,ItemID) VALUES('",B2,"',",C2,",",E2,",",G2,")"),"")</f>
        <v>INSERT INTO tbFinanceItemSeq(Report,ItemSeqID,ItemSN,ItemID) VALUES('BS',1,1,501)</v>
      </c>
    </row>
    <row r="3" spans="1:11">
      <c r="A3" t="s">
        <v>74</v>
      </c>
      <c r="B3" t="s">
        <v>169</v>
      </c>
      <c r="C3">
        <v>2</v>
      </c>
      <c r="D3">
        <v>2</v>
      </c>
      <c r="E3">
        <v>2</v>
      </c>
      <c r="F3">
        <v>2</v>
      </c>
      <c r="G3">
        <v>502</v>
      </c>
      <c r="H3" t="s">
        <v>171</v>
      </c>
      <c r="I3" s="133" t="s">
        <v>2691</v>
      </c>
      <c r="J3" t="str">
        <f t="shared" si="0"/>
        <v>INSERT INTO tbFinanceItemSeq(Report,ItemSeqID,ItemSN,ItemID) VALUES('BS',2,2,502)</v>
      </c>
    </row>
    <row r="4" spans="1:11">
      <c r="A4" t="s">
        <v>74</v>
      </c>
      <c r="B4" t="s">
        <v>169</v>
      </c>
      <c r="C4">
        <v>3</v>
      </c>
      <c r="D4">
        <v>3</v>
      </c>
      <c r="E4">
        <v>3</v>
      </c>
      <c r="F4">
        <v>3</v>
      </c>
      <c r="G4">
        <v>503</v>
      </c>
      <c r="H4" t="s">
        <v>172</v>
      </c>
      <c r="I4" s="133" t="s">
        <v>2692</v>
      </c>
      <c r="J4" t="str">
        <f t="shared" si="0"/>
        <v>INSERT INTO tbFinanceItemSeq(Report,ItemSeqID,ItemSN,ItemID) VALUES('BS',3,3,503)</v>
      </c>
    </row>
    <row r="5" spans="1:11">
      <c r="A5" t="s">
        <v>74</v>
      </c>
      <c r="B5" t="s">
        <v>169</v>
      </c>
      <c r="C5">
        <v>4</v>
      </c>
      <c r="D5">
        <v>4</v>
      </c>
      <c r="E5">
        <v>4</v>
      </c>
      <c r="F5">
        <v>4</v>
      </c>
      <c r="G5">
        <v>504</v>
      </c>
      <c r="H5" t="s">
        <v>173</v>
      </c>
      <c r="I5" s="133" t="s">
        <v>2693</v>
      </c>
      <c r="J5" t="str">
        <f t="shared" si="0"/>
        <v>INSERT INTO tbFinanceItemSeq(Report,ItemSeqID,ItemSN,ItemID) VALUES('BS',4,4,504)</v>
      </c>
    </row>
    <row r="6" spans="1:11">
      <c r="A6" t="s">
        <v>74</v>
      </c>
      <c r="B6" t="s">
        <v>169</v>
      </c>
      <c r="C6">
        <v>5</v>
      </c>
      <c r="D6">
        <v>5</v>
      </c>
      <c r="E6">
        <v>5</v>
      </c>
      <c r="F6">
        <v>5</v>
      </c>
      <c r="G6">
        <v>505</v>
      </c>
      <c r="H6" t="s">
        <v>174</v>
      </c>
      <c r="I6" s="133" t="s">
        <v>2694</v>
      </c>
      <c r="J6" t="str">
        <f t="shared" si="0"/>
        <v>INSERT INTO tbFinanceItemSeq(Report,ItemSeqID,ItemSN,ItemID) VALUES('BS',5,5,505)</v>
      </c>
    </row>
    <row r="7" spans="1:11">
      <c r="A7" t="s">
        <v>74</v>
      </c>
      <c r="B7" t="s">
        <v>169</v>
      </c>
      <c r="C7">
        <v>6</v>
      </c>
      <c r="D7">
        <v>6</v>
      </c>
      <c r="E7">
        <v>6</v>
      </c>
      <c r="F7">
        <v>6</v>
      </c>
      <c r="G7">
        <v>506</v>
      </c>
      <c r="H7" t="s">
        <v>175</v>
      </c>
      <c r="I7" s="133" t="s">
        <v>2695</v>
      </c>
      <c r="J7" t="str">
        <f t="shared" si="0"/>
        <v>INSERT INTO tbFinanceItemSeq(Report,ItemSeqID,ItemSN,ItemID) VALUES('BS',6,6,506)</v>
      </c>
    </row>
    <row r="8" spans="1:11">
      <c r="A8" t="s">
        <v>74</v>
      </c>
      <c r="B8" t="s">
        <v>169</v>
      </c>
      <c r="C8">
        <v>7</v>
      </c>
      <c r="D8">
        <v>7</v>
      </c>
      <c r="E8">
        <v>7</v>
      </c>
      <c r="F8">
        <v>7</v>
      </c>
      <c r="G8">
        <v>507</v>
      </c>
      <c r="H8" t="s">
        <v>176</v>
      </c>
      <c r="I8" s="133" t="s">
        <v>2696</v>
      </c>
      <c r="J8" t="str">
        <f t="shared" si="0"/>
        <v>INSERT INTO tbFinanceItemSeq(Report,ItemSeqID,ItemSN,ItemID) VALUES('BS',7,7,507)</v>
      </c>
    </row>
    <row r="9" spans="1:11">
      <c r="A9" t="s">
        <v>74</v>
      </c>
      <c r="B9" t="s">
        <v>169</v>
      </c>
      <c r="C9">
        <v>8</v>
      </c>
      <c r="D9">
        <v>8</v>
      </c>
      <c r="E9">
        <v>8</v>
      </c>
      <c r="F9">
        <v>8</v>
      </c>
      <c r="G9">
        <v>508</v>
      </c>
      <c r="H9" t="s">
        <v>177</v>
      </c>
      <c r="I9" s="133" t="s">
        <v>2697</v>
      </c>
      <c r="J9" t="str">
        <f t="shared" si="0"/>
        <v>INSERT INTO tbFinanceItemSeq(Report,ItemSeqID,ItemSN,ItemID) VALUES('BS',8,8,508)</v>
      </c>
    </row>
    <row r="10" spans="1:11">
      <c r="A10" t="s">
        <v>74</v>
      </c>
      <c r="B10" t="s">
        <v>169</v>
      </c>
      <c r="C10">
        <v>9</v>
      </c>
      <c r="D10">
        <v>9</v>
      </c>
      <c r="E10">
        <v>9</v>
      </c>
      <c r="F10">
        <v>9</v>
      </c>
      <c r="G10">
        <v>509</v>
      </c>
      <c r="H10" t="s">
        <v>178</v>
      </c>
      <c r="I10" s="134" t="s">
        <v>2698</v>
      </c>
      <c r="J10" t="str">
        <f t="shared" si="0"/>
        <v>INSERT INTO tbFinanceItemSeq(Report,ItemSeqID,ItemSN,ItemID) VALUES('BS',9,9,509)</v>
      </c>
    </row>
    <row r="11" spans="1:11">
      <c r="A11" t="s">
        <v>74</v>
      </c>
      <c r="B11" t="s">
        <v>169</v>
      </c>
      <c r="C11">
        <v>10</v>
      </c>
      <c r="D11">
        <v>10</v>
      </c>
      <c r="E11">
        <v>10</v>
      </c>
      <c r="F11">
        <v>10</v>
      </c>
      <c r="G11">
        <v>510</v>
      </c>
      <c r="H11" t="s">
        <v>179</v>
      </c>
      <c r="I11" s="133" t="s">
        <v>2699</v>
      </c>
      <c r="J11" t="str">
        <f t="shared" si="0"/>
        <v>INSERT INTO tbFinanceItemSeq(Report,ItemSeqID,ItemSN,ItemID) VALUES('BS',10,10,510)</v>
      </c>
    </row>
    <row r="12" spans="1:11">
      <c r="A12" t="s">
        <v>74</v>
      </c>
      <c r="B12" t="s">
        <v>169</v>
      </c>
      <c r="C12">
        <v>11</v>
      </c>
      <c r="D12">
        <v>11</v>
      </c>
      <c r="E12">
        <v>11</v>
      </c>
      <c r="F12">
        <v>11</v>
      </c>
      <c r="G12">
        <v>512</v>
      </c>
      <c r="H12" t="s">
        <v>180</v>
      </c>
      <c r="I12" s="133" t="s">
        <v>2700</v>
      </c>
      <c r="J12" t="str">
        <f t="shared" si="0"/>
        <v>INSERT INTO tbFinanceItemSeq(Report,ItemSeqID,ItemSN,ItemID) VALUES('BS',11,11,512)</v>
      </c>
    </row>
    <row r="13" spans="1:11">
      <c r="A13" t="s">
        <v>74</v>
      </c>
      <c r="B13" t="s">
        <v>169</v>
      </c>
      <c r="C13">
        <v>12</v>
      </c>
      <c r="D13">
        <v>12</v>
      </c>
      <c r="E13">
        <v>12</v>
      </c>
      <c r="F13">
        <v>12</v>
      </c>
      <c r="G13">
        <v>513</v>
      </c>
      <c r="H13" t="s">
        <v>181</v>
      </c>
      <c r="I13" s="133" t="s">
        <v>2701</v>
      </c>
      <c r="J13" t="str">
        <f t="shared" si="0"/>
        <v>INSERT INTO tbFinanceItemSeq(Report,ItemSeqID,ItemSN,ItemID) VALUES('BS',12,12,513)</v>
      </c>
    </row>
    <row r="14" spans="1:11">
      <c r="A14" t="s">
        <v>74</v>
      </c>
      <c r="B14" t="s">
        <v>169</v>
      </c>
      <c r="C14">
        <v>13</v>
      </c>
      <c r="D14">
        <v>13</v>
      </c>
      <c r="E14">
        <v>13</v>
      </c>
      <c r="F14">
        <v>13</v>
      </c>
      <c r="G14">
        <v>514</v>
      </c>
      <c r="H14" t="s">
        <v>182</v>
      </c>
      <c r="I14" s="133" t="s">
        <v>2702</v>
      </c>
      <c r="J14" t="str">
        <f t="shared" si="0"/>
        <v>INSERT INTO tbFinanceItemSeq(Report,ItemSeqID,ItemSN,ItemID) VALUES('BS',13,13,514)</v>
      </c>
    </row>
    <row r="15" spans="1:11">
      <c r="A15" t="s">
        <v>74</v>
      </c>
      <c r="B15" t="s">
        <v>169</v>
      </c>
      <c r="C15">
        <v>14</v>
      </c>
      <c r="D15">
        <v>14</v>
      </c>
      <c r="E15">
        <v>14</v>
      </c>
      <c r="F15">
        <v>14</v>
      </c>
      <c r="G15">
        <v>515</v>
      </c>
      <c r="H15" t="s">
        <v>183</v>
      </c>
      <c r="I15" s="133" t="s">
        <v>2703</v>
      </c>
      <c r="J15" t="str">
        <f t="shared" si="0"/>
        <v>INSERT INTO tbFinanceItemSeq(Report,ItemSeqID,ItemSN,ItemID) VALUES('BS',14,14,515)</v>
      </c>
    </row>
    <row r="16" spans="1:11">
      <c r="A16" t="s">
        <v>74</v>
      </c>
      <c r="B16" t="s">
        <v>169</v>
      </c>
      <c r="C16">
        <v>15</v>
      </c>
      <c r="D16">
        <v>15</v>
      </c>
      <c r="E16">
        <v>15</v>
      </c>
      <c r="F16">
        <v>15</v>
      </c>
      <c r="G16">
        <v>516</v>
      </c>
      <c r="H16" t="s">
        <v>184</v>
      </c>
      <c r="I16" s="133" t="s">
        <v>2704</v>
      </c>
      <c r="J16" t="str">
        <f t="shared" si="0"/>
        <v>INSERT INTO tbFinanceItemSeq(Report,ItemSeqID,ItemSN,ItemID) VALUES('BS',15,15,516)</v>
      </c>
    </row>
    <row r="17" spans="1:11">
      <c r="A17" t="s">
        <v>74</v>
      </c>
      <c r="B17" t="s">
        <v>169</v>
      </c>
      <c r="C17">
        <v>16</v>
      </c>
      <c r="D17">
        <v>16</v>
      </c>
      <c r="E17">
        <v>16</v>
      </c>
      <c r="F17">
        <v>16</v>
      </c>
      <c r="G17">
        <v>517</v>
      </c>
      <c r="H17" t="s">
        <v>185</v>
      </c>
      <c r="I17" s="133" t="s">
        <v>2705</v>
      </c>
      <c r="J17" t="str">
        <f t="shared" si="0"/>
        <v>INSERT INTO tbFinanceItemSeq(Report,ItemSeqID,ItemSN,ItemID) VALUES('BS',16,16,517)</v>
      </c>
    </row>
    <row r="18" spans="1:11">
      <c r="A18" t="s">
        <v>74</v>
      </c>
      <c r="B18" t="s">
        <v>169</v>
      </c>
      <c r="C18">
        <v>17</v>
      </c>
      <c r="D18">
        <v>17</v>
      </c>
      <c r="E18">
        <v>17</v>
      </c>
      <c r="F18">
        <v>17</v>
      </c>
      <c r="G18">
        <v>518</v>
      </c>
      <c r="H18" t="s">
        <v>186</v>
      </c>
      <c r="I18" s="135" t="s">
        <v>2706</v>
      </c>
      <c r="J18" t="str">
        <f t="shared" si="0"/>
        <v>INSERT INTO tbFinanceItemSeq(Report,ItemSeqID,ItemSN,ItemID) VALUES('BS',17,17,518)</v>
      </c>
    </row>
    <row r="19" spans="1:11">
      <c r="A19" t="s">
        <v>74</v>
      </c>
      <c r="B19" t="s">
        <v>169</v>
      </c>
      <c r="C19">
        <v>18</v>
      </c>
      <c r="D19">
        <v>18</v>
      </c>
      <c r="E19">
        <v>18</v>
      </c>
      <c r="F19">
        <v>18</v>
      </c>
      <c r="G19">
        <v>519</v>
      </c>
      <c r="H19" t="s">
        <v>187</v>
      </c>
      <c r="I19" s="135" t="s">
        <v>2707</v>
      </c>
      <c r="J19" t="str">
        <f t="shared" si="0"/>
        <v>INSERT INTO tbFinanceItemSeq(Report,ItemSeqID,ItemSN,ItemID) VALUES('BS',18,18,519)</v>
      </c>
    </row>
    <row r="20" spans="1:11" s="2" customFormat="1">
      <c r="A20" s="2" t="s">
        <v>76</v>
      </c>
      <c r="B20" s="2" t="s">
        <v>169</v>
      </c>
      <c r="C20" s="2">
        <v>19</v>
      </c>
      <c r="D20" s="2">
        <v>19</v>
      </c>
      <c r="E20" s="2">
        <v>19</v>
      </c>
      <c r="F20" s="2">
        <v>19</v>
      </c>
      <c r="G20" s="2">
        <v>520</v>
      </c>
      <c r="H20" s="2" t="s">
        <v>188</v>
      </c>
      <c r="I20" s="135"/>
      <c r="J20" s="2" t="str">
        <f t="shared" si="0"/>
        <v/>
      </c>
      <c r="K20" s="147" t="s">
        <v>2359</v>
      </c>
    </row>
    <row r="21" spans="1:11" s="3" customFormat="1">
      <c r="A21" s="3" t="s">
        <v>75</v>
      </c>
      <c r="B21" s="3" t="s">
        <v>169</v>
      </c>
      <c r="C21" s="3">
        <v>19</v>
      </c>
      <c r="D21" s="3">
        <v>19</v>
      </c>
      <c r="E21" s="3">
        <v>19</v>
      </c>
      <c r="F21" s="3">
        <v>19</v>
      </c>
      <c r="G21" s="3">
        <v>520</v>
      </c>
      <c r="H21" s="3" t="s">
        <v>315</v>
      </c>
      <c r="I21" s="135" t="s">
        <v>2708</v>
      </c>
      <c r="J21" s="3" t="str">
        <f t="shared" si="0"/>
        <v>INSERT INTO tbFinanceItemSeq(Report,ItemSeqID,ItemSN,ItemID) VALUES('BS',19,19,520)</v>
      </c>
      <c r="K21" s="147"/>
    </row>
    <row r="22" spans="1:11">
      <c r="A22" t="s">
        <v>74</v>
      </c>
      <c r="B22" t="s">
        <v>169</v>
      </c>
      <c r="C22">
        <v>20</v>
      </c>
      <c r="D22">
        <v>20</v>
      </c>
      <c r="E22">
        <v>20</v>
      </c>
      <c r="F22">
        <v>20</v>
      </c>
      <c r="G22">
        <v>521</v>
      </c>
      <c r="H22" t="s">
        <v>189</v>
      </c>
      <c r="I22" s="134" t="s">
        <v>2709</v>
      </c>
      <c r="J22" t="str">
        <f t="shared" si="0"/>
        <v>INSERT INTO tbFinanceItemSeq(Report,ItemSeqID,ItemSN,ItemID) VALUES('BS',20,20,521)</v>
      </c>
    </row>
    <row r="23" spans="1:11">
      <c r="A23" t="s">
        <v>74</v>
      </c>
      <c r="B23" t="s">
        <v>169</v>
      </c>
      <c r="C23">
        <v>21</v>
      </c>
      <c r="D23">
        <v>21</v>
      </c>
      <c r="E23">
        <v>21</v>
      </c>
      <c r="F23">
        <v>21</v>
      </c>
      <c r="G23">
        <v>522</v>
      </c>
      <c r="H23" t="s">
        <v>190</v>
      </c>
      <c r="I23" s="133" t="s">
        <v>2710</v>
      </c>
      <c r="J23" t="str">
        <f t="shared" si="0"/>
        <v>INSERT INTO tbFinanceItemSeq(Report,ItemSeqID,ItemSN,ItemID) VALUES('BS',21,21,522)</v>
      </c>
    </row>
    <row r="24" spans="1:11">
      <c r="A24" t="s">
        <v>74</v>
      </c>
      <c r="B24" t="s">
        <v>169</v>
      </c>
      <c r="C24">
        <v>22</v>
      </c>
      <c r="D24">
        <v>22</v>
      </c>
      <c r="E24">
        <v>22</v>
      </c>
      <c r="F24">
        <v>22</v>
      </c>
      <c r="G24">
        <v>523</v>
      </c>
      <c r="H24" t="s">
        <v>191</v>
      </c>
      <c r="I24" s="133" t="s">
        <v>2711</v>
      </c>
      <c r="J24" t="str">
        <f t="shared" si="0"/>
        <v>INSERT INTO tbFinanceItemSeq(Report,ItemSeqID,ItemSN,ItemID) VALUES('BS',22,22,523)</v>
      </c>
    </row>
    <row r="25" spans="1:11">
      <c r="A25" t="s">
        <v>74</v>
      </c>
      <c r="B25" t="s">
        <v>169</v>
      </c>
      <c r="C25">
        <v>23</v>
      </c>
      <c r="D25">
        <v>23</v>
      </c>
      <c r="E25">
        <v>23</v>
      </c>
      <c r="F25">
        <v>23</v>
      </c>
      <c r="G25">
        <v>524</v>
      </c>
      <c r="H25" t="s">
        <v>192</v>
      </c>
      <c r="I25" s="133" t="s">
        <v>2712</v>
      </c>
      <c r="J25" t="str">
        <f t="shared" si="0"/>
        <v>INSERT INTO tbFinanceItemSeq(Report,ItemSeqID,ItemSN,ItemID) VALUES('BS',23,23,524)</v>
      </c>
    </row>
    <row r="26" spans="1:11">
      <c r="A26" t="s">
        <v>74</v>
      </c>
      <c r="B26" t="s">
        <v>169</v>
      </c>
      <c r="C26">
        <v>24</v>
      </c>
      <c r="D26">
        <v>24</v>
      </c>
      <c r="E26">
        <v>24</v>
      </c>
      <c r="F26">
        <v>24</v>
      </c>
      <c r="G26">
        <v>525</v>
      </c>
      <c r="H26" t="s">
        <v>193</v>
      </c>
      <c r="I26" s="133" t="s">
        <v>2076</v>
      </c>
      <c r="J26" t="str">
        <f t="shared" si="0"/>
        <v>INSERT INTO tbFinanceItemSeq(Report,ItemSeqID,ItemSN,ItemID) VALUES('BS',24,24,525)</v>
      </c>
    </row>
    <row r="27" spans="1:11">
      <c r="A27" t="s">
        <v>74</v>
      </c>
      <c r="B27" t="s">
        <v>169</v>
      </c>
      <c r="C27">
        <v>25</v>
      </c>
      <c r="D27">
        <v>25</v>
      </c>
      <c r="E27">
        <v>25</v>
      </c>
      <c r="F27">
        <v>25</v>
      </c>
      <c r="G27">
        <v>526</v>
      </c>
      <c r="H27" t="s">
        <v>194</v>
      </c>
      <c r="I27" s="133" t="s">
        <v>2713</v>
      </c>
      <c r="J27" t="str">
        <f t="shared" si="0"/>
        <v>INSERT INTO tbFinanceItemSeq(Report,ItemSeqID,ItemSN,ItemID) VALUES('BS',25,25,526)</v>
      </c>
    </row>
    <row r="28" spans="1:11">
      <c r="A28" t="s">
        <v>74</v>
      </c>
      <c r="B28" t="s">
        <v>169</v>
      </c>
      <c r="C28">
        <v>26</v>
      </c>
      <c r="D28">
        <v>26</v>
      </c>
      <c r="E28">
        <v>26</v>
      </c>
      <c r="F28">
        <v>26</v>
      </c>
      <c r="G28">
        <v>527</v>
      </c>
      <c r="H28" t="s">
        <v>195</v>
      </c>
      <c r="I28" s="133" t="s">
        <v>2714</v>
      </c>
      <c r="J28" t="str">
        <f t="shared" si="0"/>
        <v>INSERT INTO tbFinanceItemSeq(Report,ItemSeqID,ItemSN,ItemID) VALUES('BS',26,26,527)</v>
      </c>
    </row>
    <row r="29" spans="1:11">
      <c r="A29" t="s">
        <v>74</v>
      </c>
      <c r="B29" t="s">
        <v>169</v>
      </c>
      <c r="C29">
        <v>27</v>
      </c>
      <c r="D29">
        <v>27</v>
      </c>
      <c r="E29">
        <v>27</v>
      </c>
      <c r="F29">
        <v>27</v>
      </c>
      <c r="G29">
        <v>528</v>
      </c>
      <c r="H29" t="s">
        <v>196</v>
      </c>
      <c r="I29" s="133" t="s">
        <v>2715</v>
      </c>
      <c r="J29" t="str">
        <f t="shared" si="0"/>
        <v>INSERT INTO tbFinanceItemSeq(Report,ItemSeqID,ItemSN,ItemID) VALUES('BS',27,27,528)</v>
      </c>
    </row>
    <row r="30" spans="1:11">
      <c r="A30" t="s">
        <v>74</v>
      </c>
      <c r="B30" t="s">
        <v>169</v>
      </c>
      <c r="C30">
        <v>28</v>
      </c>
      <c r="D30">
        <v>28</v>
      </c>
      <c r="E30">
        <v>28</v>
      </c>
      <c r="F30">
        <v>28</v>
      </c>
      <c r="G30">
        <v>529</v>
      </c>
      <c r="H30" t="s">
        <v>197</v>
      </c>
      <c r="I30" s="133" t="s">
        <v>2716</v>
      </c>
      <c r="J30" t="str">
        <f t="shared" si="0"/>
        <v>INSERT INTO tbFinanceItemSeq(Report,ItemSeqID,ItemSN,ItemID) VALUES('BS',28,28,529)</v>
      </c>
    </row>
    <row r="31" spans="1:11">
      <c r="A31" t="s">
        <v>74</v>
      </c>
      <c r="B31" t="s">
        <v>169</v>
      </c>
      <c r="C31">
        <v>29</v>
      </c>
      <c r="D31">
        <v>29</v>
      </c>
      <c r="E31">
        <v>29</v>
      </c>
      <c r="F31">
        <v>29</v>
      </c>
      <c r="G31">
        <v>530</v>
      </c>
      <c r="H31" t="s">
        <v>198</v>
      </c>
      <c r="I31" s="133" t="s">
        <v>2717</v>
      </c>
      <c r="J31" t="str">
        <f t="shared" si="0"/>
        <v>INSERT INTO tbFinanceItemSeq(Report,ItemSeqID,ItemSN,ItemID) VALUES('BS',29,29,530)</v>
      </c>
    </row>
    <row r="32" spans="1:11">
      <c r="A32" t="s">
        <v>74</v>
      </c>
      <c r="B32" t="s">
        <v>169</v>
      </c>
      <c r="C32">
        <v>30</v>
      </c>
      <c r="D32">
        <v>30</v>
      </c>
      <c r="E32">
        <v>30</v>
      </c>
      <c r="F32">
        <v>30</v>
      </c>
      <c r="G32">
        <v>531</v>
      </c>
      <c r="H32" t="s">
        <v>199</v>
      </c>
      <c r="I32" s="136" t="s">
        <v>2718</v>
      </c>
      <c r="J32" t="str">
        <f t="shared" si="0"/>
        <v>INSERT INTO tbFinanceItemSeq(Report,ItemSeqID,ItemSN,ItemID) VALUES('BS',30,30,531)</v>
      </c>
    </row>
    <row r="33" spans="1:10">
      <c r="A33" t="s">
        <v>74</v>
      </c>
      <c r="B33" t="s">
        <v>169</v>
      </c>
      <c r="C33">
        <v>31</v>
      </c>
      <c r="D33">
        <v>31</v>
      </c>
      <c r="E33">
        <v>31</v>
      </c>
      <c r="F33">
        <v>31</v>
      </c>
      <c r="G33">
        <v>532</v>
      </c>
      <c r="H33" t="s">
        <v>200</v>
      </c>
      <c r="I33" s="134" t="s">
        <v>2719</v>
      </c>
      <c r="J33" t="str">
        <f t="shared" si="0"/>
        <v>INSERT INTO tbFinanceItemSeq(Report,ItemSeqID,ItemSN,ItemID) VALUES('BS',31,31,532)</v>
      </c>
    </row>
    <row r="34" spans="1:10">
      <c r="A34" t="s">
        <v>74</v>
      </c>
      <c r="B34" t="s">
        <v>169</v>
      </c>
      <c r="C34">
        <v>32</v>
      </c>
      <c r="D34">
        <v>32</v>
      </c>
      <c r="E34">
        <v>32</v>
      </c>
      <c r="F34">
        <v>32</v>
      </c>
      <c r="G34">
        <v>533</v>
      </c>
      <c r="H34" t="s">
        <v>201</v>
      </c>
      <c r="I34" s="134" t="s">
        <v>2720</v>
      </c>
      <c r="J34" t="str">
        <f t="shared" ref="J34:J65" si="1">IF(A34&lt;&gt;"Remove",CONCATENATE("INSERT INTO tbFinanceItemSeq(Report,ItemSeqID,ItemSN,ItemID) VALUES('",B34,"',",C34,",",E34,",",G34,")"),"")</f>
        <v>INSERT INTO tbFinanceItemSeq(Report,ItemSeqID,ItemSN,ItemID) VALUES('BS',32,32,533)</v>
      </c>
    </row>
    <row r="35" spans="1:10">
      <c r="A35" t="s">
        <v>74</v>
      </c>
      <c r="B35" t="s">
        <v>169</v>
      </c>
      <c r="C35">
        <v>33</v>
      </c>
      <c r="D35">
        <v>33</v>
      </c>
      <c r="E35">
        <v>33</v>
      </c>
      <c r="F35">
        <v>33</v>
      </c>
      <c r="G35">
        <v>534</v>
      </c>
      <c r="H35" t="s">
        <v>202</v>
      </c>
      <c r="I35" s="82" t="s">
        <v>2721</v>
      </c>
      <c r="J35" t="str">
        <f t="shared" si="1"/>
        <v>INSERT INTO tbFinanceItemSeq(Report,ItemSeqID,ItemSN,ItemID) VALUES('BS',33,33,534)</v>
      </c>
    </row>
    <row r="36" spans="1:10">
      <c r="A36" t="s">
        <v>74</v>
      </c>
      <c r="B36" t="s">
        <v>169</v>
      </c>
      <c r="C36">
        <v>34</v>
      </c>
      <c r="D36">
        <v>34</v>
      </c>
      <c r="E36">
        <v>34</v>
      </c>
      <c r="F36">
        <v>34</v>
      </c>
      <c r="G36">
        <v>535</v>
      </c>
      <c r="H36" t="s">
        <v>203</v>
      </c>
      <c r="I36" s="133" t="s">
        <v>2090</v>
      </c>
      <c r="J36" t="str">
        <f t="shared" si="1"/>
        <v>INSERT INTO tbFinanceItemSeq(Report,ItemSeqID,ItemSN,ItemID) VALUES('BS',34,34,535)</v>
      </c>
    </row>
    <row r="37" spans="1:10">
      <c r="A37" t="s">
        <v>74</v>
      </c>
      <c r="B37" t="s">
        <v>169</v>
      </c>
      <c r="C37">
        <v>35</v>
      </c>
      <c r="D37">
        <v>35</v>
      </c>
      <c r="E37">
        <v>35</v>
      </c>
      <c r="F37">
        <v>35</v>
      </c>
      <c r="G37">
        <v>536</v>
      </c>
      <c r="H37" t="s">
        <v>204</v>
      </c>
      <c r="I37" s="133" t="s">
        <v>2091</v>
      </c>
      <c r="J37" t="str">
        <f t="shared" si="1"/>
        <v>INSERT INTO tbFinanceItemSeq(Report,ItemSeqID,ItemSN,ItemID) VALUES('BS',35,35,536)</v>
      </c>
    </row>
    <row r="38" spans="1:10">
      <c r="A38" t="s">
        <v>74</v>
      </c>
      <c r="B38" t="s">
        <v>169</v>
      </c>
      <c r="C38">
        <v>36</v>
      </c>
      <c r="D38">
        <v>36</v>
      </c>
      <c r="E38">
        <v>36</v>
      </c>
      <c r="F38">
        <v>36</v>
      </c>
      <c r="G38">
        <v>537</v>
      </c>
      <c r="H38" t="s">
        <v>205</v>
      </c>
      <c r="I38" s="133" t="s">
        <v>2092</v>
      </c>
      <c r="J38" t="str">
        <f t="shared" si="1"/>
        <v>INSERT INTO tbFinanceItemSeq(Report,ItemSeqID,ItemSN,ItemID) VALUES('BS',36,36,537)</v>
      </c>
    </row>
    <row r="39" spans="1:10">
      <c r="A39" t="s">
        <v>74</v>
      </c>
      <c r="B39" t="s">
        <v>169</v>
      </c>
      <c r="C39">
        <v>37</v>
      </c>
      <c r="D39">
        <v>37</v>
      </c>
      <c r="E39">
        <v>37</v>
      </c>
      <c r="F39">
        <v>37</v>
      </c>
      <c r="G39">
        <v>538</v>
      </c>
      <c r="H39" t="s">
        <v>206</v>
      </c>
      <c r="I39" s="133" t="s">
        <v>2722</v>
      </c>
      <c r="J39" t="str">
        <f t="shared" si="1"/>
        <v>INSERT INTO tbFinanceItemSeq(Report,ItemSeqID,ItemSN,ItemID) VALUES('BS',37,37,538)</v>
      </c>
    </row>
    <row r="40" spans="1:10">
      <c r="A40" t="s">
        <v>74</v>
      </c>
      <c r="B40" t="s">
        <v>169</v>
      </c>
      <c r="C40">
        <v>38</v>
      </c>
      <c r="D40">
        <v>38</v>
      </c>
      <c r="E40">
        <v>38</v>
      </c>
      <c r="F40">
        <v>38</v>
      </c>
      <c r="G40">
        <v>539</v>
      </c>
      <c r="H40" t="s">
        <v>207</v>
      </c>
      <c r="I40" s="133" t="s">
        <v>2723</v>
      </c>
      <c r="J40" t="str">
        <f t="shared" si="1"/>
        <v>INSERT INTO tbFinanceItemSeq(Report,ItemSeqID,ItemSN,ItemID) VALUES('BS',38,38,539)</v>
      </c>
    </row>
    <row r="41" spans="1:10">
      <c r="A41" t="s">
        <v>74</v>
      </c>
      <c r="B41" t="s">
        <v>169</v>
      </c>
      <c r="C41">
        <v>39</v>
      </c>
      <c r="D41">
        <v>39</v>
      </c>
      <c r="E41">
        <v>39</v>
      </c>
      <c r="F41">
        <v>39</v>
      </c>
      <c r="G41">
        <v>540</v>
      </c>
      <c r="H41" t="s">
        <v>208</v>
      </c>
      <c r="I41" s="133" t="s">
        <v>2724</v>
      </c>
      <c r="J41" t="str">
        <f t="shared" si="1"/>
        <v>INSERT INTO tbFinanceItemSeq(Report,ItemSeqID,ItemSN,ItemID) VALUES('BS',39,39,540)</v>
      </c>
    </row>
    <row r="42" spans="1:10">
      <c r="A42" t="s">
        <v>74</v>
      </c>
      <c r="B42" t="s">
        <v>169</v>
      </c>
      <c r="C42">
        <v>40</v>
      </c>
      <c r="D42">
        <v>40</v>
      </c>
      <c r="E42">
        <v>40</v>
      </c>
      <c r="F42">
        <v>40</v>
      </c>
      <c r="G42">
        <v>541</v>
      </c>
      <c r="H42" t="s">
        <v>209</v>
      </c>
      <c r="I42" s="133" t="s">
        <v>2725</v>
      </c>
      <c r="J42" t="str">
        <f t="shared" si="1"/>
        <v>INSERT INTO tbFinanceItemSeq(Report,ItemSeqID,ItemSN,ItemID) VALUES('BS',40,40,541)</v>
      </c>
    </row>
    <row r="43" spans="1:10">
      <c r="A43" t="s">
        <v>74</v>
      </c>
      <c r="B43" t="s">
        <v>169</v>
      </c>
      <c r="C43">
        <v>41</v>
      </c>
      <c r="D43">
        <v>41</v>
      </c>
      <c r="E43">
        <v>41</v>
      </c>
      <c r="F43">
        <v>41</v>
      </c>
      <c r="G43">
        <v>542</v>
      </c>
      <c r="H43" t="s">
        <v>210</v>
      </c>
      <c r="I43" s="133" t="s">
        <v>2726</v>
      </c>
      <c r="J43" t="str">
        <f t="shared" si="1"/>
        <v>INSERT INTO tbFinanceItemSeq(Report,ItemSeqID,ItemSN,ItemID) VALUES('BS',41,41,542)</v>
      </c>
    </row>
    <row r="44" spans="1:10">
      <c r="A44" t="s">
        <v>74</v>
      </c>
      <c r="B44" t="s">
        <v>169</v>
      </c>
      <c r="C44">
        <v>42</v>
      </c>
      <c r="D44">
        <v>42</v>
      </c>
      <c r="E44">
        <v>42</v>
      </c>
      <c r="F44">
        <v>42</v>
      </c>
      <c r="G44">
        <v>543</v>
      </c>
      <c r="H44" t="s">
        <v>211</v>
      </c>
      <c r="I44" s="133" t="s">
        <v>2727</v>
      </c>
      <c r="J44" t="str">
        <f t="shared" si="1"/>
        <v>INSERT INTO tbFinanceItemSeq(Report,ItemSeqID,ItemSN,ItemID) VALUES('BS',42,42,543)</v>
      </c>
    </row>
    <row r="45" spans="1:10">
      <c r="A45" t="s">
        <v>74</v>
      </c>
      <c r="B45" t="s">
        <v>169</v>
      </c>
      <c r="C45">
        <v>43</v>
      </c>
      <c r="D45">
        <v>43</v>
      </c>
      <c r="E45">
        <v>43</v>
      </c>
      <c r="F45">
        <v>43</v>
      </c>
      <c r="G45">
        <v>544</v>
      </c>
      <c r="H45" t="s">
        <v>212</v>
      </c>
      <c r="I45" s="134" t="s">
        <v>2728</v>
      </c>
      <c r="J45" t="str">
        <f t="shared" si="1"/>
        <v>INSERT INTO tbFinanceItemSeq(Report,ItemSeqID,ItemSN,ItemID) VALUES('BS',43,43,544)</v>
      </c>
    </row>
    <row r="46" spans="1:10">
      <c r="A46" t="s">
        <v>74</v>
      </c>
      <c r="B46" t="s">
        <v>169</v>
      </c>
      <c r="C46">
        <v>44</v>
      </c>
      <c r="D46">
        <v>44</v>
      </c>
      <c r="E46">
        <v>44</v>
      </c>
      <c r="F46">
        <v>44</v>
      </c>
      <c r="G46">
        <v>545</v>
      </c>
      <c r="H46" t="s">
        <v>213</v>
      </c>
      <c r="I46" s="133" t="s">
        <v>2145</v>
      </c>
      <c r="J46" t="str">
        <f t="shared" si="1"/>
        <v>INSERT INTO tbFinanceItemSeq(Report,ItemSeqID,ItemSN,ItemID) VALUES('BS',44,44,545)</v>
      </c>
    </row>
    <row r="47" spans="1:10">
      <c r="A47" t="s">
        <v>74</v>
      </c>
      <c r="B47" t="s">
        <v>169</v>
      </c>
      <c r="C47">
        <v>45</v>
      </c>
      <c r="D47">
        <v>45</v>
      </c>
      <c r="E47">
        <v>45</v>
      </c>
      <c r="F47">
        <v>45</v>
      </c>
      <c r="G47">
        <v>546</v>
      </c>
      <c r="H47" t="s">
        <v>214</v>
      </c>
      <c r="I47" s="133" t="s">
        <v>2146</v>
      </c>
      <c r="J47" t="str">
        <f t="shared" si="1"/>
        <v>INSERT INTO tbFinanceItemSeq(Report,ItemSeqID,ItemSN,ItemID) VALUES('BS',45,45,546)</v>
      </c>
    </row>
    <row r="48" spans="1:10">
      <c r="A48" t="s">
        <v>74</v>
      </c>
      <c r="B48" t="s">
        <v>169</v>
      </c>
      <c r="C48">
        <v>46</v>
      </c>
      <c r="D48">
        <v>46</v>
      </c>
      <c r="E48">
        <v>46</v>
      </c>
      <c r="F48">
        <v>46</v>
      </c>
      <c r="G48">
        <v>547</v>
      </c>
      <c r="H48" t="s">
        <v>215</v>
      </c>
      <c r="I48" s="133" t="s">
        <v>2729</v>
      </c>
      <c r="J48" t="str">
        <f t="shared" si="1"/>
        <v>INSERT INTO tbFinanceItemSeq(Report,ItemSeqID,ItemSN,ItemID) VALUES('BS',46,46,547)</v>
      </c>
    </row>
    <row r="49" spans="1:10">
      <c r="A49" t="s">
        <v>74</v>
      </c>
      <c r="B49" t="s">
        <v>169</v>
      </c>
      <c r="C49">
        <v>47</v>
      </c>
      <c r="D49">
        <v>47</v>
      </c>
      <c r="E49">
        <v>47</v>
      </c>
      <c r="F49">
        <v>47</v>
      </c>
      <c r="G49">
        <v>548</v>
      </c>
      <c r="H49" t="s">
        <v>216</v>
      </c>
      <c r="I49" s="133" t="s">
        <v>2147</v>
      </c>
      <c r="J49" t="str">
        <f t="shared" si="1"/>
        <v>INSERT INTO tbFinanceItemSeq(Report,ItemSeqID,ItemSN,ItemID) VALUES('BS',47,47,548)</v>
      </c>
    </row>
    <row r="50" spans="1:10">
      <c r="A50" t="s">
        <v>74</v>
      </c>
      <c r="B50" t="s">
        <v>169</v>
      </c>
      <c r="C50">
        <v>48</v>
      </c>
      <c r="D50">
        <v>48</v>
      </c>
      <c r="E50">
        <v>48</v>
      </c>
      <c r="F50">
        <v>48</v>
      </c>
      <c r="G50">
        <v>549</v>
      </c>
      <c r="H50" t="s">
        <v>217</v>
      </c>
      <c r="I50" s="133" t="s">
        <v>2152</v>
      </c>
      <c r="J50" t="str">
        <f t="shared" si="1"/>
        <v>INSERT INTO tbFinanceItemSeq(Report,ItemSeqID,ItemSN,ItemID) VALUES('BS',48,48,549)</v>
      </c>
    </row>
    <row r="51" spans="1:10">
      <c r="A51" t="s">
        <v>74</v>
      </c>
      <c r="B51" t="s">
        <v>169</v>
      </c>
      <c r="C51">
        <v>49</v>
      </c>
      <c r="D51">
        <v>49</v>
      </c>
      <c r="E51">
        <v>49</v>
      </c>
      <c r="F51">
        <v>49</v>
      </c>
      <c r="G51">
        <v>554</v>
      </c>
      <c r="H51" t="s">
        <v>218</v>
      </c>
      <c r="I51" s="133" t="s">
        <v>2154</v>
      </c>
      <c r="J51" t="str">
        <f t="shared" si="1"/>
        <v>INSERT INTO tbFinanceItemSeq(Report,ItemSeqID,ItemSN,ItemID) VALUES('BS',49,49,554)</v>
      </c>
    </row>
    <row r="52" spans="1:10">
      <c r="A52" t="s">
        <v>74</v>
      </c>
      <c r="B52" t="s">
        <v>169</v>
      </c>
      <c r="C52">
        <v>50</v>
      </c>
      <c r="D52">
        <v>50</v>
      </c>
      <c r="E52">
        <v>50</v>
      </c>
      <c r="F52">
        <v>50</v>
      </c>
      <c r="G52">
        <v>550</v>
      </c>
      <c r="H52" t="s">
        <v>219</v>
      </c>
      <c r="I52" s="133" t="s">
        <v>2153</v>
      </c>
      <c r="J52" t="str">
        <f t="shared" si="1"/>
        <v>INSERT INTO tbFinanceItemSeq(Report,ItemSeqID,ItemSN,ItemID) VALUES('BS',50,50,550)</v>
      </c>
    </row>
    <row r="53" spans="1:10">
      <c r="A53" t="s">
        <v>74</v>
      </c>
      <c r="B53" t="s">
        <v>169</v>
      </c>
      <c r="C53">
        <v>51</v>
      </c>
      <c r="D53">
        <v>51</v>
      </c>
      <c r="E53">
        <v>51</v>
      </c>
      <c r="F53">
        <v>51</v>
      </c>
      <c r="G53">
        <v>551</v>
      </c>
      <c r="H53" t="s">
        <v>220</v>
      </c>
      <c r="I53" s="134" t="s">
        <v>2730</v>
      </c>
      <c r="J53" t="str">
        <f t="shared" si="1"/>
        <v>INSERT INTO tbFinanceItemSeq(Report,ItemSeqID,ItemSN,ItemID) VALUES('BS',51,51,551)</v>
      </c>
    </row>
    <row r="54" spans="1:10">
      <c r="A54" t="s">
        <v>74</v>
      </c>
      <c r="B54" t="s">
        <v>169</v>
      </c>
      <c r="C54">
        <v>52</v>
      </c>
      <c r="D54">
        <v>52</v>
      </c>
      <c r="E54">
        <v>52</v>
      </c>
      <c r="F54">
        <v>52</v>
      </c>
      <c r="G54">
        <v>552</v>
      </c>
      <c r="H54" t="s">
        <v>221</v>
      </c>
      <c r="I54" s="134" t="s">
        <v>2731</v>
      </c>
      <c r="J54" t="str">
        <f t="shared" si="1"/>
        <v>INSERT INTO tbFinanceItemSeq(Report,ItemSeqID,ItemSN,ItemID) VALUES('BS',52,52,552)</v>
      </c>
    </row>
    <row r="55" spans="1:10">
      <c r="A55" t="s">
        <v>74</v>
      </c>
      <c r="B55" t="s">
        <v>169</v>
      </c>
      <c r="C55">
        <v>53</v>
      </c>
      <c r="D55">
        <v>53</v>
      </c>
      <c r="E55">
        <v>53</v>
      </c>
      <c r="F55">
        <v>53</v>
      </c>
      <c r="G55">
        <v>553</v>
      </c>
      <c r="H55" t="s">
        <v>222</v>
      </c>
      <c r="I55" s="137" t="s">
        <v>2732</v>
      </c>
      <c r="J55" t="str">
        <f t="shared" si="1"/>
        <v>INSERT INTO tbFinanceItemSeq(Report,ItemSeqID,ItemSN,ItemID) VALUES('BS',53,53,553)</v>
      </c>
    </row>
    <row r="56" spans="1:10">
      <c r="A56" t="s">
        <v>74</v>
      </c>
      <c r="B56" t="s">
        <v>169</v>
      </c>
      <c r="C56">
        <v>54</v>
      </c>
      <c r="D56">
        <v>54</v>
      </c>
      <c r="E56">
        <v>54</v>
      </c>
      <c r="F56">
        <v>54</v>
      </c>
      <c r="G56">
        <v>555</v>
      </c>
      <c r="H56" t="s">
        <v>223</v>
      </c>
      <c r="I56" s="137" t="s">
        <v>2733</v>
      </c>
      <c r="J56" t="str">
        <f t="shared" si="1"/>
        <v>INSERT INTO tbFinanceItemSeq(Report,ItemSeqID,ItemSN,ItemID) VALUES('BS',54,54,555)</v>
      </c>
    </row>
    <row r="57" spans="1:10">
      <c r="A57" t="s">
        <v>74</v>
      </c>
      <c r="B57" t="s">
        <v>169</v>
      </c>
      <c r="C57">
        <v>55</v>
      </c>
      <c r="D57">
        <v>55</v>
      </c>
      <c r="E57">
        <v>55</v>
      </c>
      <c r="F57">
        <v>55</v>
      </c>
      <c r="G57">
        <v>556</v>
      </c>
      <c r="H57" t="s">
        <v>224</v>
      </c>
      <c r="I57" s="138" t="s">
        <v>2734</v>
      </c>
      <c r="J57" t="str">
        <f t="shared" si="1"/>
        <v>INSERT INTO tbFinanceItemSeq(Report,ItemSeqID,ItemSN,ItemID) VALUES('BS',55,55,556)</v>
      </c>
    </row>
    <row r="58" spans="1:10">
      <c r="A58" t="s">
        <v>74</v>
      </c>
      <c r="B58" t="s">
        <v>169</v>
      </c>
      <c r="C58">
        <v>56</v>
      </c>
      <c r="D58">
        <v>56</v>
      </c>
      <c r="E58">
        <v>56</v>
      </c>
      <c r="F58">
        <v>56</v>
      </c>
      <c r="G58">
        <v>557</v>
      </c>
      <c r="H58" t="s">
        <v>225</v>
      </c>
      <c r="I58" s="138" t="s">
        <v>2171</v>
      </c>
      <c r="J58" t="str">
        <f t="shared" si="1"/>
        <v>INSERT INTO tbFinanceItemSeq(Report,ItemSeqID,ItemSN,ItemID) VALUES('BS',56,56,557)</v>
      </c>
    </row>
    <row r="59" spans="1:10">
      <c r="A59" t="s">
        <v>74</v>
      </c>
      <c r="B59" t="s">
        <v>169</v>
      </c>
      <c r="C59">
        <v>57</v>
      </c>
      <c r="D59">
        <v>57</v>
      </c>
      <c r="E59">
        <v>57</v>
      </c>
      <c r="F59">
        <v>57</v>
      </c>
      <c r="G59">
        <v>558</v>
      </c>
      <c r="H59" t="s">
        <v>226</v>
      </c>
      <c r="I59" s="139" t="s">
        <v>2735</v>
      </c>
      <c r="J59" t="str">
        <f t="shared" si="1"/>
        <v>INSERT INTO tbFinanceItemSeq(Report,ItemSeqID,ItemSN,ItemID) VALUES('BS',57,57,558)</v>
      </c>
    </row>
    <row r="60" spans="1:10">
      <c r="A60" t="s">
        <v>74</v>
      </c>
      <c r="B60" t="s">
        <v>169</v>
      </c>
      <c r="C60">
        <v>58</v>
      </c>
      <c r="D60">
        <v>58</v>
      </c>
      <c r="E60">
        <v>58</v>
      </c>
      <c r="F60">
        <v>58</v>
      </c>
      <c r="G60">
        <v>559</v>
      </c>
      <c r="H60" t="s">
        <v>227</v>
      </c>
      <c r="I60" s="138" t="s">
        <v>2736</v>
      </c>
      <c r="J60" t="str">
        <f t="shared" si="1"/>
        <v>INSERT INTO tbFinanceItemSeq(Report,ItemSeqID,ItemSN,ItemID) VALUES('BS',58,58,559)</v>
      </c>
    </row>
    <row r="61" spans="1:10">
      <c r="A61" t="s">
        <v>74</v>
      </c>
      <c r="B61" t="s">
        <v>169</v>
      </c>
      <c r="C61">
        <v>59</v>
      </c>
      <c r="D61">
        <v>59</v>
      </c>
      <c r="E61">
        <v>59</v>
      </c>
      <c r="F61">
        <v>59</v>
      </c>
      <c r="G61">
        <v>560</v>
      </c>
      <c r="H61" t="s">
        <v>228</v>
      </c>
      <c r="I61" s="134" t="s">
        <v>2737</v>
      </c>
      <c r="J61" t="str">
        <f t="shared" si="1"/>
        <v>INSERT INTO tbFinanceItemSeq(Report,ItemSeqID,ItemSN,ItemID) VALUES('BS',59,59,560)</v>
      </c>
    </row>
    <row r="62" spans="1:10">
      <c r="A62" t="s">
        <v>74</v>
      </c>
      <c r="B62" t="s">
        <v>169</v>
      </c>
      <c r="C62">
        <v>60</v>
      </c>
      <c r="D62">
        <v>60</v>
      </c>
      <c r="E62">
        <v>60</v>
      </c>
      <c r="F62">
        <v>60</v>
      </c>
      <c r="G62">
        <v>561</v>
      </c>
      <c r="H62" t="s">
        <v>229</v>
      </c>
      <c r="I62" s="140" t="s">
        <v>2738</v>
      </c>
      <c r="J62" t="str">
        <f t="shared" si="1"/>
        <v>INSERT INTO tbFinanceItemSeq(Report,ItemSeqID,ItemSN,ItemID) VALUES('BS',60,60,561)</v>
      </c>
    </row>
    <row r="63" spans="1:10">
      <c r="A63" t="s">
        <v>74</v>
      </c>
      <c r="B63" t="s">
        <v>169</v>
      </c>
      <c r="C63">
        <v>61</v>
      </c>
      <c r="D63">
        <v>61</v>
      </c>
      <c r="E63">
        <v>0</v>
      </c>
      <c r="F63">
        <v>0</v>
      </c>
      <c r="G63">
        <v>46</v>
      </c>
      <c r="H63" t="s">
        <v>55</v>
      </c>
      <c r="I63" s="141"/>
      <c r="J63" t="str">
        <f t="shared" si="1"/>
        <v>INSERT INTO tbFinanceItemSeq(Report,ItemSeqID,ItemSN,ItemID) VALUES('BS',61,0,46)</v>
      </c>
    </row>
    <row r="64" spans="1:10">
      <c r="A64" t="s">
        <v>74</v>
      </c>
      <c r="B64" t="s">
        <v>169</v>
      </c>
      <c r="C64">
        <v>62</v>
      </c>
      <c r="D64">
        <v>62</v>
      </c>
      <c r="E64">
        <v>1</v>
      </c>
      <c r="F64">
        <v>1</v>
      </c>
      <c r="G64">
        <v>226</v>
      </c>
      <c r="H64" t="s">
        <v>230</v>
      </c>
      <c r="I64" s="142" t="s">
        <v>2739</v>
      </c>
      <c r="J64" t="str">
        <f t="shared" si="1"/>
        <v>INSERT INTO tbFinanceItemSeq(Report,ItemSeqID,ItemSN,ItemID) VALUES('BS',62,1,226)</v>
      </c>
    </row>
    <row r="65" spans="1:11">
      <c r="A65" t="s">
        <v>74</v>
      </c>
      <c r="B65" t="s">
        <v>169</v>
      </c>
      <c r="C65">
        <v>63</v>
      </c>
      <c r="D65">
        <v>63</v>
      </c>
      <c r="E65">
        <v>2</v>
      </c>
      <c r="F65">
        <v>2</v>
      </c>
      <c r="G65">
        <v>227</v>
      </c>
      <c r="H65" t="s">
        <v>231</v>
      </c>
      <c r="I65" s="143" t="s">
        <v>2740</v>
      </c>
      <c r="J65" t="str">
        <f t="shared" si="1"/>
        <v>INSERT INTO tbFinanceItemSeq(Report,ItemSeqID,ItemSN,ItemID) VALUES('BS',63,2,227)</v>
      </c>
    </row>
    <row r="66" spans="1:11" s="3" customFormat="1">
      <c r="A66" s="3" t="s">
        <v>75</v>
      </c>
      <c r="B66" s="3" t="s">
        <v>169</v>
      </c>
      <c r="C66" s="3">
        <v>64</v>
      </c>
      <c r="D66" s="3">
        <v>64</v>
      </c>
      <c r="E66" s="3">
        <v>3</v>
      </c>
      <c r="F66" s="3">
        <v>3</v>
      </c>
      <c r="G66" s="3">
        <v>228</v>
      </c>
      <c r="H66" s="3" t="s">
        <v>292</v>
      </c>
      <c r="I66" s="144" t="s">
        <v>2741</v>
      </c>
      <c r="J66" s="3" t="str">
        <f t="shared" ref="J66:J72" si="2">IF(A66&lt;&gt;"Remove",CONCATENATE("INSERT INTO tbFinanceItemSeq(Report,ItemSeqID,ItemSN,ItemID) VALUES('",B66,"',",C66,",",E66,",",G66,")"),"")</f>
        <v>INSERT INTO tbFinanceItemSeq(Report,ItemSeqID,ItemSN,ItemID) VALUES('BS',64,3,228)</v>
      </c>
      <c r="K66" s="3" t="s">
        <v>2360</v>
      </c>
    </row>
    <row r="67" spans="1:11">
      <c r="A67" t="s">
        <v>74</v>
      </c>
      <c r="B67" t="s">
        <v>169</v>
      </c>
      <c r="C67">
        <f t="shared" ref="C67:C72" si="3">D67+1</f>
        <v>65</v>
      </c>
      <c r="D67">
        <v>64</v>
      </c>
      <c r="E67">
        <f t="shared" ref="E67:E72" si="4">F67+1</f>
        <v>4</v>
      </c>
      <c r="F67">
        <v>3</v>
      </c>
      <c r="G67">
        <v>229</v>
      </c>
      <c r="H67" t="s">
        <v>232</v>
      </c>
      <c r="I67" s="143" t="s">
        <v>2742</v>
      </c>
      <c r="J67" t="str">
        <f t="shared" si="2"/>
        <v>INSERT INTO tbFinanceItemSeq(Report,ItemSeqID,ItemSN,ItemID) VALUES('BS',65,4,229)</v>
      </c>
    </row>
    <row r="68" spans="1:11">
      <c r="A68" t="s">
        <v>74</v>
      </c>
      <c r="B68" t="s">
        <v>169</v>
      </c>
      <c r="C68">
        <f t="shared" si="3"/>
        <v>66</v>
      </c>
      <c r="D68">
        <v>65</v>
      </c>
      <c r="E68">
        <f t="shared" si="4"/>
        <v>5</v>
      </c>
      <c r="F68">
        <v>4</v>
      </c>
      <c r="G68">
        <v>230</v>
      </c>
      <c r="H68" t="s">
        <v>233</v>
      </c>
      <c r="I68" s="143" t="s">
        <v>2743</v>
      </c>
      <c r="J68" t="str">
        <f t="shared" si="2"/>
        <v>INSERT INTO tbFinanceItemSeq(Report,ItemSeqID,ItemSN,ItemID) VALUES('BS',66,5,230)</v>
      </c>
    </row>
    <row r="69" spans="1:11" s="2" customFormat="1">
      <c r="A69" s="2" t="s">
        <v>76</v>
      </c>
      <c r="B69" s="2" t="s">
        <v>169</v>
      </c>
      <c r="C69" s="2">
        <f t="shared" si="3"/>
        <v>67</v>
      </c>
      <c r="D69" s="2">
        <v>66</v>
      </c>
      <c r="E69" s="2">
        <f t="shared" si="4"/>
        <v>6</v>
      </c>
      <c r="F69" s="2">
        <v>5</v>
      </c>
      <c r="G69" s="2">
        <v>1409</v>
      </c>
      <c r="H69" s="2" t="s">
        <v>234</v>
      </c>
      <c r="I69" s="146" t="s">
        <v>1946</v>
      </c>
      <c r="J69" s="2" t="str">
        <f t="shared" ref="J69" si="5">IF(A69&lt;&gt;"Remove",CONCATENATE("INSERT INTO tbFinanceItemSeq(Report,ItemSeqID,ItemSN,ItemID) VALUES('",B69,"',",C69,",",E69,",",G69,")"),"")</f>
        <v/>
      </c>
      <c r="K69" s="148" t="s">
        <v>2359</v>
      </c>
    </row>
    <row r="70" spans="1:11" s="3" customFormat="1">
      <c r="A70" s="3" t="s">
        <v>75</v>
      </c>
      <c r="B70" s="3" t="s">
        <v>169</v>
      </c>
      <c r="C70" s="3">
        <f t="shared" si="3"/>
        <v>67</v>
      </c>
      <c r="D70" s="3">
        <v>66</v>
      </c>
      <c r="E70" s="3">
        <f t="shared" si="4"/>
        <v>6</v>
      </c>
      <c r="F70" s="3">
        <v>5</v>
      </c>
      <c r="G70" s="3">
        <v>1409</v>
      </c>
      <c r="H70" s="3" t="s">
        <v>234</v>
      </c>
      <c r="I70" s="132" t="s">
        <v>1946</v>
      </c>
      <c r="J70" s="3" t="str">
        <f t="shared" si="2"/>
        <v>INSERT INTO tbFinanceItemSeq(Report,ItemSeqID,ItemSN,ItemID) VALUES('BS',67,6,1409)</v>
      </c>
      <c r="K70" s="148"/>
    </row>
    <row r="71" spans="1:11">
      <c r="A71" t="s">
        <v>74</v>
      </c>
      <c r="B71" t="s">
        <v>169</v>
      </c>
      <c r="C71">
        <f t="shared" si="3"/>
        <v>68</v>
      </c>
      <c r="D71">
        <v>67</v>
      </c>
      <c r="E71">
        <f t="shared" si="4"/>
        <v>7</v>
      </c>
      <c r="F71">
        <v>6</v>
      </c>
      <c r="G71">
        <v>1133</v>
      </c>
      <c r="H71" t="s">
        <v>235</v>
      </c>
      <c r="I71" s="81" t="s">
        <v>2744</v>
      </c>
      <c r="J71" t="str">
        <f t="shared" si="2"/>
        <v>INSERT INTO tbFinanceItemSeq(Report,ItemSeqID,ItemSN,ItemID) VALUES('BS',68,7,1133)</v>
      </c>
    </row>
    <row r="72" spans="1:11">
      <c r="A72" t="s">
        <v>74</v>
      </c>
      <c r="B72" t="s">
        <v>169</v>
      </c>
      <c r="C72">
        <f t="shared" si="3"/>
        <v>69</v>
      </c>
      <c r="D72">
        <v>68</v>
      </c>
      <c r="E72">
        <f t="shared" si="4"/>
        <v>8</v>
      </c>
      <c r="F72">
        <v>7</v>
      </c>
      <c r="G72">
        <v>1134</v>
      </c>
      <c r="H72" t="s">
        <v>236</v>
      </c>
      <c r="I72" s="145" t="s">
        <v>2143</v>
      </c>
      <c r="J72" t="str">
        <f t="shared" si="2"/>
        <v>INSERT INTO tbFinanceItemSeq(Report,ItemSeqID,ItemSN,ItemID) VALUES('BS',69,8,1134)</v>
      </c>
    </row>
  </sheetData>
  <mergeCells count="2">
    <mergeCell ref="K20:K21"/>
    <mergeCell ref="K69:K7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16" sqref="A16"/>
    </sheetView>
  </sheetViews>
  <sheetFormatPr defaultColWidth="8.85546875" defaultRowHeight="15"/>
  <cols>
    <col min="1" max="1" width="125.42578125" bestFit="1" customWidth="1"/>
  </cols>
  <sheetData>
    <row r="1" spans="1:1">
      <c r="A1" t="s">
        <v>2683</v>
      </c>
    </row>
    <row r="2" spans="1:1">
      <c r="A2" t="s">
        <v>2684</v>
      </c>
    </row>
    <row r="3" spans="1:1">
      <c r="A3" t="s">
        <v>2685</v>
      </c>
    </row>
    <row r="4" spans="1:1">
      <c r="A4" t="s">
        <v>2686</v>
      </c>
    </row>
    <row r="5" spans="1:1">
      <c r="A5" t="s">
        <v>2750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9"/>
  <sheetViews>
    <sheetView workbookViewId="0">
      <selection activeCell="A16" sqref="A16:A19"/>
    </sheetView>
  </sheetViews>
  <sheetFormatPr defaultColWidth="8.85546875" defaultRowHeight="15"/>
  <cols>
    <col min="1" max="1" width="50.85546875" bestFit="1" customWidth="1"/>
  </cols>
  <sheetData>
    <row r="3" spans="1:1">
      <c r="A3" t="s">
        <v>316</v>
      </c>
    </row>
    <row r="4" spans="1:1">
      <c r="A4" t="s">
        <v>317</v>
      </c>
    </row>
    <row r="5" spans="1:1">
      <c r="A5" t="s">
        <v>318</v>
      </c>
    </row>
    <row r="6" spans="1:1">
      <c r="A6" t="s">
        <v>321</v>
      </c>
    </row>
    <row r="8" spans="1:1">
      <c r="A8" t="s">
        <v>77</v>
      </c>
    </row>
    <row r="9" spans="1:1">
      <c r="A9" t="s">
        <v>78</v>
      </c>
    </row>
    <row r="10" spans="1:1">
      <c r="A10" t="s">
        <v>320</v>
      </c>
    </row>
    <row r="11" spans="1:1">
      <c r="A11" t="s">
        <v>79</v>
      </c>
    </row>
    <row r="14" spans="1:1">
      <c r="A14" t="s">
        <v>319</v>
      </c>
    </row>
    <row r="16" spans="1:1">
      <c r="A16" t="s">
        <v>2745</v>
      </c>
    </row>
    <row r="17" spans="1:1">
      <c r="A17" t="s">
        <v>2764</v>
      </c>
    </row>
    <row r="18" spans="1:1">
      <c r="A18" t="s">
        <v>2765</v>
      </c>
    </row>
    <row r="19" spans="1:1">
      <c r="A19" t="s">
        <v>2763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8"/>
  <sheetViews>
    <sheetView topLeftCell="A158" workbookViewId="0">
      <selection activeCell="E190" sqref="E190"/>
    </sheetView>
  </sheetViews>
  <sheetFormatPr defaultColWidth="8.85546875" defaultRowHeight="15"/>
  <cols>
    <col min="2" max="2" width="10.28515625" bestFit="1" customWidth="1"/>
    <col min="3" max="3" width="7.42578125" bestFit="1" customWidth="1"/>
    <col min="4" max="4" width="7" bestFit="1" customWidth="1"/>
    <col min="5" max="5" width="45.7109375" bestFit="1" customWidth="1"/>
    <col min="6" max="6" width="88.140625" bestFit="1" customWidth="1"/>
  </cols>
  <sheetData>
    <row r="1" spans="1:6">
      <c r="A1" s="4" t="s">
        <v>65</v>
      </c>
      <c r="B1" s="4" t="s">
        <v>66</v>
      </c>
      <c r="C1" s="4" t="s">
        <v>67</v>
      </c>
      <c r="D1" s="4" t="s">
        <v>68</v>
      </c>
      <c r="E1" s="4" t="s">
        <v>71</v>
      </c>
      <c r="F1" s="4" t="s">
        <v>72</v>
      </c>
    </row>
    <row r="2" spans="1:6">
      <c r="A2" t="s">
        <v>322</v>
      </c>
      <c r="B2">
        <v>1</v>
      </c>
      <c r="C2">
        <v>1</v>
      </c>
      <c r="D2">
        <v>775</v>
      </c>
      <c r="E2" t="s">
        <v>323</v>
      </c>
      <c r="F2" t="str">
        <f>CONCATENATE("INSERT INTO tbFinanceItemSeq(Report,ItemSeqID,ItemSN,ItemID) VALUES('",A2,"',",B2,",",C2,",",D2,")")</f>
        <v>INSERT INTO tbFinanceItemSeq(Report,ItemSeqID,ItemSN,ItemID) VALUES('PNLD',1,1,775)</v>
      </c>
    </row>
    <row r="3" spans="1:6">
      <c r="A3" t="s">
        <v>322</v>
      </c>
      <c r="B3">
        <v>2</v>
      </c>
      <c r="C3">
        <v>2</v>
      </c>
      <c r="D3">
        <v>776</v>
      </c>
      <c r="E3" t="s">
        <v>324</v>
      </c>
      <c r="F3" t="str">
        <f t="shared" ref="F3:F66" si="0">CONCATENATE("INSERT INTO tbFinanceItemSeq(Report,ItemSeqID,ItemSN,ItemID) VALUES('",A3,"',",B3,",",C3,",",D3,")")</f>
        <v>INSERT INTO tbFinanceItemSeq(Report,ItemSeqID,ItemSN,ItemID) VALUES('PNLD',2,2,776)</v>
      </c>
    </row>
    <row r="4" spans="1:6">
      <c r="A4" t="s">
        <v>322</v>
      </c>
      <c r="B4">
        <v>3</v>
      </c>
      <c r="C4">
        <v>3</v>
      </c>
      <c r="D4">
        <v>777</v>
      </c>
      <c r="E4" t="s">
        <v>325</v>
      </c>
      <c r="F4" t="str">
        <f t="shared" si="0"/>
        <v>INSERT INTO tbFinanceItemSeq(Report,ItemSeqID,ItemSN,ItemID) VALUES('PNLD',3,3,777)</v>
      </c>
    </row>
    <row r="5" spans="1:6">
      <c r="A5" t="s">
        <v>322</v>
      </c>
      <c r="B5">
        <v>4</v>
      </c>
      <c r="C5">
        <v>4</v>
      </c>
      <c r="D5">
        <v>778</v>
      </c>
      <c r="E5" t="s">
        <v>326</v>
      </c>
      <c r="F5" t="str">
        <f t="shared" si="0"/>
        <v>INSERT INTO tbFinanceItemSeq(Report,ItemSeqID,ItemSN,ItemID) VALUES('PNLD',4,4,778)</v>
      </c>
    </row>
    <row r="6" spans="1:6">
      <c r="A6" t="s">
        <v>322</v>
      </c>
      <c r="B6">
        <v>5</v>
      </c>
      <c r="C6">
        <v>5</v>
      </c>
      <c r="D6">
        <v>779</v>
      </c>
      <c r="E6" t="s">
        <v>327</v>
      </c>
      <c r="F6" t="str">
        <f t="shared" si="0"/>
        <v>INSERT INTO tbFinanceItemSeq(Report,ItemSeqID,ItemSN,ItemID) VALUES('PNLD',5,5,779)</v>
      </c>
    </row>
    <row r="7" spans="1:6">
      <c r="A7" t="s">
        <v>322</v>
      </c>
      <c r="B7">
        <v>6</v>
      </c>
      <c r="C7">
        <v>6</v>
      </c>
      <c r="D7">
        <v>780</v>
      </c>
      <c r="E7" t="s">
        <v>328</v>
      </c>
      <c r="F7" t="str">
        <f t="shared" si="0"/>
        <v>INSERT INTO tbFinanceItemSeq(Report,ItemSeqID,ItemSN,ItemID) VALUES('PNLD',6,6,780)</v>
      </c>
    </row>
    <row r="8" spans="1:6">
      <c r="A8" t="s">
        <v>322</v>
      </c>
      <c r="B8">
        <v>7</v>
      </c>
      <c r="C8">
        <v>7</v>
      </c>
      <c r="D8">
        <v>781</v>
      </c>
      <c r="E8" t="s">
        <v>329</v>
      </c>
      <c r="F8" t="str">
        <f t="shared" si="0"/>
        <v>INSERT INTO tbFinanceItemSeq(Report,ItemSeqID,ItemSN,ItemID) VALUES('PNLD',7,7,781)</v>
      </c>
    </row>
    <row r="9" spans="1:6">
      <c r="A9" t="s">
        <v>322</v>
      </c>
      <c r="B9">
        <v>8</v>
      </c>
      <c r="C9">
        <v>8</v>
      </c>
      <c r="D9">
        <v>782</v>
      </c>
      <c r="E9" t="s">
        <v>330</v>
      </c>
      <c r="F9" t="str">
        <f t="shared" si="0"/>
        <v>INSERT INTO tbFinanceItemSeq(Report,ItemSeqID,ItemSN,ItemID) VALUES('PNLD',8,8,782)</v>
      </c>
    </row>
    <row r="10" spans="1:6">
      <c r="A10" t="s">
        <v>322</v>
      </c>
      <c r="B10">
        <v>9</v>
      </c>
      <c r="C10">
        <v>9</v>
      </c>
      <c r="D10">
        <v>783</v>
      </c>
      <c r="E10" t="s">
        <v>331</v>
      </c>
      <c r="F10" t="str">
        <f t="shared" si="0"/>
        <v>INSERT INTO tbFinanceItemSeq(Report,ItemSeqID,ItemSN,ItemID) VALUES('PNLD',9,9,783)</v>
      </c>
    </row>
    <row r="11" spans="1:6">
      <c r="A11" t="s">
        <v>322</v>
      </c>
      <c r="B11">
        <v>10</v>
      </c>
      <c r="C11">
        <v>10</v>
      </c>
      <c r="D11">
        <v>1343</v>
      </c>
      <c r="E11" t="s">
        <v>332</v>
      </c>
      <c r="F11" t="str">
        <f t="shared" si="0"/>
        <v>INSERT INTO tbFinanceItemSeq(Report,ItemSeqID,ItemSN,ItemID) VALUES('PNLD',10,10,1343)</v>
      </c>
    </row>
    <row r="12" spans="1:6">
      <c r="A12" t="s">
        <v>322</v>
      </c>
      <c r="B12">
        <v>11</v>
      </c>
      <c r="C12">
        <v>11</v>
      </c>
      <c r="D12">
        <v>785</v>
      </c>
      <c r="E12" t="s">
        <v>333</v>
      </c>
      <c r="F12" t="str">
        <f t="shared" si="0"/>
        <v>INSERT INTO tbFinanceItemSeq(Report,ItemSeqID,ItemSN,ItemID) VALUES('PNLD',11,11,785)</v>
      </c>
    </row>
    <row r="13" spans="1:6">
      <c r="A13" t="s">
        <v>322</v>
      </c>
      <c r="B13">
        <v>12</v>
      </c>
      <c r="C13">
        <v>12</v>
      </c>
      <c r="D13">
        <v>786</v>
      </c>
      <c r="E13" t="s">
        <v>334</v>
      </c>
      <c r="F13" t="str">
        <f t="shared" si="0"/>
        <v>INSERT INTO tbFinanceItemSeq(Report,ItemSeqID,ItemSN,ItemID) VALUES('PNLD',12,12,786)</v>
      </c>
    </row>
    <row r="14" spans="1:6">
      <c r="A14" t="s">
        <v>322</v>
      </c>
      <c r="B14">
        <v>13</v>
      </c>
      <c r="C14">
        <v>13</v>
      </c>
      <c r="D14">
        <v>787</v>
      </c>
      <c r="E14" t="s">
        <v>335</v>
      </c>
      <c r="F14" t="str">
        <f t="shared" si="0"/>
        <v>INSERT INTO tbFinanceItemSeq(Report,ItemSeqID,ItemSN,ItemID) VALUES('PNLD',13,13,787)</v>
      </c>
    </row>
    <row r="15" spans="1:6">
      <c r="A15" t="s">
        <v>322</v>
      </c>
      <c r="B15">
        <v>14</v>
      </c>
      <c r="C15">
        <v>14</v>
      </c>
      <c r="D15">
        <v>788</v>
      </c>
      <c r="E15" t="s">
        <v>336</v>
      </c>
      <c r="F15" t="str">
        <f t="shared" si="0"/>
        <v>INSERT INTO tbFinanceItemSeq(Report,ItemSeqID,ItemSN,ItemID) VALUES('PNLD',14,14,788)</v>
      </c>
    </row>
    <row r="16" spans="1:6">
      <c r="A16" t="s">
        <v>322</v>
      </c>
      <c r="B16">
        <v>15</v>
      </c>
      <c r="C16">
        <v>15</v>
      </c>
      <c r="D16">
        <v>789</v>
      </c>
      <c r="E16" t="s">
        <v>337</v>
      </c>
      <c r="F16" t="str">
        <f t="shared" si="0"/>
        <v>INSERT INTO tbFinanceItemSeq(Report,ItemSeqID,ItemSN,ItemID) VALUES('PNLD',15,15,789)</v>
      </c>
    </row>
    <row r="17" spans="1:6">
      <c r="A17" t="s">
        <v>322</v>
      </c>
      <c r="B17">
        <v>16</v>
      </c>
      <c r="C17">
        <v>16</v>
      </c>
      <c r="D17">
        <v>790</v>
      </c>
      <c r="E17" t="s">
        <v>338</v>
      </c>
      <c r="F17" t="str">
        <f t="shared" si="0"/>
        <v>INSERT INTO tbFinanceItemSeq(Report,ItemSeqID,ItemSN,ItemID) VALUES('PNLD',16,16,790)</v>
      </c>
    </row>
    <row r="18" spans="1:6">
      <c r="A18" t="s">
        <v>322</v>
      </c>
      <c r="B18">
        <v>17</v>
      </c>
      <c r="C18">
        <v>17</v>
      </c>
      <c r="D18">
        <v>791</v>
      </c>
      <c r="E18" t="s">
        <v>339</v>
      </c>
      <c r="F18" t="str">
        <f t="shared" si="0"/>
        <v>INSERT INTO tbFinanceItemSeq(Report,ItemSeqID,ItemSN,ItemID) VALUES('PNLD',17,17,791)</v>
      </c>
    </row>
    <row r="19" spans="1:6">
      <c r="A19" t="s">
        <v>322</v>
      </c>
      <c r="B19">
        <v>18</v>
      </c>
      <c r="C19">
        <v>18</v>
      </c>
      <c r="D19">
        <v>792</v>
      </c>
      <c r="E19" t="s">
        <v>340</v>
      </c>
      <c r="F19" t="str">
        <f t="shared" si="0"/>
        <v>INSERT INTO tbFinanceItemSeq(Report,ItemSeqID,ItemSN,ItemID) VALUES('PNLD',18,18,792)</v>
      </c>
    </row>
    <row r="20" spans="1:6">
      <c r="A20" t="s">
        <v>322</v>
      </c>
      <c r="B20">
        <v>19</v>
      </c>
      <c r="C20">
        <v>19</v>
      </c>
      <c r="D20">
        <v>793</v>
      </c>
      <c r="E20" t="s">
        <v>341</v>
      </c>
      <c r="F20" t="str">
        <f t="shared" si="0"/>
        <v>INSERT INTO tbFinanceItemSeq(Report,ItemSeqID,ItemSN,ItemID) VALUES('PNLD',19,19,793)</v>
      </c>
    </row>
    <row r="21" spans="1:6">
      <c r="A21" t="s">
        <v>322</v>
      </c>
      <c r="B21">
        <v>20</v>
      </c>
      <c r="C21">
        <v>20</v>
      </c>
      <c r="D21">
        <v>1344</v>
      </c>
      <c r="E21" t="s">
        <v>342</v>
      </c>
      <c r="F21" t="str">
        <f t="shared" si="0"/>
        <v>INSERT INTO tbFinanceItemSeq(Report,ItemSeqID,ItemSN,ItemID) VALUES('PNLD',20,20,1344)</v>
      </c>
    </row>
    <row r="22" spans="1:6">
      <c r="A22" t="s">
        <v>322</v>
      </c>
      <c r="B22">
        <v>21</v>
      </c>
      <c r="C22">
        <v>21</v>
      </c>
      <c r="D22">
        <v>795</v>
      </c>
      <c r="E22" t="s">
        <v>343</v>
      </c>
      <c r="F22" t="str">
        <f t="shared" si="0"/>
        <v>INSERT INTO tbFinanceItemSeq(Report,ItemSeqID,ItemSN,ItemID) VALUES('PNLD',21,21,795)</v>
      </c>
    </row>
    <row r="23" spans="1:6">
      <c r="A23" t="s">
        <v>322</v>
      </c>
      <c r="B23">
        <v>22</v>
      </c>
      <c r="C23">
        <v>22</v>
      </c>
      <c r="D23">
        <v>796</v>
      </c>
      <c r="E23" t="s">
        <v>344</v>
      </c>
      <c r="F23" t="str">
        <f t="shared" si="0"/>
        <v>INSERT INTO tbFinanceItemSeq(Report,ItemSeqID,ItemSN,ItemID) VALUES('PNLD',22,22,796)</v>
      </c>
    </row>
    <row r="24" spans="1:6">
      <c r="A24" t="s">
        <v>322</v>
      </c>
      <c r="B24">
        <v>23</v>
      </c>
      <c r="C24">
        <v>23</v>
      </c>
      <c r="D24">
        <v>797</v>
      </c>
      <c r="E24" t="s">
        <v>345</v>
      </c>
      <c r="F24" t="str">
        <f t="shared" si="0"/>
        <v>INSERT INTO tbFinanceItemSeq(Report,ItemSeqID,ItemSN,ItemID) VALUES('PNLD',23,23,797)</v>
      </c>
    </row>
    <row r="25" spans="1:6">
      <c r="A25" t="s">
        <v>322</v>
      </c>
      <c r="B25">
        <v>24</v>
      </c>
      <c r="C25">
        <v>24</v>
      </c>
      <c r="D25">
        <v>798</v>
      </c>
      <c r="E25" t="s">
        <v>346</v>
      </c>
      <c r="F25" t="str">
        <f t="shared" si="0"/>
        <v>INSERT INTO tbFinanceItemSeq(Report,ItemSeqID,ItemSN,ItemID) VALUES('PNLD',24,24,798)</v>
      </c>
    </row>
    <row r="26" spans="1:6">
      <c r="A26" t="s">
        <v>322</v>
      </c>
      <c r="B26">
        <v>25</v>
      </c>
      <c r="C26">
        <v>25</v>
      </c>
      <c r="D26">
        <v>799</v>
      </c>
      <c r="E26" t="s">
        <v>347</v>
      </c>
      <c r="F26" t="str">
        <f t="shared" si="0"/>
        <v>INSERT INTO tbFinanceItemSeq(Report,ItemSeqID,ItemSN,ItemID) VALUES('PNLD',25,25,799)</v>
      </c>
    </row>
    <row r="27" spans="1:6">
      <c r="A27" t="s">
        <v>322</v>
      </c>
      <c r="B27">
        <v>26</v>
      </c>
      <c r="C27">
        <v>26</v>
      </c>
      <c r="D27">
        <v>800</v>
      </c>
      <c r="E27" t="s">
        <v>348</v>
      </c>
      <c r="F27" t="str">
        <f t="shared" si="0"/>
        <v>INSERT INTO tbFinanceItemSeq(Report,ItemSeqID,ItemSN,ItemID) VALUES('PNLD',26,26,800)</v>
      </c>
    </row>
    <row r="28" spans="1:6">
      <c r="A28" t="s">
        <v>322</v>
      </c>
      <c r="B28">
        <v>27</v>
      </c>
      <c r="C28">
        <v>27</v>
      </c>
      <c r="D28">
        <v>801</v>
      </c>
      <c r="E28" t="s">
        <v>349</v>
      </c>
      <c r="F28" t="str">
        <f t="shared" si="0"/>
        <v>INSERT INTO tbFinanceItemSeq(Report,ItemSeqID,ItemSN,ItemID) VALUES('PNLD',27,27,801)</v>
      </c>
    </row>
    <row r="29" spans="1:6">
      <c r="A29" t="s">
        <v>322</v>
      </c>
      <c r="B29">
        <v>28</v>
      </c>
      <c r="C29">
        <v>28</v>
      </c>
      <c r="D29">
        <v>802</v>
      </c>
      <c r="E29" t="s">
        <v>350</v>
      </c>
      <c r="F29" t="str">
        <f t="shared" si="0"/>
        <v>INSERT INTO tbFinanceItemSeq(Report,ItemSeqID,ItemSN,ItemID) VALUES('PNLD',28,28,802)</v>
      </c>
    </row>
    <row r="30" spans="1:6">
      <c r="A30" t="s">
        <v>322</v>
      </c>
      <c r="B30">
        <v>29</v>
      </c>
      <c r="C30">
        <v>29</v>
      </c>
      <c r="D30">
        <v>803</v>
      </c>
      <c r="E30" t="s">
        <v>351</v>
      </c>
      <c r="F30" t="str">
        <f t="shared" si="0"/>
        <v>INSERT INTO tbFinanceItemSeq(Report,ItemSeqID,ItemSN,ItemID) VALUES('PNLD',29,29,803)</v>
      </c>
    </row>
    <row r="31" spans="1:6">
      <c r="A31" t="s">
        <v>322</v>
      </c>
      <c r="B31">
        <v>30</v>
      </c>
      <c r="C31">
        <v>30</v>
      </c>
      <c r="D31">
        <v>1345</v>
      </c>
      <c r="E31" t="s">
        <v>352</v>
      </c>
      <c r="F31" t="str">
        <f t="shared" si="0"/>
        <v>INSERT INTO tbFinanceItemSeq(Report,ItemSeqID,ItemSN,ItemID) VALUES('PNLD',30,30,1345)</v>
      </c>
    </row>
    <row r="32" spans="1:6">
      <c r="A32" t="s">
        <v>322</v>
      </c>
      <c r="B32">
        <v>31</v>
      </c>
      <c r="C32">
        <v>31</v>
      </c>
      <c r="D32">
        <v>804</v>
      </c>
      <c r="E32" t="s">
        <v>353</v>
      </c>
      <c r="F32" t="str">
        <f t="shared" si="0"/>
        <v>INSERT INTO tbFinanceItemSeq(Report,ItemSeqID,ItemSN,ItemID) VALUES('PNLD',31,31,804)</v>
      </c>
    </row>
    <row r="33" spans="1:6">
      <c r="A33" t="s">
        <v>322</v>
      </c>
      <c r="B33">
        <v>32</v>
      </c>
      <c r="C33">
        <v>32</v>
      </c>
      <c r="D33">
        <v>806</v>
      </c>
      <c r="E33" t="s">
        <v>354</v>
      </c>
      <c r="F33" t="str">
        <f t="shared" si="0"/>
        <v>INSERT INTO tbFinanceItemSeq(Report,ItemSeqID,ItemSN,ItemID) VALUES('PNLD',32,32,806)</v>
      </c>
    </row>
    <row r="34" spans="1:6">
      <c r="A34" t="s">
        <v>322</v>
      </c>
      <c r="B34">
        <v>33</v>
      </c>
      <c r="C34">
        <v>33</v>
      </c>
      <c r="D34">
        <v>807</v>
      </c>
      <c r="E34" t="s">
        <v>355</v>
      </c>
      <c r="F34" t="str">
        <f t="shared" si="0"/>
        <v>INSERT INTO tbFinanceItemSeq(Report,ItemSeqID,ItemSN,ItemID) VALUES('PNLD',33,33,807)</v>
      </c>
    </row>
    <row r="35" spans="1:6">
      <c r="A35" t="s">
        <v>322</v>
      </c>
      <c r="B35">
        <v>34</v>
      </c>
      <c r="C35">
        <v>34</v>
      </c>
      <c r="D35">
        <v>808</v>
      </c>
      <c r="E35" t="s">
        <v>356</v>
      </c>
      <c r="F35" t="str">
        <f t="shared" si="0"/>
        <v>INSERT INTO tbFinanceItemSeq(Report,ItemSeqID,ItemSN,ItemID) VALUES('PNLD',34,34,808)</v>
      </c>
    </row>
    <row r="36" spans="1:6">
      <c r="A36" t="s">
        <v>322</v>
      </c>
      <c r="B36">
        <v>35</v>
      </c>
      <c r="C36">
        <v>35</v>
      </c>
      <c r="D36">
        <v>809</v>
      </c>
      <c r="E36" t="s">
        <v>357</v>
      </c>
      <c r="F36" t="str">
        <f t="shared" si="0"/>
        <v>INSERT INTO tbFinanceItemSeq(Report,ItemSeqID,ItemSN,ItemID) VALUES('PNLD',35,35,809)</v>
      </c>
    </row>
    <row r="37" spans="1:6">
      <c r="A37" t="s">
        <v>322</v>
      </c>
      <c r="B37">
        <v>36</v>
      </c>
      <c r="C37">
        <v>36</v>
      </c>
      <c r="D37">
        <v>810</v>
      </c>
      <c r="E37" t="s">
        <v>358</v>
      </c>
      <c r="F37" t="str">
        <f t="shared" si="0"/>
        <v>INSERT INTO tbFinanceItemSeq(Report,ItemSeqID,ItemSN,ItemID) VALUES('PNLD',36,36,810)</v>
      </c>
    </row>
    <row r="38" spans="1:6">
      <c r="A38" t="s">
        <v>322</v>
      </c>
      <c r="B38">
        <v>37</v>
      </c>
      <c r="C38">
        <v>37</v>
      </c>
      <c r="D38">
        <v>811</v>
      </c>
      <c r="E38" t="s">
        <v>359</v>
      </c>
      <c r="F38" t="str">
        <f t="shared" si="0"/>
        <v>INSERT INTO tbFinanceItemSeq(Report,ItemSeqID,ItemSN,ItemID) VALUES('PNLD',37,37,811)</v>
      </c>
    </row>
    <row r="39" spans="1:6">
      <c r="A39" t="s">
        <v>322</v>
      </c>
      <c r="B39">
        <v>38</v>
      </c>
      <c r="C39">
        <v>38</v>
      </c>
      <c r="D39">
        <v>812</v>
      </c>
      <c r="E39" t="s">
        <v>360</v>
      </c>
      <c r="F39" t="str">
        <f t="shared" si="0"/>
        <v>INSERT INTO tbFinanceItemSeq(Report,ItemSeqID,ItemSN,ItemID) VALUES('PNLD',38,38,812)</v>
      </c>
    </row>
    <row r="40" spans="1:6">
      <c r="A40" t="s">
        <v>322</v>
      </c>
      <c r="B40">
        <v>39</v>
      </c>
      <c r="C40">
        <v>39</v>
      </c>
      <c r="D40">
        <v>1411</v>
      </c>
      <c r="E40" t="s">
        <v>361</v>
      </c>
      <c r="F40" t="str">
        <f t="shared" si="0"/>
        <v>INSERT INTO tbFinanceItemSeq(Report,ItemSeqID,ItemSN,ItemID) VALUES('PNLD',39,39,1411)</v>
      </c>
    </row>
    <row r="41" spans="1:6">
      <c r="A41" t="s">
        <v>322</v>
      </c>
      <c r="B41">
        <v>40</v>
      </c>
      <c r="C41">
        <v>40</v>
      </c>
      <c r="D41">
        <v>1387</v>
      </c>
      <c r="E41" t="s">
        <v>362</v>
      </c>
      <c r="F41" t="str">
        <f t="shared" si="0"/>
        <v>INSERT INTO tbFinanceItemSeq(Report,ItemSeqID,ItemSN,ItemID) VALUES('PNLD',40,40,1387)</v>
      </c>
    </row>
    <row r="42" spans="1:6">
      <c r="A42" t="s">
        <v>322</v>
      </c>
      <c r="B42">
        <v>41</v>
      </c>
      <c r="C42">
        <v>41</v>
      </c>
      <c r="D42">
        <v>1346</v>
      </c>
      <c r="E42" t="s">
        <v>363</v>
      </c>
      <c r="F42" t="str">
        <f t="shared" si="0"/>
        <v>INSERT INTO tbFinanceItemSeq(Report,ItemSeqID,ItemSN,ItemID) VALUES('PNLD',41,41,1346)</v>
      </c>
    </row>
    <row r="43" spans="1:6">
      <c r="A43" t="s">
        <v>322</v>
      </c>
      <c r="B43">
        <v>42</v>
      </c>
      <c r="C43">
        <v>42</v>
      </c>
      <c r="D43">
        <v>814</v>
      </c>
      <c r="E43" t="s">
        <v>364</v>
      </c>
      <c r="F43" t="str">
        <f t="shared" si="0"/>
        <v>INSERT INTO tbFinanceItemSeq(Report,ItemSeqID,ItemSN,ItemID) VALUES('PNLD',42,42,814)</v>
      </c>
    </row>
    <row r="44" spans="1:6">
      <c r="A44" t="s">
        <v>322</v>
      </c>
      <c r="B44">
        <v>43</v>
      </c>
      <c r="C44">
        <v>43</v>
      </c>
      <c r="D44">
        <v>815</v>
      </c>
      <c r="E44" t="s">
        <v>365</v>
      </c>
      <c r="F44" t="str">
        <f t="shared" si="0"/>
        <v>INSERT INTO tbFinanceItemSeq(Report,ItemSeqID,ItemSN,ItemID) VALUES('PNLD',43,43,815)</v>
      </c>
    </row>
    <row r="45" spans="1:6">
      <c r="A45" t="s">
        <v>322</v>
      </c>
      <c r="B45">
        <v>44</v>
      </c>
      <c r="C45">
        <v>44</v>
      </c>
      <c r="D45">
        <v>816</v>
      </c>
      <c r="E45" t="s">
        <v>366</v>
      </c>
      <c r="F45" t="str">
        <f t="shared" si="0"/>
        <v>INSERT INTO tbFinanceItemSeq(Report,ItemSeqID,ItemSN,ItemID) VALUES('PNLD',44,44,816)</v>
      </c>
    </row>
    <row r="46" spans="1:6">
      <c r="A46" t="s">
        <v>322</v>
      </c>
      <c r="B46">
        <v>45</v>
      </c>
      <c r="C46">
        <v>45</v>
      </c>
      <c r="D46">
        <v>817</v>
      </c>
      <c r="E46" t="s">
        <v>367</v>
      </c>
      <c r="F46" t="str">
        <f t="shared" si="0"/>
        <v>INSERT INTO tbFinanceItemSeq(Report,ItemSeqID,ItemSN,ItemID) VALUES('PNLD',45,45,817)</v>
      </c>
    </row>
    <row r="47" spans="1:6">
      <c r="A47" t="s">
        <v>322</v>
      </c>
      <c r="B47">
        <v>46</v>
      </c>
      <c r="C47">
        <v>46</v>
      </c>
      <c r="D47">
        <v>818</v>
      </c>
      <c r="E47" t="s">
        <v>368</v>
      </c>
      <c r="F47" t="str">
        <f t="shared" si="0"/>
        <v>INSERT INTO tbFinanceItemSeq(Report,ItemSeqID,ItemSN,ItemID) VALUES('PNLD',46,46,818)</v>
      </c>
    </row>
    <row r="48" spans="1:6">
      <c r="A48" t="s">
        <v>322</v>
      </c>
      <c r="B48">
        <v>47</v>
      </c>
      <c r="C48">
        <v>47</v>
      </c>
      <c r="D48">
        <v>819</v>
      </c>
      <c r="E48" t="s">
        <v>369</v>
      </c>
      <c r="F48" t="str">
        <f t="shared" si="0"/>
        <v>INSERT INTO tbFinanceItemSeq(Report,ItemSeqID,ItemSN,ItemID) VALUES('PNLD',47,47,819)</v>
      </c>
    </row>
    <row r="49" spans="1:6">
      <c r="A49" t="s">
        <v>322</v>
      </c>
      <c r="B49">
        <v>48</v>
      </c>
      <c r="C49">
        <v>48</v>
      </c>
      <c r="D49">
        <v>820</v>
      </c>
      <c r="E49" t="s">
        <v>370</v>
      </c>
      <c r="F49" t="str">
        <f t="shared" si="0"/>
        <v>INSERT INTO tbFinanceItemSeq(Report,ItemSeqID,ItemSN,ItemID) VALUES('PNLD',48,48,820)</v>
      </c>
    </row>
    <row r="50" spans="1:6">
      <c r="A50" t="s">
        <v>322</v>
      </c>
      <c r="B50">
        <v>49</v>
      </c>
      <c r="C50">
        <v>49</v>
      </c>
      <c r="D50">
        <v>1412</v>
      </c>
      <c r="E50" t="s">
        <v>371</v>
      </c>
      <c r="F50" t="str">
        <f t="shared" si="0"/>
        <v>INSERT INTO tbFinanceItemSeq(Report,ItemSeqID,ItemSN,ItemID) VALUES('PNLD',49,49,1412)</v>
      </c>
    </row>
    <row r="51" spans="1:6">
      <c r="A51" t="s">
        <v>322</v>
      </c>
      <c r="B51">
        <v>50</v>
      </c>
      <c r="C51">
        <v>50</v>
      </c>
      <c r="D51">
        <v>1347</v>
      </c>
      <c r="E51" t="s">
        <v>372</v>
      </c>
      <c r="F51" t="str">
        <f t="shared" si="0"/>
        <v>INSERT INTO tbFinanceItemSeq(Report,ItemSeqID,ItemSN,ItemID) VALUES('PNLD',50,50,1347)</v>
      </c>
    </row>
    <row r="52" spans="1:6">
      <c r="A52" t="s">
        <v>322</v>
      </c>
      <c r="B52">
        <v>51</v>
      </c>
      <c r="C52">
        <v>51</v>
      </c>
      <c r="D52">
        <v>822</v>
      </c>
      <c r="E52" t="s">
        <v>373</v>
      </c>
      <c r="F52" t="str">
        <f t="shared" si="0"/>
        <v>INSERT INTO tbFinanceItemSeq(Report,ItemSeqID,ItemSN,ItemID) VALUES('PNLD',51,51,822)</v>
      </c>
    </row>
    <row r="53" spans="1:6">
      <c r="A53" t="s">
        <v>322</v>
      </c>
      <c r="B53">
        <v>52</v>
      </c>
      <c r="C53">
        <v>52</v>
      </c>
      <c r="D53">
        <v>823</v>
      </c>
      <c r="E53" t="s">
        <v>374</v>
      </c>
      <c r="F53" t="str">
        <f t="shared" si="0"/>
        <v>INSERT INTO tbFinanceItemSeq(Report,ItemSeqID,ItemSN,ItemID) VALUES('PNLD',52,52,823)</v>
      </c>
    </row>
    <row r="54" spans="1:6">
      <c r="A54" t="s">
        <v>322</v>
      </c>
      <c r="B54">
        <v>53</v>
      </c>
      <c r="C54">
        <v>53</v>
      </c>
      <c r="D54">
        <v>824</v>
      </c>
      <c r="E54" t="s">
        <v>375</v>
      </c>
      <c r="F54" t="str">
        <f t="shared" si="0"/>
        <v>INSERT INTO tbFinanceItemSeq(Report,ItemSeqID,ItemSN,ItemID) VALUES('PNLD',53,53,824)</v>
      </c>
    </row>
    <row r="55" spans="1:6">
      <c r="A55" t="s">
        <v>322</v>
      </c>
      <c r="B55">
        <v>54</v>
      </c>
      <c r="C55">
        <v>54</v>
      </c>
      <c r="D55">
        <v>825</v>
      </c>
      <c r="E55" t="s">
        <v>376</v>
      </c>
      <c r="F55" t="str">
        <f t="shared" si="0"/>
        <v>INSERT INTO tbFinanceItemSeq(Report,ItemSeqID,ItemSN,ItemID) VALUES('PNLD',54,54,825)</v>
      </c>
    </row>
    <row r="56" spans="1:6">
      <c r="A56" t="s">
        <v>322</v>
      </c>
      <c r="B56">
        <v>55</v>
      </c>
      <c r="C56">
        <v>55</v>
      </c>
      <c r="D56">
        <v>826</v>
      </c>
      <c r="E56" t="s">
        <v>377</v>
      </c>
      <c r="F56" t="str">
        <f t="shared" si="0"/>
        <v>INSERT INTO tbFinanceItemSeq(Report,ItemSeqID,ItemSN,ItemID) VALUES('PNLD',55,55,826)</v>
      </c>
    </row>
    <row r="57" spans="1:6">
      <c r="A57" t="s">
        <v>322</v>
      </c>
      <c r="B57">
        <v>56</v>
      </c>
      <c r="C57">
        <v>56</v>
      </c>
      <c r="D57">
        <v>827</v>
      </c>
      <c r="E57" t="s">
        <v>378</v>
      </c>
      <c r="F57" t="str">
        <f t="shared" si="0"/>
        <v>INSERT INTO tbFinanceItemSeq(Report,ItemSeqID,ItemSN,ItemID) VALUES('PNLD',56,56,827)</v>
      </c>
    </row>
    <row r="58" spans="1:6">
      <c r="A58" t="s">
        <v>322</v>
      </c>
      <c r="B58">
        <v>57</v>
      </c>
      <c r="C58">
        <v>57</v>
      </c>
      <c r="D58">
        <v>828</v>
      </c>
      <c r="E58" t="s">
        <v>379</v>
      </c>
      <c r="F58" t="str">
        <f t="shared" si="0"/>
        <v>INSERT INTO tbFinanceItemSeq(Report,ItemSeqID,ItemSN,ItemID) VALUES('PNLD',57,57,828)</v>
      </c>
    </row>
    <row r="59" spans="1:6">
      <c r="A59" t="s">
        <v>322</v>
      </c>
      <c r="B59">
        <v>58</v>
      </c>
      <c r="C59">
        <v>58</v>
      </c>
      <c r="D59">
        <v>1348</v>
      </c>
      <c r="E59" t="s">
        <v>380</v>
      </c>
      <c r="F59" t="str">
        <f t="shared" si="0"/>
        <v>INSERT INTO tbFinanceItemSeq(Report,ItemSeqID,ItemSN,ItemID) VALUES('PNLD',58,58,1348)</v>
      </c>
    </row>
    <row r="60" spans="1:6">
      <c r="A60" t="s">
        <v>322</v>
      </c>
      <c r="B60">
        <v>59</v>
      </c>
      <c r="C60">
        <v>59</v>
      </c>
      <c r="D60">
        <v>829</v>
      </c>
      <c r="E60" t="s">
        <v>381</v>
      </c>
      <c r="F60" t="str">
        <f t="shared" si="0"/>
        <v>INSERT INTO tbFinanceItemSeq(Report,ItemSeqID,ItemSN,ItemID) VALUES('PNLD',59,59,829)</v>
      </c>
    </row>
    <row r="61" spans="1:6">
      <c r="A61" t="s">
        <v>322</v>
      </c>
      <c r="B61">
        <v>60</v>
      </c>
      <c r="C61">
        <v>60</v>
      </c>
      <c r="D61">
        <v>830</v>
      </c>
      <c r="E61" t="s">
        <v>382</v>
      </c>
      <c r="F61" t="str">
        <f t="shared" si="0"/>
        <v>INSERT INTO tbFinanceItemSeq(Report,ItemSeqID,ItemSN,ItemID) VALUES('PNLD',60,60,830)</v>
      </c>
    </row>
    <row r="62" spans="1:6">
      <c r="A62" t="s">
        <v>322</v>
      </c>
      <c r="B62">
        <v>61</v>
      </c>
      <c r="C62">
        <v>61</v>
      </c>
      <c r="D62">
        <v>831</v>
      </c>
      <c r="E62" t="s">
        <v>383</v>
      </c>
      <c r="F62" t="str">
        <f t="shared" si="0"/>
        <v>INSERT INTO tbFinanceItemSeq(Report,ItemSeqID,ItemSN,ItemID) VALUES('PNLD',61,61,831)</v>
      </c>
    </row>
    <row r="63" spans="1:6">
      <c r="A63" t="s">
        <v>322</v>
      </c>
      <c r="B63">
        <v>62</v>
      </c>
      <c r="C63">
        <v>62</v>
      </c>
      <c r="D63">
        <v>832</v>
      </c>
      <c r="E63" t="s">
        <v>384</v>
      </c>
      <c r="F63" t="str">
        <f t="shared" si="0"/>
        <v>INSERT INTO tbFinanceItemSeq(Report,ItemSeqID,ItemSN,ItemID) VALUES('PNLD',62,62,832)</v>
      </c>
    </row>
    <row r="64" spans="1:6">
      <c r="A64" t="s">
        <v>322</v>
      </c>
      <c r="B64">
        <v>63</v>
      </c>
      <c r="C64">
        <v>63</v>
      </c>
      <c r="D64">
        <v>833</v>
      </c>
      <c r="E64" t="s">
        <v>385</v>
      </c>
      <c r="F64" t="str">
        <f t="shared" si="0"/>
        <v>INSERT INTO tbFinanceItemSeq(Report,ItemSeqID,ItemSN,ItemID) VALUES('PNLD',63,63,833)</v>
      </c>
    </row>
    <row r="65" spans="1:6">
      <c r="A65" t="s">
        <v>322</v>
      </c>
      <c r="B65">
        <v>64</v>
      </c>
      <c r="C65">
        <v>64</v>
      </c>
      <c r="D65">
        <v>834</v>
      </c>
      <c r="E65" t="s">
        <v>386</v>
      </c>
      <c r="F65" t="str">
        <f t="shared" si="0"/>
        <v>INSERT INTO tbFinanceItemSeq(Report,ItemSeqID,ItemSN,ItemID) VALUES('PNLD',64,64,834)</v>
      </c>
    </row>
    <row r="66" spans="1:6">
      <c r="A66" t="s">
        <v>322</v>
      </c>
      <c r="B66">
        <v>65</v>
      </c>
      <c r="C66">
        <v>65</v>
      </c>
      <c r="D66">
        <v>835</v>
      </c>
      <c r="E66" t="s">
        <v>387</v>
      </c>
      <c r="F66" t="str">
        <f t="shared" si="0"/>
        <v>INSERT INTO tbFinanceItemSeq(Report,ItemSeqID,ItemSN,ItemID) VALUES('PNLD',65,65,835)</v>
      </c>
    </row>
    <row r="67" spans="1:6">
      <c r="A67" t="s">
        <v>322</v>
      </c>
      <c r="B67">
        <v>66</v>
      </c>
      <c r="C67">
        <v>66</v>
      </c>
      <c r="D67">
        <v>836</v>
      </c>
      <c r="E67" t="s">
        <v>388</v>
      </c>
      <c r="F67" t="str">
        <f t="shared" ref="F67:F130" si="1">CONCATENATE("INSERT INTO tbFinanceItemSeq(Report,ItemSeqID,ItemSN,ItemID) VALUES('",A67,"',",B67,",",C67,",",D67,")")</f>
        <v>INSERT INTO tbFinanceItemSeq(Report,ItemSeqID,ItemSN,ItemID) VALUES('PNLD',66,66,836)</v>
      </c>
    </row>
    <row r="68" spans="1:6">
      <c r="A68" t="s">
        <v>322</v>
      </c>
      <c r="B68">
        <v>67</v>
      </c>
      <c r="C68">
        <v>67</v>
      </c>
      <c r="D68">
        <v>837</v>
      </c>
      <c r="E68" t="s">
        <v>389</v>
      </c>
      <c r="F68" t="str">
        <f t="shared" si="1"/>
        <v>INSERT INTO tbFinanceItemSeq(Report,ItemSeqID,ItemSN,ItemID) VALUES('PNLD',67,67,837)</v>
      </c>
    </row>
    <row r="69" spans="1:6">
      <c r="A69" t="s">
        <v>322</v>
      </c>
      <c r="B69">
        <v>68</v>
      </c>
      <c r="C69">
        <v>68</v>
      </c>
      <c r="D69">
        <v>838</v>
      </c>
      <c r="E69" t="s">
        <v>390</v>
      </c>
      <c r="F69" t="str">
        <f t="shared" si="1"/>
        <v>INSERT INTO tbFinanceItemSeq(Report,ItemSeqID,ItemSN,ItemID) VALUES('PNLD',68,68,838)</v>
      </c>
    </row>
    <row r="70" spans="1:6">
      <c r="A70" t="s">
        <v>322</v>
      </c>
      <c r="B70">
        <v>69</v>
      </c>
      <c r="C70">
        <v>0</v>
      </c>
      <c r="D70">
        <v>839</v>
      </c>
      <c r="E70" t="s">
        <v>391</v>
      </c>
      <c r="F70" t="str">
        <f t="shared" si="1"/>
        <v>INSERT INTO tbFinanceItemSeq(Report,ItemSeqID,ItemSN,ItemID) VALUES('PNLD',69,0,839)</v>
      </c>
    </row>
    <row r="71" spans="1:6">
      <c r="A71" t="s">
        <v>322</v>
      </c>
      <c r="B71">
        <v>70</v>
      </c>
      <c r="C71">
        <v>69</v>
      </c>
      <c r="D71">
        <v>840</v>
      </c>
      <c r="E71" t="s">
        <v>392</v>
      </c>
      <c r="F71" t="str">
        <f t="shared" si="1"/>
        <v>INSERT INTO tbFinanceItemSeq(Report,ItemSeqID,ItemSN,ItemID) VALUES('PNLD',70,69,840)</v>
      </c>
    </row>
    <row r="72" spans="1:6">
      <c r="A72" t="s">
        <v>322</v>
      </c>
      <c r="B72">
        <v>71</v>
      </c>
      <c r="C72">
        <v>70</v>
      </c>
      <c r="D72">
        <v>841</v>
      </c>
      <c r="E72" t="s">
        <v>393</v>
      </c>
      <c r="F72" t="str">
        <f t="shared" si="1"/>
        <v>INSERT INTO tbFinanceItemSeq(Report,ItemSeqID,ItemSN,ItemID) VALUES('PNLD',71,70,841)</v>
      </c>
    </row>
    <row r="73" spans="1:6">
      <c r="A73" t="s">
        <v>322</v>
      </c>
      <c r="B73">
        <v>72</v>
      </c>
      <c r="C73">
        <v>71</v>
      </c>
      <c r="D73">
        <v>842</v>
      </c>
      <c r="E73" t="s">
        <v>394</v>
      </c>
      <c r="F73" t="str">
        <f t="shared" si="1"/>
        <v>INSERT INTO tbFinanceItemSeq(Report,ItemSeqID,ItemSN,ItemID) VALUES('PNLD',72,71,842)</v>
      </c>
    </row>
    <row r="74" spans="1:6">
      <c r="A74" t="s">
        <v>322</v>
      </c>
      <c r="B74">
        <v>73</v>
      </c>
      <c r="C74">
        <v>72</v>
      </c>
      <c r="D74">
        <v>843</v>
      </c>
      <c r="E74" t="s">
        <v>395</v>
      </c>
      <c r="F74" t="str">
        <f t="shared" si="1"/>
        <v>INSERT INTO tbFinanceItemSeq(Report,ItemSeqID,ItemSN,ItemID) VALUES('PNLD',73,72,843)</v>
      </c>
    </row>
    <row r="75" spans="1:6">
      <c r="A75" t="s">
        <v>322</v>
      </c>
      <c r="B75">
        <v>74</v>
      </c>
      <c r="C75">
        <v>73</v>
      </c>
      <c r="D75">
        <v>844</v>
      </c>
      <c r="E75" t="s">
        <v>396</v>
      </c>
      <c r="F75" t="str">
        <f t="shared" si="1"/>
        <v>INSERT INTO tbFinanceItemSeq(Report,ItemSeqID,ItemSN,ItemID) VALUES('PNLD',74,73,844)</v>
      </c>
    </row>
    <row r="76" spans="1:6">
      <c r="A76" t="s">
        <v>322</v>
      </c>
      <c r="B76">
        <v>75</v>
      </c>
      <c r="C76">
        <v>74</v>
      </c>
      <c r="D76">
        <v>1388</v>
      </c>
      <c r="E76" t="s">
        <v>397</v>
      </c>
      <c r="F76" t="str">
        <f t="shared" si="1"/>
        <v>INSERT INTO tbFinanceItemSeq(Report,ItemSeqID,ItemSN,ItemID) VALUES('PNLD',75,74,1388)</v>
      </c>
    </row>
    <row r="77" spans="1:6">
      <c r="A77" t="s">
        <v>322</v>
      </c>
      <c r="B77">
        <v>76</v>
      </c>
      <c r="C77">
        <v>75</v>
      </c>
      <c r="D77">
        <v>845</v>
      </c>
      <c r="E77" t="s">
        <v>398</v>
      </c>
      <c r="F77" t="str">
        <f t="shared" si="1"/>
        <v>INSERT INTO tbFinanceItemSeq(Report,ItemSeqID,ItemSN,ItemID) VALUES('PNLD',76,75,845)</v>
      </c>
    </row>
    <row r="78" spans="1:6">
      <c r="A78" t="s">
        <v>322</v>
      </c>
      <c r="B78">
        <v>77</v>
      </c>
      <c r="C78">
        <v>76</v>
      </c>
      <c r="D78">
        <v>1349</v>
      </c>
      <c r="E78" t="s">
        <v>399</v>
      </c>
      <c r="F78" t="str">
        <f t="shared" si="1"/>
        <v>INSERT INTO tbFinanceItemSeq(Report,ItemSeqID,ItemSN,ItemID) VALUES('PNLD',77,76,1349)</v>
      </c>
    </row>
    <row r="79" spans="1:6">
      <c r="A79" t="s">
        <v>322</v>
      </c>
      <c r="B79">
        <v>78</v>
      </c>
      <c r="C79">
        <v>0</v>
      </c>
      <c r="D79">
        <v>846</v>
      </c>
      <c r="E79" t="s">
        <v>400</v>
      </c>
      <c r="F79" t="str">
        <f t="shared" si="1"/>
        <v>INSERT INTO tbFinanceItemSeq(Report,ItemSeqID,ItemSN,ItemID) VALUES('PNLD',78,0,846)</v>
      </c>
    </row>
    <row r="80" spans="1:6">
      <c r="A80" t="s">
        <v>322</v>
      </c>
      <c r="B80">
        <v>79</v>
      </c>
      <c r="C80">
        <v>77</v>
      </c>
      <c r="D80">
        <v>847</v>
      </c>
      <c r="E80" t="s">
        <v>401</v>
      </c>
      <c r="F80" t="str">
        <f t="shared" si="1"/>
        <v>INSERT INTO tbFinanceItemSeq(Report,ItemSeqID,ItemSN,ItemID) VALUES('PNLD',79,77,847)</v>
      </c>
    </row>
    <row r="81" spans="1:6">
      <c r="A81" t="s">
        <v>322</v>
      </c>
      <c r="B81">
        <v>80</v>
      </c>
      <c r="C81">
        <v>78</v>
      </c>
      <c r="D81">
        <v>848</v>
      </c>
      <c r="E81" t="s">
        <v>402</v>
      </c>
      <c r="F81" t="str">
        <f t="shared" si="1"/>
        <v>INSERT INTO tbFinanceItemSeq(Report,ItemSeqID,ItemSN,ItemID) VALUES('PNLD',80,78,848)</v>
      </c>
    </row>
    <row r="82" spans="1:6">
      <c r="A82" t="s">
        <v>322</v>
      </c>
      <c r="B82">
        <v>81</v>
      </c>
      <c r="C82">
        <v>79</v>
      </c>
      <c r="D82">
        <v>849</v>
      </c>
      <c r="E82" t="s">
        <v>403</v>
      </c>
      <c r="F82" t="str">
        <f t="shared" si="1"/>
        <v>INSERT INTO tbFinanceItemSeq(Report,ItemSeqID,ItemSN,ItemID) VALUES('PNLD',81,79,849)</v>
      </c>
    </row>
    <row r="83" spans="1:6">
      <c r="A83" t="s">
        <v>322</v>
      </c>
      <c r="B83">
        <v>82</v>
      </c>
      <c r="C83">
        <v>80</v>
      </c>
      <c r="D83">
        <v>850</v>
      </c>
      <c r="E83" t="s">
        <v>404</v>
      </c>
      <c r="F83" t="str">
        <f t="shared" si="1"/>
        <v>INSERT INTO tbFinanceItemSeq(Report,ItemSeqID,ItemSN,ItemID) VALUES('PNLD',82,80,850)</v>
      </c>
    </row>
    <row r="84" spans="1:6">
      <c r="A84" t="s">
        <v>322</v>
      </c>
      <c r="B84">
        <v>83</v>
      </c>
      <c r="C84">
        <v>81</v>
      </c>
      <c r="D84">
        <v>851</v>
      </c>
      <c r="E84" t="s">
        <v>405</v>
      </c>
      <c r="F84" t="str">
        <f t="shared" si="1"/>
        <v>INSERT INTO tbFinanceItemSeq(Report,ItemSeqID,ItemSN,ItemID) VALUES('PNLD',83,81,851)</v>
      </c>
    </row>
    <row r="85" spans="1:6">
      <c r="A85" t="s">
        <v>322</v>
      </c>
      <c r="B85">
        <v>84</v>
      </c>
      <c r="C85">
        <v>82</v>
      </c>
      <c r="D85">
        <v>852</v>
      </c>
      <c r="E85" t="s">
        <v>406</v>
      </c>
      <c r="F85" t="str">
        <f t="shared" si="1"/>
        <v>INSERT INTO tbFinanceItemSeq(Report,ItemSeqID,ItemSN,ItemID) VALUES('PNLD',84,82,852)</v>
      </c>
    </row>
    <row r="86" spans="1:6">
      <c r="A86" t="s">
        <v>322</v>
      </c>
      <c r="B86">
        <v>85</v>
      </c>
      <c r="C86">
        <v>83</v>
      </c>
      <c r="D86">
        <v>853</v>
      </c>
      <c r="E86" t="s">
        <v>407</v>
      </c>
      <c r="F86" t="str">
        <f t="shared" si="1"/>
        <v>INSERT INTO tbFinanceItemSeq(Report,ItemSeqID,ItemSN,ItemID) VALUES('PNLD',85,83,853)</v>
      </c>
    </row>
    <row r="87" spans="1:6">
      <c r="A87" t="s">
        <v>322</v>
      </c>
      <c r="B87">
        <v>86</v>
      </c>
      <c r="C87">
        <v>84</v>
      </c>
      <c r="D87">
        <v>854</v>
      </c>
      <c r="E87" t="s">
        <v>408</v>
      </c>
      <c r="F87" t="str">
        <f t="shared" si="1"/>
        <v>INSERT INTO tbFinanceItemSeq(Report,ItemSeqID,ItemSN,ItemID) VALUES('PNLD',86,84,854)</v>
      </c>
    </row>
    <row r="88" spans="1:6">
      <c r="A88" t="s">
        <v>322</v>
      </c>
      <c r="B88">
        <v>87</v>
      </c>
      <c r="C88">
        <v>85</v>
      </c>
      <c r="D88">
        <v>855</v>
      </c>
      <c r="E88" t="s">
        <v>409</v>
      </c>
      <c r="F88" t="str">
        <f t="shared" si="1"/>
        <v>INSERT INTO tbFinanceItemSeq(Report,ItemSeqID,ItemSN,ItemID) VALUES('PNLD',87,85,855)</v>
      </c>
    </row>
    <row r="89" spans="1:6">
      <c r="A89" t="s">
        <v>322</v>
      </c>
      <c r="B89">
        <v>88</v>
      </c>
      <c r="C89">
        <v>86</v>
      </c>
      <c r="D89">
        <v>856</v>
      </c>
      <c r="E89" t="s">
        <v>410</v>
      </c>
      <c r="F89" t="str">
        <f t="shared" si="1"/>
        <v>INSERT INTO tbFinanceItemSeq(Report,ItemSeqID,ItemSN,ItemID) VALUES('PNLD',88,86,856)</v>
      </c>
    </row>
    <row r="90" spans="1:6">
      <c r="A90" t="s">
        <v>322</v>
      </c>
      <c r="B90">
        <v>89</v>
      </c>
      <c r="C90">
        <v>87</v>
      </c>
      <c r="D90">
        <v>857</v>
      </c>
      <c r="E90" t="s">
        <v>411</v>
      </c>
      <c r="F90" t="str">
        <f t="shared" si="1"/>
        <v>INSERT INTO tbFinanceItemSeq(Report,ItemSeqID,ItemSN,ItemID) VALUES('PNLD',89,87,857)</v>
      </c>
    </row>
    <row r="91" spans="1:6">
      <c r="A91" t="s">
        <v>322</v>
      </c>
      <c r="B91">
        <v>90</v>
      </c>
      <c r="C91">
        <v>88</v>
      </c>
      <c r="D91">
        <v>1350</v>
      </c>
      <c r="E91" t="s">
        <v>412</v>
      </c>
      <c r="F91" t="str">
        <f t="shared" si="1"/>
        <v>INSERT INTO tbFinanceItemSeq(Report,ItemSeqID,ItemSN,ItemID) VALUES('PNLD',90,88,1350)</v>
      </c>
    </row>
    <row r="92" spans="1:6">
      <c r="A92" t="s">
        <v>322</v>
      </c>
      <c r="B92">
        <v>91</v>
      </c>
      <c r="C92">
        <v>89</v>
      </c>
      <c r="D92">
        <v>858</v>
      </c>
      <c r="E92" t="s">
        <v>413</v>
      </c>
      <c r="F92" t="str">
        <f t="shared" si="1"/>
        <v>INSERT INTO tbFinanceItemSeq(Report,ItemSeqID,ItemSN,ItemID) VALUES('PNLD',91,89,858)</v>
      </c>
    </row>
    <row r="93" spans="1:6">
      <c r="A93" t="s">
        <v>322</v>
      </c>
      <c r="B93">
        <v>92</v>
      </c>
      <c r="C93">
        <v>90</v>
      </c>
      <c r="D93">
        <v>860</v>
      </c>
      <c r="E93" t="s">
        <v>414</v>
      </c>
      <c r="F93" t="str">
        <f t="shared" si="1"/>
        <v>INSERT INTO tbFinanceItemSeq(Report,ItemSeqID,ItemSN,ItemID) VALUES('PNLD',92,90,860)</v>
      </c>
    </row>
    <row r="94" spans="1:6">
      <c r="A94" t="s">
        <v>322</v>
      </c>
      <c r="B94">
        <v>93</v>
      </c>
      <c r="C94">
        <v>91</v>
      </c>
      <c r="D94">
        <v>861</v>
      </c>
      <c r="E94" t="s">
        <v>415</v>
      </c>
      <c r="F94" t="str">
        <f t="shared" si="1"/>
        <v>INSERT INTO tbFinanceItemSeq(Report,ItemSeqID,ItemSN,ItemID) VALUES('PNLD',93,91,861)</v>
      </c>
    </row>
    <row r="95" spans="1:6">
      <c r="A95" t="s">
        <v>322</v>
      </c>
      <c r="B95">
        <v>94</v>
      </c>
      <c r="C95">
        <v>92</v>
      </c>
      <c r="D95">
        <v>862</v>
      </c>
      <c r="E95" t="s">
        <v>416</v>
      </c>
      <c r="F95" t="str">
        <f t="shared" si="1"/>
        <v>INSERT INTO tbFinanceItemSeq(Report,ItemSeqID,ItemSN,ItemID) VALUES('PNLD',94,92,862)</v>
      </c>
    </row>
    <row r="96" spans="1:6">
      <c r="A96" t="s">
        <v>322</v>
      </c>
      <c r="B96">
        <v>95</v>
      </c>
      <c r="C96">
        <v>93</v>
      </c>
      <c r="D96">
        <v>863</v>
      </c>
      <c r="E96" t="s">
        <v>417</v>
      </c>
      <c r="F96" t="str">
        <f t="shared" si="1"/>
        <v>INSERT INTO tbFinanceItemSeq(Report,ItemSeqID,ItemSN,ItemID) VALUES('PNLD',95,93,863)</v>
      </c>
    </row>
    <row r="97" spans="1:6">
      <c r="A97" t="s">
        <v>322</v>
      </c>
      <c r="B97">
        <v>96</v>
      </c>
      <c r="C97">
        <v>94</v>
      </c>
      <c r="D97">
        <v>864</v>
      </c>
      <c r="E97" t="s">
        <v>418</v>
      </c>
      <c r="F97" t="str">
        <f t="shared" si="1"/>
        <v>INSERT INTO tbFinanceItemSeq(Report,ItemSeqID,ItemSN,ItemID) VALUES('PNLD',96,94,864)</v>
      </c>
    </row>
    <row r="98" spans="1:6">
      <c r="A98" t="s">
        <v>322</v>
      </c>
      <c r="B98">
        <v>97</v>
      </c>
      <c r="C98">
        <v>95</v>
      </c>
      <c r="D98">
        <v>865</v>
      </c>
      <c r="E98" t="s">
        <v>419</v>
      </c>
      <c r="F98" t="str">
        <f t="shared" si="1"/>
        <v>INSERT INTO tbFinanceItemSeq(Report,ItemSeqID,ItemSN,ItemID) VALUES('PNLD',97,95,865)</v>
      </c>
    </row>
    <row r="99" spans="1:6">
      <c r="A99" t="s">
        <v>322</v>
      </c>
      <c r="B99">
        <v>98</v>
      </c>
      <c r="C99">
        <v>96</v>
      </c>
      <c r="D99">
        <v>866</v>
      </c>
      <c r="E99" t="s">
        <v>420</v>
      </c>
      <c r="F99" t="str">
        <f t="shared" si="1"/>
        <v>INSERT INTO tbFinanceItemSeq(Report,ItemSeqID,ItemSN,ItemID) VALUES('PNLD',98,96,866)</v>
      </c>
    </row>
    <row r="100" spans="1:6">
      <c r="A100" t="s">
        <v>322</v>
      </c>
      <c r="B100">
        <v>99</v>
      </c>
      <c r="C100">
        <v>97</v>
      </c>
      <c r="D100">
        <v>867</v>
      </c>
      <c r="E100" t="s">
        <v>421</v>
      </c>
      <c r="F100" t="str">
        <f t="shared" si="1"/>
        <v>INSERT INTO tbFinanceItemSeq(Report,ItemSeqID,ItemSN,ItemID) VALUES('PNLD',99,97,867)</v>
      </c>
    </row>
    <row r="101" spans="1:6">
      <c r="A101" t="s">
        <v>322</v>
      </c>
      <c r="B101">
        <v>100</v>
      </c>
      <c r="C101">
        <v>98</v>
      </c>
      <c r="D101">
        <v>868</v>
      </c>
      <c r="E101" t="s">
        <v>422</v>
      </c>
      <c r="F101" t="str">
        <f t="shared" si="1"/>
        <v>INSERT INTO tbFinanceItemSeq(Report,ItemSeqID,ItemSN,ItemID) VALUES('PNLD',100,98,868)</v>
      </c>
    </row>
    <row r="102" spans="1:6">
      <c r="A102" t="s">
        <v>322</v>
      </c>
      <c r="B102">
        <v>101</v>
      </c>
      <c r="C102">
        <v>99</v>
      </c>
      <c r="D102">
        <v>869</v>
      </c>
      <c r="E102" t="s">
        <v>423</v>
      </c>
      <c r="F102" t="str">
        <f t="shared" si="1"/>
        <v>INSERT INTO tbFinanceItemSeq(Report,ItemSeqID,ItemSN,ItemID) VALUES('PNLD',101,99,869)</v>
      </c>
    </row>
    <row r="103" spans="1:6">
      <c r="A103" t="s">
        <v>322</v>
      </c>
      <c r="B103">
        <v>102</v>
      </c>
      <c r="C103">
        <v>100</v>
      </c>
      <c r="D103">
        <v>870</v>
      </c>
      <c r="E103" t="s">
        <v>424</v>
      </c>
      <c r="F103" t="str">
        <f t="shared" si="1"/>
        <v>INSERT INTO tbFinanceItemSeq(Report,ItemSeqID,ItemSN,ItemID) VALUES('PNLD',102,100,870)</v>
      </c>
    </row>
    <row r="104" spans="1:6">
      <c r="A104" t="s">
        <v>322</v>
      </c>
      <c r="B104">
        <v>103</v>
      </c>
      <c r="C104">
        <v>101</v>
      </c>
      <c r="D104">
        <v>871</v>
      </c>
      <c r="E104" t="s">
        <v>425</v>
      </c>
      <c r="F104" t="str">
        <f t="shared" si="1"/>
        <v>INSERT INTO tbFinanceItemSeq(Report,ItemSeqID,ItemSN,ItemID) VALUES('PNLD',103,101,871)</v>
      </c>
    </row>
    <row r="105" spans="1:6">
      <c r="A105" t="s">
        <v>322</v>
      </c>
      <c r="B105">
        <v>104</v>
      </c>
      <c r="C105">
        <v>102</v>
      </c>
      <c r="D105">
        <v>872</v>
      </c>
      <c r="E105" t="s">
        <v>426</v>
      </c>
      <c r="F105" t="str">
        <f t="shared" si="1"/>
        <v>INSERT INTO tbFinanceItemSeq(Report,ItemSeqID,ItemSN,ItemID) VALUES('PNLD',104,102,872)</v>
      </c>
    </row>
    <row r="106" spans="1:6">
      <c r="A106" t="s">
        <v>322</v>
      </c>
      <c r="B106">
        <v>105</v>
      </c>
      <c r="C106">
        <v>103</v>
      </c>
      <c r="D106">
        <v>873</v>
      </c>
      <c r="E106" t="s">
        <v>427</v>
      </c>
      <c r="F106" t="str">
        <f t="shared" si="1"/>
        <v>INSERT INTO tbFinanceItemSeq(Report,ItemSeqID,ItemSN,ItemID) VALUES('PNLD',105,103,873)</v>
      </c>
    </row>
    <row r="107" spans="1:6">
      <c r="A107" t="s">
        <v>322</v>
      </c>
      <c r="B107">
        <v>106</v>
      </c>
      <c r="C107">
        <v>104</v>
      </c>
      <c r="D107">
        <v>874</v>
      </c>
      <c r="E107" t="s">
        <v>428</v>
      </c>
      <c r="F107" t="str">
        <f t="shared" si="1"/>
        <v>INSERT INTO tbFinanceItemSeq(Report,ItemSeqID,ItemSN,ItemID) VALUES('PNLD',106,104,874)</v>
      </c>
    </row>
    <row r="108" spans="1:6">
      <c r="A108" t="s">
        <v>322</v>
      </c>
      <c r="B108">
        <v>107</v>
      </c>
      <c r="C108">
        <v>105</v>
      </c>
      <c r="D108">
        <v>875</v>
      </c>
      <c r="E108" t="s">
        <v>429</v>
      </c>
      <c r="F108" t="str">
        <f t="shared" si="1"/>
        <v>INSERT INTO tbFinanceItemSeq(Report,ItemSeqID,ItemSN,ItemID) VALUES('PNLD',107,105,875)</v>
      </c>
    </row>
    <row r="109" spans="1:6">
      <c r="A109" t="s">
        <v>322</v>
      </c>
      <c r="B109">
        <v>108</v>
      </c>
      <c r="C109">
        <v>106</v>
      </c>
      <c r="D109">
        <v>876</v>
      </c>
      <c r="E109" t="s">
        <v>430</v>
      </c>
      <c r="F109" t="str">
        <f t="shared" si="1"/>
        <v>INSERT INTO tbFinanceItemSeq(Report,ItemSeqID,ItemSN,ItemID) VALUES('PNLD',108,106,876)</v>
      </c>
    </row>
    <row r="110" spans="1:6">
      <c r="A110" t="s">
        <v>322</v>
      </c>
      <c r="B110">
        <v>109</v>
      </c>
      <c r="C110">
        <v>107</v>
      </c>
      <c r="D110">
        <v>877</v>
      </c>
      <c r="E110" t="s">
        <v>431</v>
      </c>
      <c r="F110" t="str">
        <f t="shared" si="1"/>
        <v>INSERT INTO tbFinanceItemSeq(Report,ItemSeqID,ItemSN,ItemID) VALUES('PNLD',109,107,877)</v>
      </c>
    </row>
    <row r="111" spans="1:6">
      <c r="A111" t="s">
        <v>322</v>
      </c>
      <c r="B111">
        <v>110</v>
      </c>
      <c r="C111">
        <v>108</v>
      </c>
      <c r="D111">
        <v>878</v>
      </c>
      <c r="E111" t="s">
        <v>432</v>
      </c>
      <c r="F111" t="str">
        <f t="shared" si="1"/>
        <v>INSERT INTO tbFinanceItemSeq(Report,ItemSeqID,ItemSN,ItemID) VALUES('PNLD',110,108,878)</v>
      </c>
    </row>
    <row r="112" spans="1:6">
      <c r="A112" t="s">
        <v>322</v>
      </c>
      <c r="B112">
        <v>111</v>
      </c>
      <c r="C112">
        <v>109</v>
      </c>
      <c r="D112">
        <v>879</v>
      </c>
      <c r="E112" t="s">
        <v>433</v>
      </c>
      <c r="F112" t="str">
        <f t="shared" si="1"/>
        <v>INSERT INTO tbFinanceItemSeq(Report,ItemSeqID,ItemSN,ItemID) VALUES('PNLD',111,109,879)</v>
      </c>
    </row>
    <row r="113" spans="1:6">
      <c r="A113" t="s">
        <v>322</v>
      </c>
      <c r="B113">
        <v>112</v>
      </c>
      <c r="C113">
        <v>110</v>
      </c>
      <c r="D113">
        <v>880</v>
      </c>
      <c r="E113" t="s">
        <v>434</v>
      </c>
      <c r="F113" t="str">
        <f t="shared" si="1"/>
        <v>INSERT INTO tbFinanceItemSeq(Report,ItemSeqID,ItemSN,ItemID) VALUES('PNLD',112,110,880)</v>
      </c>
    </row>
    <row r="114" spans="1:6">
      <c r="A114" t="s">
        <v>322</v>
      </c>
      <c r="B114">
        <v>113</v>
      </c>
      <c r="C114">
        <v>111</v>
      </c>
      <c r="D114">
        <v>881</v>
      </c>
      <c r="E114" t="s">
        <v>435</v>
      </c>
      <c r="F114" t="str">
        <f t="shared" si="1"/>
        <v>INSERT INTO tbFinanceItemSeq(Report,ItemSeqID,ItemSN,ItemID) VALUES('PNLD',113,111,881)</v>
      </c>
    </row>
    <row r="115" spans="1:6">
      <c r="A115" t="s">
        <v>322</v>
      </c>
      <c r="B115">
        <v>114</v>
      </c>
      <c r="C115">
        <v>112</v>
      </c>
      <c r="D115">
        <v>882</v>
      </c>
      <c r="E115" t="s">
        <v>436</v>
      </c>
      <c r="F115" t="str">
        <f t="shared" si="1"/>
        <v>INSERT INTO tbFinanceItemSeq(Report,ItemSeqID,ItemSN,ItemID) VALUES('PNLD',114,112,882)</v>
      </c>
    </row>
    <row r="116" spans="1:6">
      <c r="A116" t="s">
        <v>322</v>
      </c>
      <c r="B116">
        <v>115</v>
      </c>
      <c r="C116">
        <v>113</v>
      </c>
      <c r="D116">
        <v>883</v>
      </c>
      <c r="E116" t="s">
        <v>437</v>
      </c>
      <c r="F116" t="str">
        <f t="shared" si="1"/>
        <v>INSERT INTO tbFinanceItemSeq(Report,ItemSeqID,ItemSN,ItemID) VALUES('PNLD',115,113,883)</v>
      </c>
    </row>
    <row r="117" spans="1:6">
      <c r="A117" t="s">
        <v>322</v>
      </c>
      <c r="B117">
        <v>116</v>
      </c>
      <c r="C117">
        <v>114</v>
      </c>
      <c r="D117">
        <v>884</v>
      </c>
      <c r="E117" t="s">
        <v>438</v>
      </c>
      <c r="F117" t="str">
        <f t="shared" si="1"/>
        <v>INSERT INTO tbFinanceItemSeq(Report,ItemSeqID,ItemSN,ItemID) VALUES('PNLD',116,114,884)</v>
      </c>
    </row>
    <row r="118" spans="1:6">
      <c r="A118" t="s">
        <v>322</v>
      </c>
      <c r="B118">
        <v>117</v>
      </c>
      <c r="C118">
        <v>115</v>
      </c>
      <c r="D118">
        <v>885</v>
      </c>
      <c r="E118" t="s">
        <v>439</v>
      </c>
      <c r="F118" t="str">
        <f t="shared" si="1"/>
        <v>INSERT INTO tbFinanceItemSeq(Report,ItemSeqID,ItemSN,ItemID) VALUES('PNLD',117,115,885)</v>
      </c>
    </row>
    <row r="119" spans="1:6">
      <c r="A119" t="s">
        <v>322</v>
      </c>
      <c r="B119">
        <v>118</v>
      </c>
      <c r="C119">
        <v>116</v>
      </c>
      <c r="D119">
        <v>886</v>
      </c>
      <c r="E119" t="s">
        <v>440</v>
      </c>
      <c r="F119" t="str">
        <f t="shared" si="1"/>
        <v>INSERT INTO tbFinanceItemSeq(Report,ItemSeqID,ItemSN,ItemID) VALUES('PNLD',118,116,886)</v>
      </c>
    </row>
    <row r="120" spans="1:6">
      <c r="A120" t="s">
        <v>322</v>
      </c>
      <c r="B120">
        <v>119</v>
      </c>
      <c r="C120">
        <v>117</v>
      </c>
      <c r="D120">
        <v>1351</v>
      </c>
      <c r="E120" t="s">
        <v>441</v>
      </c>
      <c r="F120" t="str">
        <f t="shared" si="1"/>
        <v>INSERT INTO tbFinanceItemSeq(Report,ItemSeqID,ItemSN,ItemID) VALUES('PNLD',119,117,1351)</v>
      </c>
    </row>
    <row r="121" spans="1:6">
      <c r="A121" t="s">
        <v>322</v>
      </c>
      <c r="B121">
        <v>120</v>
      </c>
      <c r="C121">
        <v>118</v>
      </c>
      <c r="D121">
        <v>887</v>
      </c>
      <c r="E121" t="s">
        <v>442</v>
      </c>
      <c r="F121" t="str">
        <f t="shared" si="1"/>
        <v>INSERT INTO tbFinanceItemSeq(Report,ItemSeqID,ItemSN,ItemID) VALUES('PNLD',120,118,887)</v>
      </c>
    </row>
    <row r="122" spans="1:6">
      <c r="A122" t="s">
        <v>322</v>
      </c>
      <c r="B122">
        <v>121</v>
      </c>
      <c r="C122">
        <v>119</v>
      </c>
      <c r="D122">
        <v>888</v>
      </c>
      <c r="E122" t="s">
        <v>443</v>
      </c>
      <c r="F122" t="str">
        <f t="shared" si="1"/>
        <v>INSERT INTO tbFinanceItemSeq(Report,ItemSeqID,ItemSN,ItemID) VALUES('PNLD',121,119,888)</v>
      </c>
    </row>
    <row r="123" spans="1:6">
      <c r="A123" t="s">
        <v>322</v>
      </c>
      <c r="B123">
        <v>122</v>
      </c>
      <c r="C123">
        <v>120</v>
      </c>
      <c r="D123">
        <v>889</v>
      </c>
      <c r="E123" t="s">
        <v>444</v>
      </c>
      <c r="F123" t="str">
        <f t="shared" si="1"/>
        <v>INSERT INTO tbFinanceItemSeq(Report,ItemSeqID,ItemSN,ItemID) VALUES('PNLD',122,120,889)</v>
      </c>
    </row>
    <row r="124" spans="1:6">
      <c r="A124" t="s">
        <v>322</v>
      </c>
      <c r="B124">
        <v>123</v>
      </c>
      <c r="C124">
        <v>121</v>
      </c>
      <c r="D124">
        <v>890</v>
      </c>
      <c r="E124" t="s">
        <v>445</v>
      </c>
      <c r="F124" t="str">
        <f t="shared" si="1"/>
        <v>INSERT INTO tbFinanceItemSeq(Report,ItemSeqID,ItemSN,ItemID) VALUES('PNLD',123,121,890)</v>
      </c>
    </row>
    <row r="125" spans="1:6">
      <c r="A125" t="s">
        <v>322</v>
      </c>
      <c r="B125">
        <v>124</v>
      </c>
      <c r="C125">
        <v>122</v>
      </c>
      <c r="D125">
        <v>891</v>
      </c>
      <c r="E125" t="s">
        <v>446</v>
      </c>
      <c r="F125" t="str">
        <f t="shared" si="1"/>
        <v>INSERT INTO tbFinanceItemSeq(Report,ItemSeqID,ItemSN,ItemID) VALUES('PNLD',124,122,891)</v>
      </c>
    </row>
    <row r="126" spans="1:6">
      <c r="A126" t="s">
        <v>322</v>
      </c>
      <c r="B126">
        <v>125</v>
      </c>
      <c r="C126">
        <v>123</v>
      </c>
      <c r="D126">
        <v>892</v>
      </c>
      <c r="E126" t="s">
        <v>447</v>
      </c>
      <c r="F126" t="str">
        <f t="shared" si="1"/>
        <v>INSERT INTO tbFinanceItemSeq(Report,ItemSeqID,ItemSN,ItemID) VALUES('PNLD',125,123,892)</v>
      </c>
    </row>
    <row r="127" spans="1:6">
      <c r="A127" t="s">
        <v>322</v>
      </c>
      <c r="B127">
        <v>126</v>
      </c>
      <c r="C127">
        <v>124</v>
      </c>
      <c r="D127">
        <v>893</v>
      </c>
      <c r="E127" t="s">
        <v>448</v>
      </c>
      <c r="F127" t="str">
        <f t="shared" si="1"/>
        <v>INSERT INTO tbFinanceItemSeq(Report,ItemSeqID,ItemSN,ItemID) VALUES('PNLD',126,124,893)</v>
      </c>
    </row>
    <row r="128" spans="1:6">
      <c r="A128" t="s">
        <v>322</v>
      </c>
      <c r="B128">
        <v>127</v>
      </c>
      <c r="C128">
        <v>125</v>
      </c>
      <c r="D128">
        <v>894</v>
      </c>
      <c r="E128" t="s">
        <v>449</v>
      </c>
      <c r="F128" t="str">
        <f t="shared" si="1"/>
        <v>INSERT INTO tbFinanceItemSeq(Report,ItemSeqID,ItemSN,ItemID) VALUES('PNLD',127,125,894)</v>
      </c>
    </row>
    <row r="129" spans="1:6">
      <c r="A129" t="s">
        <v>322</v>
      </c>
      <c r="B129">
        <v>128</v>
      </c>
      <c r="C129">
        <v>126</v>
      </c>
      <c r="D129">
        <v>1352</v>
      </c>
      <c r="E129" t="s">
        <v>450</v>
      </c>
      <c r="F129" t="str">
        <f t="shared" si="1"/>
        <v>INSERT INTO tbFinanceItemSeq(Report,ItemSeqID,ItemSN,ItemID) VALUES('PNLD',128,126,1352)</v>
      </c>
    </row>
    <row r="130" spans="1:6">
      <c r="A130" t="s">
        <v>322</v>
      </c>
      <c r="B130">
        <v>129</v>
      </c>
      <c r="C130">
        <v>127</v>
      </c>
      <c r="D130">
        <v>895</v>
      </c>
      <c r="E130" t="s">
        <v>451</v>
      </c>
      <c r="F130" t="str">
        <f t="shared" si="1"/>
        <v>INSERT INTO tbFinanceItemSeq(Report,ItemSeqID,ItemSN,ItemID) VALUES('PNLD',129,127,895)</v>
      </c>
    </row>
    <row r="131" spans="1:6">
      <c r="A131" t="s">
        <v>322</v>
      </c>
      <c r="B131">
        <v>130</v>
      </c>
      <c r="C131">
        <v>128</v>
      </c>
      <c r="D131">
        <v>896</v>
      </c>
      <c r="E131" t="s">
        <v>452</v>
      </c>
      <c r="F131" t="str">
        <f t="shared" ref="F131:F194" si="2">CONCATENATE("INSERT INTO tbFinanceItemSeq(Report,ItemSeqID,ItemSN,ItemID) VALUES('",A131,"',",B131,",",C131,",",D131,")")</f>
        <v>INSERT INTO tbFinanceItemSeq(Report,ItemSeqID,ItemSN,ItemID) VALUES('PNLD',130,128,896)</v>
      </c>
    </row>
    <row r="132" spans="1:6">
      <c r="A132" t="s">
        <v>322</v>
      </c>
      <c r="B132">
        <v>131</v>
      </c>
      <c r="C132">
        <v>129</v>
      </c>
      <c r="D132">
        <v>897</v>
      </c>
      <c r="E132" t="s">
        <v>453</v>
      </c>
      <c r="F132" t="str">
        <f t="shared" si="2"/>
        <v>INSERT INTO tbFinanceItemSeq(Report,ItemSeqID,ItemSN,ItemID) VALUES('PNLD',131,129,897)</v>
      </c>
    </row>
    <row r="133" spans="1:6">
      <c r="A133" t="s">
        <v>322</v>
      </c>
      <c r="B133">
        <v>132</v>
      </c>
      <c r="C133">
        <v>130</v>
      </c>
      <c r="D133">
        <v>898</v>
      </c>
      <c r="E133" t="s">
        <v>454</v>
      </c>
      <c r="F133" t="str">
        <f t="shared" si="2"/>
        <v>INSERT INTO tbFinanceItemSeq(Report,ItemSeqID,ItemSN,ItemID) VALUES('PNLD',132,130,898)</v>
      </c>
    </row>
    <row r="134" spans="1:6">
      <c r="A134" t="s">
        <v>322</v>
      </c>
      <c r="B134">
        <v>133</v>
      </c>
      <c r="C134">
        <v>131</v>
      </c>
      <c r="D134">
        <v>1375</v>
      </c>
      <c r="E134" t="s">
        <v>455</v>
      </c>
      <c r="F134" t="str">
        <f t="shared" si="2"/>
        <v>INSERT INTO tbFinanceItemSeq(Report,ItemSeqID,ItemSN,ItemID) VALUES('PNLD',133,131,1375)</v>
      </c>
    </row>
    <row r="135" spans="1:6">
      <c r="A135" t="s">
        <v>322</v>
      </c>
      <c r="B135">
        <v>134</v>
      </c>
      <c r="C135">
        <v>132</v>
      </c>
      <c r="D135">
        <v>899</v>
      </c>
      <c r="E135" t="s">
        <v>456</v>
      </c>
      <c r="F135" t="str">
        <f t="shared" si="2"/>
        <v>INSERT INTO tbFinanceItemSeq(Report,ItemSeqID,ItemSN,ItemID) VALUES('PNLD',134,132,899)</v>
      </c>
    </row>
    <row r="136" spans="1:6">
      <c r="A136" t="s">
        <v>322</v>
      </c>
      <c r="B136">
        <v>135</v>
      </c>
      <c r="C136">
        <v>133</v>
      </c>
      <c r="D136">
        <v>900</v>
      </c>
      <c r="E136" t="s">
        <v>457</v>
      </c>
      <c r="F136" t="str">
        <f t="shared" si="2"/>
        <v>INSERT INTO tbFinanceItemSeq(Report,ItemSeqID,ItemSN,ItemID) VALUES('PNLD',135,133,900)</v>
      </c>
    </row>
    <row r="137" spans="1:6">
      <c r="A137" t="s">
        <v>322</v>
      </c>
      <c r="B137">
        <v>136</v>
      </c>
      <c r="C137">
        <v>134</v>
      </c>
      <c r="D137">
        <v>1353</v>
      </c>
      <c r="E137" t="s">
        <v>458</v>
      </c>
      <c r="F137" t="str">
        <f t="shared" si="2"/>
        <v>INSERT INTO tbFinanceItemSeq(Report,ItemSeqID,ItemSN,ItemID) VALUES('PNLD',136,134,1353)</v>
      </c>
    </row>
    <row r="138" spans="1:6">
      <c r="A138" t="s">
        <v>322</v>
      </c>
      <c r="B138">
        <v>137</v>
      </c>
      <c r="C138">
        <v>135</v>
      </c>
      <c r="D138">
        <v>901</v>
      </c>
      <c r="E138" t="s">
        <v>459</v>
      </c>
      <c r="F138" t="str">
        <f t="shared" si="2"/>
        <v>INSERT INTO tbFinanceItemSeq(Report,ItemSeqID,ItemSN,ItemID) VALUES('PNLD',137,135,901)</v>
      </c>
    </row>
    <row r="139" spans="1:6">
      <c r="A139" t="s">
        <v>322</v>
      </c>
      <c r="B139">
        <v>138</v>
      </c>
      <c r="C139">
        <v>136</v>
      </c>
      <c r="D139">
        <v>902</v>
      </c>
      <c r="E139" t="s">
        <v>460</v>
      </c>
      <c r="F139" t="str">
        <f t="shared" si="2"/>
        <v>INSERT INTO tbFinanceItemSeq(Report,ItemSeqID,ItemSN,ItemID) VALUES('PNLD',138,136,902)</v>
      </c>
    </row>
    <row r="140" spans="1:6">
      <c r="A140" t="s">
        <v>322</v>
      </c>
      <c r="B140">
        <v>139</v>
      </c>
      <c r="C140">
        <v>137</v>
      </c>
      <c r="D140">
        <v>903</v>
      </c>
      <c r="E140" t="s">
        <v>461</v>
      </c>
      <c r="F140" t="str">
        <f t="shared" si="2"/>
        <v>INSERT INTO tbFinanceItemSeq(Report,ItemSeqID,ItemSN,ItemID) VALUES('PNLD',139,137,903)</v>
      </c>
    </row>
    <row r="141" spans="1:6">
      <c r="A141" t="s">
        <v>322</v>
      </c>
      <c r="B141">
        <v>140</v>
      </c>
      <c r="C141">
        <v>138</v>
      </c>
      <c r="D141">
        <v>904</v>
      </c>
      <c r="E141" t="s">
        <v>462</v>
      </c>
      <c r="F141" t="str">
        <f t="shared" si="2"/>
        <v>INSERT INTO tbFinanceItemSeq(Report,ItemSeqID,ItemSN,ItemID) VALUES('PNLD',140,138,904)</v>
      </c>
    </row>
    <row r="142" spans="1:6">
      <c r="A142" t="s">
        <v>322</v>
      </c>
      <c r="B142">
        <v>141</v>
      </c>
      <c r="C142">
        <v>139</v>
      </c>
      <c r="D142">
        <v>905</v>
      </c>
      <c r="E142" t="s">
        <v>463</v>
      </c>
      <c r="F142" t="str">
        <f t="shared" si="2"/>
        <v>INSERT INTO tbFinanceItemSeq(Report,ItemSeqID,ItemSN,ItemID) VALUES('PNLD',141,139,905)</v>
      </c>
    </row>
    <row r="143" spans="1:6">
      <c r="A143" t="s">
        <v>322</v>
      </c>
      <c r="B143">
        <v>142</v>
      </c>
      <c r="C143">
        <v>140</v>
      </c>
      <c r="D143">
        <v>906</v>
      </c>
      <c r="E143" t="s">
        <v>464</v>
      </c>
      <c r="F143" t="str">
        <f t="shared" si="2"/>
        <v>INSERT INTO tbFinanceItemSeq(Report,ItemSeqID,ItemSN,ItemID) VALUES('PNLD',142,140,906)</v>
      </c>
    </row>
    <row r="144" spans="1:6">
      <c r="A144" t="s">
        <v>322</v>
      </c>
      <c r="B144">
        <v>143</v>
      </c>
      <c r="C144">
        <v>141</v>
      </c>
      <c r="D144">
        <v>907</v>
      </c>
      <c r="E144" t="s">
        <v>465</v>
      </c>
      <c r="F144" t="str">
        <f t="shared" si="2"/>
        <v>INSERT INTO tbFinanceItemSeq(Report,ItemSeqID,ItemSN,ItemID) VALUES('PNLD',143,141,907)</v>
      </c>
    </row>
    <row r="145" spans="1:6">
      <c r="A145" t="s">
        <v>322</v>
      </c>
      <c r="B145">
        <v>144</v>
      </c>
      <c r="C145">
        <v>142</v>
      </c>
      <c r="D145">
        <v>908</v>
      </c>
      <c r="E145" t="s">
        <v>466</v>
      </c>
      <c r="F145" t="str">
        <f t="shared" si="2"/>
        <v>INSERT INTO tbFinanceItemSeq(Report,ItemSeqID,ItemSN,ItemID) VALUES('PNLD',144,142,908)</v>
      </c>
    </row>
    <row r="146" spans="1:6">
      <c r="A146" t="s">
        <v>322</v>
      </c>
      <c r="B146">
        <v>145</v>
      </c>
      <c r="C146">
        <v>143</v>
      </c>
      <c r="D146">
        <v>909</v>
      </c>
      <c r="E146" t="s">
        <v>467</v>
      </c>
      <c r="F146" t="str">
        <f t="shared" si="2"/>
        <v>INSERT INTO tbFinanceItemSeq(Report,ItemSeqID,ItemSN,ItemID) VALUES('PNLD',145,143,909)</v>
      </c>
    </row>
    <row r="147" spans="1:6">
      <c r="A147" t="s">
        <v>322</v>
      </c>
      <c r="B147">
        <v>146</v>
      </c>
      <c r="C147">
        <v>144</v>
      </c>
      <c r="D147">
        <v>910</v>
      </c>
      <c r="E147" t="s">
        <v>468</v>
      </c>
      <c r="F147" t="str">
        <f t="shared" si="2"/>
        <v>INSERT INTO tbFinanceItemSeq(Report,ItemSeqID,ItemSN,ItemID) VALUES('PNLD',146,144,910)</v>
      </c>
    </row>
    <row r="148" spans="1:6">
      <c r="A148" t="s">
        <v>322</v>
      </c>
      <c r="B148">
        <v>147</v>
      </c>
      <c r="C148">
        <v>145</v>
      </c>
      <c r="D148">
        <v>1354</v>
      </c>
      <c r="E148" t="s">
        <v>469</v>
      </c>
      <c r="F148" t="str">
        <f t="shared" si="2"/>
        <v>INSERT INTO tbFinanceItemSeq(Report,ItemSeqID,ItemSN,ItemID) VALUES('PNLD',147,145,1354)</v>
      </c>
    </row>
    <row r="149" spans="1:6">
      <c r="A149" t="s">
        <v>322</v>
      </c>
      <c r="B149">
        <v>148</v>
      </c>
      <c r="C149">
        <v>146</v>
      </c>
      <c r="D149">
        <v>911</v>
      </c>
      <c r="E149" t="s">
        <v>470</v>
      </c>
      <c r="F149" t="str">
        <f t="shared" si="2"/>
        <v>INSERT INTO tbFinanceItemSeq(Report,ItemSeqID,ItemSN,ItemID) VALUES('PNLD',148,146,911)</v>
      </c>
    </row>
    <row r="150" spans="1:6">
      <c r="A150" t="s">
        <v>322</v>
      </c>
      <c r="B150">
        <v>149</v>
      </c>
      <c r="C150">
        <v>147</v>
      </c>
      <c r="D150">
        <v>912</v>
      </c>
      <c r="E150" t="s">
        <v>471</v>
      </c>
      <c r="F150" t="str">
        <f t="shared" si="2"/>
        <v>INSERT INTO tbFinanceItemSeq(Report,ItemSeqID,ItemSN,ItemID) VALUES('PNLD',149,147,912)</v>
      </c>
    </row>
    <row r="151" spans="1:6">
      <c r="A151" t="s">
        <v>322</v>
      </c>
      <c r="B151">
        <v>150</v>
      </c>
      <c r="C151">
        <v>148</v>
      </c>
      <c r="D151">
        <v>913</v>
      </c>
      <c r="E151" t="s">
        <v>472</v>
      </c>
      <c r="F151" t="str">
        <f t="shared" si="2"/>
        <v>INSERT INTO tbFinanceItemSeq(Report,ItemSeqID,ItemSN,ItemID) VALUES('PNLD',150,148,913)</v>
      </c>
    </row>
    <row r="152" spans="1:6">
      <c r="A152" t="s">
        <v>322</v>
      </c>
      <c r="B152">
        <v>151</v>
      </c>
      <c r="C152">
        <v>149</v>
      </c>
      <c r="D152">
        <v>914</v>
      </c>
      <c r="E152" t="s">
        <v>473</v>
      </c>
      <c r="F152" t="str">
        <f t="shared" si="2"/>
        <v>INSERT INTO tbFinanceItemSeq(Report,ItemSeqID,ItemSN,ItemID) VALUES('PNLD',151,149,914)</v>
      </c>
    </row>
    <row r="153" spans="1:6">
      <c r="A153" t="s">
        <v>322</v>
      </c>
      <c r="B153">
        <v>152</v>
      </c>
      <c r="C153">
        <v>150</v>
      </c>
      <c r="D153">
        <v>915</v>
      </c>
      <c r="E153" t="s">
        <v>474</v>
      </c>
      <c r="F153" t="str">
        <f t="shared" si="2"/>
        <v>INSERT INTO tbFinanceItemSeq(Report,ItemSeqID,ItemSN,ItemID) VALUES('PNLD',152,150,915)</v>
      </c>
    </row>
    <row r="154" spans="1:6">
      <c r="A154" t="s">
        <v>322</v>
      </c>
      <c r="B154">
        <v>153</v>
      </c>
      <c r="C154">
        <v>151</v>
      </c>
      <c r="D154">
        <v>916</v>
      </c>
      <c r="E154" t="s">
        <v>475</v>
      </c>
      <c r="F154" t="str">
        <f t="shared" si="2"/>
        <v>INSERT INTO tbFinanceItemSeq(Report,ItemSeqID,ItemSN,ItemID) VALUES('PNLD',153,151,916)</v>
      </c>
    </row>
    <row r="155" spans="1:6">
      <c r="A155" t="s">
        <v>322</v>
      </c>
      <c r="B155">
        <v>154</v>
      </c>
      <c r="C155">
        <v>152</v>
      </c>
      <c r="D155">
        <v>917</v>
      </c>
      <c r="E155" t="s">
        <v>476</v>
      </c>
      <c r="F155" t="str">
        <f t="shared" si="2"/>
        <v>INSERT INTO tbFinanceItemSeq(Report,ItemSeqID,ItemSN,ItemID) VALUES('PNLD',154,152,917)</v>
      </c>
    </row>
    <row r="156" spans="1:6">
      <c r="A156" t="s">
        <v>322</v>
      </c>
      <c r="B156">
        <v>155</v>
      </c>
      <c r="C156">
        <v>153</v>
      </c>
      <c r="D156">
        <v>918</v>
      </c>
      <c r="E156" t="s">
        <v>477</v>
      </c>
      <c r="F156" t="str">
        <f t="shared" si="2"/>
        <v>INSERT INTO tbFinanceItemSeq(Report,ItemSeqID,ItemSN,ItemID) VALUES('PNLD',155,153,918)</v>
      </c>
    </row>
    <row r="157" spans="1:6">
      <c r="A157" t="s">
        <v>322</v>
      </c>
      <c r="B157">
        <v>156</v>
      </c>
      <c r="C157">
        <v>154</v>
      </c>
      <c r="D157">
        <v>919</v>
      </c>
      <c r="E157" t="s">
        <v>478</v>
      </c>
      <c r="F157" t="str">
        <f t="shared" si="2"/>
        <v>INSERT INTO tbFinanceItemSeq(Report,ItemSeqID,ItemSN,ItemID) VALUES('PNLD',156,154,919)</v>
      </c>
    </row>
    <row r="158" spans="1:6">
      <c r="A158" t="s">
        <v>322</v>
      </c>
      <c r="B158">
        <v>157</v>
      </c>
      <c r="C158">
        <v>155</v>
      </c>
      <c r="D158">
        <v>1355</v>
      </c>
      <c r="E158" t="s">
        <v>479</v>
      </c>
      <c r="F158" t="str">
        <f t="shared" si="2"/>
        <v>INSERT INTO tbFinanceItemSeq(Report,ItemSeqID,ItemSN,ItemID) VALUES('PNLD',157,155,1355)</v>
      </c>
    </row>
    <row r="159" spans="1:6">
      <c r="A159" t="s">
        <v>322</v>
      </c>
      <c r="B159">
        <v>158</v>
      </c>
      <c r="C159">
        <v>156</v>
      </c>
      <c r="D159">
        <v>920</v>
      </c>
      <c r="E159" t="s">
        <v>480</v>
      </c>
      <c r="F159" t="str">
        <f t="shared" si="2"/>
        <v>INSERT INTO tbFinanceItemSeq(Report,ItemSeqID,ItemSN,ItemID) VALUES('PNLD',158,156,920)</v>
      </c>
    </row>
    <row r="160" spans="1:6">
      <c r="A160" t="s">
        <v>322</v>
      </c>
      <c r="B160">
        <v>159</v>
      </c>
      <c r="C160">
        <v>157</v>
      </c>
      <c r="D160">
        <v>921</v>
      </c>
      <c r="E160" t="s">
        <v>481</v>
      </c>
      <c r="F160" t="str">
        <f t="shared" si="2"/>
        <v>INSERT INTO tbFinanceItemSeq(Report,ItemSeqID,ItemSN,ItemID) VALUES('PNLD',159,157,921)</v>
      </c>
    </row>
    <row r="161" spans="1:6">
      <c r="A161" t="s">
        <v>322</v>
      </c>
      <c r="B161">
        <v>160</v>
      </c>
      <c r="C161">
        <v>158</v>
      </c>
      <c r="D161">
        <v>922</v>
      </c>
      <c r="E161" t="s">
        <v>482</v>
      </c>
      <c r="F161" t="str">
        <f t="shared" si="2"/>
        <v>INSERT INTO tbFinanceItemSeq(Report,ItemSeqID,ItemSN,ItemID) VALUES('PNLD',160,158,922)</v>
      </c>
    </row>
    <row r="162" spans="1:6">
      <c r="A162" t="s">
        <v>322</v>
      </c>
      <c r="B162">
        <v>161</v>
      </c>
      <c r="C162">
        <v>159</v>
      </c>
      <c r="D162">
        <v>923</v>
      </c>
      <c r="E162" t="s">
        <v>483</v>
      </c>
      <c r="F162" t="str">
        <f t="shared" si="2"/>
        <v>INSERT INTO tbFinanceItemSeq(Report,ItemSeqID,ItemSN,ItemID) VALUES('PNLD',161,159,923)</v>
      </c>
    </row>
    <row r="163" spans="1:6">
      <c r="A163" t="s">
        <v>322</v>
      </c>
      <c r="B163">
        <v>162</v>
      </c>
      <c r="C163">
        <v>160</v>
      </c>
      <c r="D163">
        <v>924</v>
      </c>
      <c r="E163" t="s">
        <v>484</v>
      </c>
      <c r="F163" t="str">
        <f t="shared" si="2"/>
        <v>INSERT INTO tbFinanceItemSeq(Report,ItemSeqID,ItemSN,ItemID) VALUES('PNLD',162,160,924)</v>
      </c>
    </row>
    <row r="164" spans="1:6">
      <c r="A164" t="s">
        <v>322</v>
      </c>
      <c r="B164">
        <v>163</v>
      </c>
      <c r="C164">
        <v>161</v>
      </c>
      <c r="D164">
        <v>925</v>
      </c>
      <c r="E164" t="s">
        <v>485</v>
      </c>
      <c r="F164" t="str">
        <f t="shared" si="2"/>
        <v>INSERT INTO tbFinanceItemSeq(Report,ItemSeqID,ItemSN,ItemID) VALUES('PNLD',163,161,925)</v>
      </c>
    </row>
    <row r="165" spans="1:6">
      <c r="A165" t="s">
        <v>322</v>
      </c>
      <c r="B165">
        <v>164</v>
      </c>
      <c r="C165">
        <v>162</v>
      </c>
      <c r="D165">
        <v>926</v>
      </c>
      <c r="E165" t="s">
        <v>486</v>
      </c>
      <c r="F165" t="str">
        <f t="shared" si="2"/>
        <v>INSERT INTO tbFinanceItemSeq(Report,ItemSeqID,ItemSN,ItemID) VALUES('PNLD',164,162,926)</v>
      </c>
    </row>
    <row r="166" spans="1:6">
      <c r="A166" t="s">
        <v>322</v>
      </c>
      <c r="B166">
        <v>165</v>
      </c>
      <c r="C166">
        <v>163</v>
      </c>
      <c r="D166">
        <v>927</v>
      </c>
      <c r="E166" t="s">
        <v>487</v>
      </c>
      <c r="F166" t="str">
        <f t="shared" si="2"/>
        <v>INSERT INTO tbFinanceItemSeq(Report,ItemSeqID,ItemSN,ItemID) VALUES('PNLD',165,163,927)</v>
      </c>
    </row>
    <row r="167" spans="1:6">
      <c r="A167" t="s">
        <v>322</v>
      </c>
      <c r="B167">
        <v>166</v>
      </c>
      <c r="C167">
        <v>164</v>
      </c>
      <c r="D167">
        <v>928</v>
      </c>
      <c r="E167" t="s">
        <v>488</v>
      </c>
      <c r="F167" t="str">
        <f t="shared" si="2"/>
        <v>INSERT INTO tbFinanceItemSeq(Report,ItemSeqID,ItemSN,ItemID) VALUES('PNLD',166,164,928)</v>
      </c>
    </row>
    <row r="168" spans="1:6">
      <c r="A168" t="s">
        <v>322</v>
      </c>
      <c r="B168">
        <v>167</v>
      </c>
      <c r="C168">
        <v>165</v>
      </c>
      <c r="D168">
        <v>929</v>
      </c>
      <c r="E168" t="s">
        <v>489</v>
      </c>
      <c r="F168" t="str">
        <f t="shared" si="2"/>
        <v>INSERT INTO tbFinanceItemSeq(Report,ItemSeqID,ItemSN,ItemID) VALUES('PNLD',167,165,929)</v>
      </c>
    </row>
    <row r="169" spans="1:6">
      <c r="A169" t="s">
        <v>322</v>
      </c>
      <c r="B169">
        <v>168</v>
      </c>
      <c r="C169">
        <v>166</v>
      </c>
      <c r="D169">
        <v>930</v>
      </c>
      <c r="E169" t="s">
        <v>490</v>
      </c>
      <c r="F169" t="str">
        <f t="shared" si="2"/>
        <v>INSERT INTO tbFinanceItemSeq(Report,ItemSeqID,ItemSN,ItemID) VALUES('PNLD',168,166,930)</v>
      </c>
    </row>
    <row r="170" spans="1:6">
      <c r="A170" t="s">
        <v>322</v>
      </c>
      <c r="B170">
        <v>169</v>
      </c>
      <c r="C170">
        <v>167</v>
      </c>
      <c r="D170">
        <v>931</v>
      </c>
      <c r="E170" t="s">
        <v>491</v>
      </c>
      <c r="F170" t="str">
        <f t="shared" si="2"/>
        <v>INSERT INTO tbFinanceItemSeq(Report,ItemSeqID,ItemSN,ItemID) VALUES('PNLD',169,167,931)</v>
      </c>
    </row>
    <row r="171" spans="1:6">
      <c r="A171" t="s">
        <v>322</v>
      </c>
      <c r="B171">
        <v>170</v>
      </c>
      <c r="C171">
        <v>168</v>
      </c>
      <c r="D171">
        <v>932</v>
      </c>
      <c r="E171" t="s">
        <v>492</v>
      </c>
      <c r="F171" t="str">
        <f t="shared" si="2"/>
        <v>INSERT INTO tbFinanceItemSeq(Report,ItemSeqID,ItemSN,ItemID) VALUES('PNLD',170,168,932)</v>
      </c>
    </row>
    <row r="172" spans="1:6">
      <c r="A172" t="s">
        <v>322</v>
      </c>
      <c r="B172">
        <v>171</v>
      </c>
      <c r="C172">
        <v>169</v>
      </c>
      <c r="D172">
        <v>1356</v>
      </c>
      <c r="E172" t="s">
        <v>493</v>
      </c>
      <c r="F172" t="str">
        <f t="shared" si="2"/>
        <v>INSERT INTO tbFinanceItemSeq(Report,ItemSeqID,ItemSN,ItemID) VALUES('PNLD',171,169,1356)</v>
      </c>
    </row>
    <row r="173" spans="1:6">
      <c r="A173" t="s">
        <v>322</v>
      </c>
      <c r="B173">
        <v>172</v>
      </c>
      <c r="C173">
        <v>170</v>
      </c>
      <c r="D173">
        <v>933</v>
      </c>
      <c r="E173" t="s">
        <v>494</v>
      </c>
      <c r="F173" t="str">
        <f t="shared" si="2"/>
        <v>INSERT INTO tbFinanceItemSeq(Report,ItemSeqID,ItemSN,ItemID) VALUES('PNLD',172,170,933)</v>
      </c>
    </row>
    <row r="174" spans="1:6">
      <c r="A174" t="s">
        <v>322</v>
      </c>
      <c r="B174">
        <v>173</v>
      </c>
      <c r="C174">
        <v>171</v>
      </c>
      <c r="D174">
        <v>934</v>
      </c>
      <c r="E174" t="s">
        <v>495</v>
      </c>
      <c r="F174" t="str">
        <f t="shared" si="2"/>
        <v>INSERT INTO tbFinanceItemSeq(Report,ItemSeqID,ItemSN,ItemID) VALUES('PNLD',173,171,934)</v>
      </c>
    </row>
    <row r="175" spans="1:6">
      <c r="A175" t="s">
        <v>322</v>
      </c>
      <c r="B175">
        <v>174</v>
      </c>
      <c r="C175">
        <v>172</v>
      </c>
      <c r="D175">
        <v>935</v>
      </c>
      <c r="E175" t="s">
        <v>496</v>
      </c>
      <c r="F175" t="str">
        <f t="shared" si="2"/>
        <v>INSERT INTO tbFinanceItemSeq(Report,ItemSeqID,ItemSN,ItemID) VALUES('PNLD',174,172,935)</v>
      </c>
    </row>
    <row r="176" spans="1:6">
      <c r="A176" t="s">
        <v>322</v>
      </c>
      <c r="B176">
        <v>175</v>
      </c>
      <c r="C176">
        <v>173</v>
      </c>
      <c r="D176">
        <v>936</v>
      </c>
      <c r="E176" t="s">
        <v>497</v>
      </c>
      <c r="F176" t="str">
        <f t="shared" si="2"/>
        <v>INSERT INTO tbFinanceItemSeq(Report,ItemSeqID,ItemSN,ItemID) VALUES('PNLD',175,173,936)</v>
      </c>
    </row>
    <row r="177" spans="1:6">
      <c r="A177" t="s">
        <v>322</v>
      </c>
      <c r="B177">
        <v>176</v>
      </c>
      <c r="C177">
        <v>174</v>
      </c>
      <c r="D177">
        <v>937</v>
      </c>
      <c r="E177" t="s">
        <v>498</v>
      </c>
      <c r="F177" t="str">
        <f t="shared" si="2"/>
        <v>INSERT INTO tbFinanceItemSeq(Report,ItemSeqID,ItemSN,ItemID) VALUES('PNLD',176,174,937)</v>
      </c>
    </row>
    <row r="178" spans="1:6">
      <c r="A178" t="s">
        <v>322</v>
      </c>
      <c r="B178">
        <v>177</v>
      </c>
      <c r="C178">
        <v>175</v>
      </c>
      <c r="D178">
        <v>1357</v>
      </c>
      <c r="E178" t="s">
        <v>499</v>
      </c>
      <c r="F178" t="str">
        <f t="shared" si="2"/>
        <v>INSERT INTO tbFinanceItemSeq(Report,ItemSeqID,ItemSN,ItemID) VALUES('PNLD',177,175,1357)</v>
      </c>
    </row>
    <row r="179" spans="1:6">
      <c r="A179" t="s">
        <v>322</v>
      </c>
      <c r="B179">
        <v>178</v>
      </c>
      <c r="C179">
        <v>176</v>
      </c>
      <c r="D179">
        <v>938</v>
      </c>
      <c r="E179" t="s">
        <v>500</v>
      </c>
      <c r="F179" t="str">
        <f t="shared" si="2"/>
        <v>INSERT INTO tbFinanceItemSeq(Report,ItemSeqID,ItemSN,ItemID) VALUES('PNLD',178,176,938)</v>
      </c>
    </row>
    <row r="180" spans="1:6">
      <c r="A180" t="s">
        <v>322</v>
      </c>
      <c r="B180">
        <v>179</v>
      </c>
      <c r="C180">
        <v>177</v>
      </c>
      <c r="D180">
        <v>939</v>
      </c>
      <c r="E180" t="s">
        <v>501</v>
      </c>
      <c r="F180" t="str">
        <f t="shared" si="2"/>
        <v>INSERT INTO tbFinanceItemSeq(Report,ItemSeqID,ItemSN,ItemID) VALUES('PNLD',179,177,939)</v>
      </c>
    </row>
    <row r="181" spans="1:6">
      <c r="A181" t="s">
        <v>322</v>
      </c>
      <c r="B181">
        <v>180</v>
      </c>
      <c r="C181">
        <v>178</v>
      </c>
      <c r="D181">
        <v>940</v>
      </c>
      <c r="E181" t="s">
        <v>502</v>
      </c>
      <c r="F181" t="str">
        <f t="shared" si="2"/>
        <v>INSERT INTO tbFinanceItemSeq(Report,ItemSeqID,ItemSN,ItemID) VALUES('PNLD',180,178,940)</v>
      </c>
    </row>
    <row r="182" spans="1:6">
      <c r="A182" t="s">
        <v>322</v>
      </c>
      <c r="B182">
        <v>181</v>
      </c>
      <c r="C182">
        <v>179</v>
      </c>
      <c r="D182">
        <v>1369</v>
      </c>
      <c r="E182" t="s">
        <v>503</v>
      </c>
      <c r="F182" t="str">
        <f t="shared" si="2"/>
        <v>INSERT INTO tbFinanceItemSeq(Report,ItemSeqID,ItemSN,ItemID) VALUES('PNLD',181,179,1369)</v>
      </c>
    </row>
    <row r="183" spans="1:6">
      <c r="A183" t="s">
        <v>322</v>
      </c>
      <c r="B183">
        <v>182</v>
      </c>
      <c r="C183">
        <v>180</v>
      </c>
      <c r="D183">
        <v>1370</v>
      </c>
      <c r="E183" t="s">
        <v>504</v>
      </c>
      <c r="F183" t="str">
        <f t="shared" si="2"/>
        <v>INSERT INTO tbFinanceItemSeq(Report,ItemSeqID,ItemSN,ItemID) VALUES('PNLD',182,180,1370)</v>
      </c>
    </row>
    <row r="184" spans="1:6">
      <c r="A184" t="s">
        <v>322</v>
      </c>
      <c r="B184">
        <v>183</v>
      </c>
      <c r="C184">
        <v>181</v>
      </c>
      <c r="D184">
        <v>1371</v>
      </c>
      <c r="E184" t="s">
        <v>505</v>
      </c>
      <c r="F184" t="str">
        <f t="shared" si="2"/>
        <v>INSERT INTO tbFinanceItemSeq(Report,ItemSeqID,ItemSN,ItemID) VALUES('PNLD',183,181,1371)</v>
      </c>
    </row>
    <row r="185" spans="1:6">
      <c r="A185" t="s">
        <v>322</v>
      </c>
      <c r="B185">
        <v>184</v>
      </c>
      <c r="C185">
        <v>182</v>
      </c>
      <c r="D185">
        <v>1372</v>
      </c>
      <c r="E185" t="s">
        <v>506</v>
      </c>
      <c r="F185" t="str">
        <f t="shared" si="2"/>
        <v>INSERT INTO tbFinanceItemSeq(Report,ItemSeqID,ItemSN,ItemID) VALUES('PNLD',184,182,1372)</v>
      </c>
    </row>
    <row r="186" spans="1:6">
      <c r="A186" t="s">
        <v>322</v>
      </c>
      <c r="B186">
        <v>185</v>
      </c>
      <c r="C186">
        <v>183</v>
      </c>
      <c r="D186">
        <v>941</v>
      </c>
      <c r="E186" t="s">
        <v>507</v>
      </c>
      <c r="F186" t="str">
        <f t="shared" si="2"/>
        <v>INSERT INTO tbFinanceItemSeq(Report,ItemSeqID,ItemSN,ItemID) VALUES('PNLD',185,183,941)</v>
      </c>
    </row>
    <row r="187" spans="1:6">
      <c r="A187" t="s">
        <v>322</v>
      </c>
      <c r="B187">
        <v>186</v>
      </c>
      <c r="C187">
        <v>184</v>
      </c>
      <c r="D187">
        <v>942</v>
      </c>
      <c r="E187" t="s">
        <v>508</v>
      </c>
      <c r="F187" t="str">
        <f t="shared" si="2"/>
        <v>INSERT INTO tbFinanceItemSeq(Report,ItemSeqID,ItemSN,ItemID) VALUES('PNLD',186,184,942)</v>
      </c>
    </row>
    <row r="188" spans="1:6">
      <c r="A188" t="s">
        <v>322</v>
      </c>
      <c r="B188">
        <v>187</v>
      </c>
      <c r="C188">
        <v>185</v>
      </c>
      <c r="D188">
        <v>1358</v>
      </c>
      <c r="E188" t="s">
        <v>509</v>
      </c>
      <c r="F188" t="str">
        <f t="shared" si="2"/>
        <v>INSERT INTO tbFinanceItemSeq(Report,ItemSeqID,ItemSN,ItemID) VALUES('PNLD',187,185,1358)</v>
      </c>
    </row>
    <row r="189" spans="1:6">
      <c r="A189" t="s">
        <v>322</v>
      </c>
      <c r="B189">
        <v>188</v>
      </c>
      <c r="C189">
        <v>186</v>
      </c>
      <c r="D189">
        <v>943</v>
      </c>
      <c r="E189" t="s">
        <v>510</v>
      </c>
      <c r="F189" t="str">
        <f t="shared" si="2"/>
        <v>INSERT INTO tbFinanceItemSeq(Report,ItemSeqID,ItemSN,ItemID) VALUES('PNLD',188,186,943)</v>
      </c>
    </row>
    <row r="190" spans="1:6">
      <c r="A190" t="s">
        <v>322</v>
      </c>
      <c r="B190">
        <v>189</v>
      </c>
      <c r="C190">
        <v>187</v>
      </c>
      <c r="D190">
        <v>945</v>
      </c>
      <c r="E190" t="s">
        <v>511</v>
      </c>
      <c r="F190" t="str">
        <f t="shared" si="2"/>
        <v>INSERT INTO tbFinanceItemSeq(Report,ItemSeqID,ItemSN,ItemID) VALUES('PNLD',189,187,945)</v>
      </c>
    </row>
    <row r="191" spans="1:6">
      <c r="A191" t="s">
        <v>322</v>
      </c>
      <c r="B191">
        <v>190</v>
      </c>
      <c r="C191">
        <v>188</v>
      </c>
      <c r="D191">
        <v>946</v>
      </c>
      <c r="E191" t="s">
        <v>512</v>
      </c>
      <c r="F191" t="str">
        <f t="shared" si="2"/>
        <v>INSERT INTO tbFinanceItemSeq(Report,ItemSeqID,ItemSN,ItemID) VALUES('PNLD',190,188,946)</v>
      </c>
    </row>
    <row r="192" spans="1:6">
      <c r="A192" t="s">
        <v>322</v>
      </c>
      <c r="B192">
        <v>191</v>
      </c>
      <c r="C192">
        <v>189</v>
      </c>
      <c r="D192">
        <v>947</v>
      </c>
      <c r="E192" t="s">
        <v>513</v>
      </c>
      <c r="F192" t="str">
        <f t="shared" si="2"/>
        <v>INSERT INTO tbFinanceItemSeq(Report,ItemSeqID,ItemSN,ItemID) VALUES('PNLD',191,189,947)</v>
      </c>
    </row>
    <row r="193" spans="1:6">
      <c r="A193" t="s">
        <v>322</v>
      </c>
      <c r="B193">
        <v>192</v>
      </c>
      <c r="C193">
        <v>190</v>
      </c>
      <c r="D193">
        <v>948</v>
      </c>
      <c r="E193" t="s">
        <v>514</v>
      </c>
      <c r="F193" t="str">
        <f t="shared" si="2"/>
        <v>INSERT INTO tbFinanceItemSeq(Report,ItemSeqID,ItemSN,ItemID) VALUES('PNLD',192,190,948)</v>
      </c>
    </row>
    <row r="194" spans="1:6">
      <c r="A194" t="s">
        <v>322</v>
      </c>
      <c r="B194">
        <v>193</v>
      </c>
      <c r="C194">
        <v>191</v>
      </c>
      <c r="D194">
        <v>949</v>
      </c>
      <c r="E194" t="s">
        <v>515</v>
      </c>
      <c r="F194" t="str">
        <f t="shared" si="2"/>
        <v>INSERT INTO tbFinanceItemSeq(Report,ItemSeqID,ItemSN,ItemID) VALUES('PNLD',193,191,949)</v>
      </c>
    </row>
    <row r="195" spans="1:6">
      <c r="A195" t="s">
        <v>322</v>
      </c>
      <c r="B195">
        <v>194</v>
      </c>
      <c r="C195">
        <v>192</v>
      </c>
      <c r="D195">
        <v>950</v>
      </c>
      <c r="E195" t="s">
        <v>516</v>
      </c>
      <c r="F195" t="str">
        <f t="shared" ref="F195:F258" si="3">CONCATENATE("INSERT INTO tbFinanceItemSeq(Report,ItemSeqID,ItemSN,ItemID) VALUES('",A195,"',",B195,",",C195,",",D195,")")</f>
        <v>INSERT INTO tbFinanceItemSeq(Report,ItemSeqID,ItemSN,ItemID) VALUES('PNLD',194,192,950)</v>
      </c>
    </row>
    <row r="196" spans="1:6">
      <c r="A196" t="s">
        <v>322</v>
      </c>
      <c r="B196">
        <v>195</v>
      </c>
      <c r="C196">
        <v>193</v>
      </c>
      <c r="D196">
        <v>951</v>
      </c>
      <c r="E196" t="s">
        <v>517</v>
      </c>
      <c r="F196" t="str">
        <f t="shared" si="3"/>
        <v>INSERT INTO tbFinanceItemSeq(Report,ItemSeqID,ItemSN,ItemID) VALUES('PNLD',195,193,951)</v>
      </c>
    </row>
    <row r="197" spans="1:6">
      <c r="A197" t="s">
        <v>322</v>
      </c>
      <c r="B197">
        <v>196</v>
      </c>
      <c r="C197">
        <v>194</v>
      </c>
      <c r="D197">
        <v>952</v>
      </c>
      <c r="E197" t="s">
        <v>518</v>
      </c>
      <c r="F197" t="str">
        <f t="shared" si="3"/>
        <v>INSERT INTO tbFinanceItemSeq(Report,ItemSeqID,ItemSN,ItemID) VALUES('PNLD',196,194,952)</v>
      </c>
    </row>
    <row r="198" spans="1:6">
      <c r="A198" t="s">
        <v>322</v>
      </c>
      <c r="B198">
        <v>197</v>
      </c>
      <c r="C198">
        <v>195</v>
      </c>
      <c r="D198">
        <v>953</v>
      </c>
      <c r="E198" t="s">
        <v>519</v>
      </c>
      <c r="F198" t="str">
        <f t="shared" si="3"/>
        <v>INSERT INTO tbFinanceItemSeq(Report,ItemSeqID,ItemSN,ItemID) VALUES('PNLD',197,195,953)</v>
      </c>
    </row>
    <row r="199" spans="1:6">
      <c r="A199" t="s">
        <v>322</v>
      </c>
      <c r="B199">
        <v>198</v>
      </c>
      <c r="C199">
        <v>196</v>
      </c>
      <c r="D199">
        <v>954</v>
      </c>
      <c r="E199" t="s">
        <v>520</v>
      </c>
      <c r="F199" t="str">
        <f t="shared" si="3"/>
        <v>INSERT INTO tbFinanceItemSeq(Report,ItemSeqID,ItemSN,ItemID) VALUES('PNLD',198,196,954)</v>
      </c>
    </row>
    <row r="200" spans="1:6">
      <c r="A200" t="s">
        <v>322</v>
      </c>
      <c r="B200">
        <v>199</v>
      </c>
      <c r="C200">
        <v>197</v>
      </c>
      <c r="D200">
        <v>955</v>
      </c>
      <c r="E200" t="s">
        <v>521</v>
      </c>
      <c r="F200" t="str">
        <f t="shared" si="3"/>
        <v>INSERT INTO tbFinanceItemSeq(Report,ItemSeqID,ItemSN,ItemID) VALUES('PNLD',199,197,955)</v>
      </c>
    </row>
    <row r="201" spans="1:6">
      <c r="A201" t="s">
        <v>322</v>
      </c>
      <c r="B201">
        <v>200</v>
      </c>
      <c r="C201">
        <v>198</v>
      </c>
      <c r="D201">
        <v>956</v>
      </c>
      <c r="E201" t="s">
        <v>522</v>
      </c>
      <c r="F201" t="str">
        <f t="shared" si="3"/>
        <v>INSERT INTO tbFinanceItemSeq(Report,ItemSeqID,ItemSN,ItemID) VALUES('PNLD',200,198,956)</v>
      </c>
    </row>
    <row r="202" spans="1:6">
      <c r="A202" t="s">
        <v>322</v>
      </c>
      <c r="B202">
        <v>201</v>
      </c>
      <c r="C202">
        <v>199</v>
      </c>
      <c r="D202">
        <v>957</v>
      </c>
      <c r="E202" t="s">
        <v>523</v>
      </c>
      <c r="F202" t="str">
        <f t="shared" si="3"/>
        <v>INSERT INTO tbFinanceItemSeq(Report,ItemSeqID,ItemSN,ItemID) VALUES('PNLD',201,199,957)</v>
      </c>
    </row>
    <row r="203" spans="1:6">
      <c r="A203" t="s">
        <v>322</v>
      </c>
      <c r="B203">
        <v>202</v>
      </c>
      <c r="C203">
        <v>200</v>
      </c>
      <c r="D203">
        <v>958</v>
      </c>
      <c r="E203" t="s">
        <v>524</v>
      </c>
      <c r="F203" t="str">
        <f t="shared" si="3"/>
        <v>INSERT INTO tbFinanceItemSeq(Report,ItemSeqID,ItemSN,ItemID) VALUES('PNLD',202,200,958)</v>
      </c>
    </row>
    <row r="204" spans="1:6">
      <c r="A204" t="s">
        <v>322</v>
      </c>
      <c r="B204">
        <v>203</v>
      </c>
      <c r="C204">
        <v>201</v>
      </c>
      <c r="D204">
        <v>959</v>
      </c>
      <c r="E204" t="s">
        <v>525</v>
      </c>
      <c r="F204" t="str">
        <f t="shared" si="3"/>
        <v>INSERT INTO tbFinanceItemSeq(Report,ItemSeqID,ItemSN,ItemID) VALUES('PNLD',203,201,959)</v>
      </c>
    </row>
    <row r="205" spans="1:6">
      <c r="A205" t="s">
        <v>322</v>
      </c>
      <c r="B205">
        <v>204</v>
      </c>
      <c r="C205">
        <v>202</v>
      </c>
      <c r="D205">
        <v>960</v>
      </c>
      <c r="E205" t="s">
        <v>526</v>
      </c>
      <c r="F205" t="str">
        <f t="shared" si="3"/>
        <v>INSERT INTO tbFinanceItemSeq(Report,ItemSeqID,ItemSN,ItemID) VALUES('PNLD',204,202,960)</v>
      </c>
    </row>
    <row r="206" spans="1:6">
      <c r="A206" t="s">
        <v>322</v>
      </c>
      <c r="B206">
        <v>205</v>
      </c>
      <c r="C206">
        <v>203</v>
      </c>
      <c r="D206">
        <v>961</v>
      </c>
      <c r="E206" t="s">
        <v>527</v>
      </c>
      <c r="F206" t="str">
        <f t="shared" si="3"/>
        <v>INSERT INTO tbFinanceItemSeq(Report,ItemSeqID,ItemSN,ItemID) VALUES('PNLD',205,203,961)</v>
      </c>
    </row>
    <row r="207" spans="1:6">
      <c r="A207" t="s">
        <v>322</v>
      </c>
      <c r="B207">
        <v>206</v>
      </c>
      <c r="C207">
        <v>204</v>
      </c>
      <c r="D207">
        <v>962</v>
      </c>
      <c r="E207" t="s">
        <v>528</v>
      </c>
      <c r="F207" t="str">
        <f t="shared" si="3"/>
        <v>INSERT INTO tbFinanceItemSeq(Report,ItemSeqID,ItemSN,ItemID) VALUES('PNLD',206,204,962)</v>
      </c>
    </row>
    <row r="208" spans="1:6">
      <c r="A208" t="s">
        <v>322</v>
      </c>
      <c r="B208">
        <v>207</v>
      </c>
      <c r="C208">
        <v>205</v>
      </c>
      <c r="D208">
        <v>963</v>
      </c>
      <c r="E208" t="s">
        <v>529</v>
      </c>
      <c r="F208" t="str">
        <f t="shared" si="3"/>
        <v>INSERT INTO tbFinanceItemSeq(Report,ItemSeqID,ItemSN,ItemID) VALUES('PNLD',207,205,963)</v>
      </c>
    </row>
    <row r="209" spans="1:6">
      <c r="A209" t="s">
        <v>322</v>
      </c>
      <c r="B209">
        <v>208</v>
      </c>
      <c r="C209">
        <v>206</v>
      </c>
      <c r="D209">
        <v>964</v>
      </c>
      <c r="E209" t="s">
        <v>530</v>
      </c>
      <c r="F209" t="str">
        <f t="shared" si="3"/>
        <v>INSERT INTO tbFinanceItemSeq(Report,ItemSeqID,ItemSN,ItemID) VALUES('PNLD',208,206,964)</v>
      </c>
    </row>
    <row r="210" spans="1:6">
      <c r="A210" t="s">
        <v>322</v>
      </c>
      <c r="B210">
        <v>209</v>
      </c>
      <c r="C210">
        <v>207</v>
      </c>
      <c r="D210">
        <v>965</v>
      </c>
      <c r="E210" t="s">
        <v>531</v>
      </c>
      <c r="F210" t="str">
        <f t="shared" si="3"/>
        <v>INSERT INTO tbFinanceItemSeq(Report,ItemSeqID,ItemSN,ItemID) VALUES('PNLD',209,207,965)</v>
      </c>
    </row>
    <row r="211" spans="1:6">
      <c r="A211" t="s">
        <v>322</v>
      </c>
      <c r="B211">
        <v>210</v>
      </c>
      <c r="C211">
        <v>208</v>
      </c>
      <c r="D211">
        <v>966</v>
      </c>
      <c r="E211" t="s">
        <v>532</v>
      </c>
      <c r="F211" t="str">
        <f t="shared" si="3"/>
        <v>INSERT INTO tbFinanceItemSeq(Report,ItemSeqID,ItemSN,ItemID) VALUES('PNLD',210,208,966)</v>
      </c>
    </row>
    <row r="212" spans="1:6">
      <c r="A212" t="s">
        <v>322</v>
      </c>
      <c r="B212">
        <v>211</v>
      </c>
      <c r="C212">
        <v>209</v>
      </c>
      <c r="D212">
        <v>967</v>
      </c>
      <c r="E212" t="s">
        <v>533</v>
      </c>
      <c r="F212" t="str">
        <f t="shared" si="3"/>
        <v>INSERT INTO tbFinanceItemSeq(Report,ItemSeqID,ItemSN,ItemID) VALUES('PNLD',211,209,967)</v>
      </c>
    </row>
    <row r="213" spans="1:6">
      <c r="A213" t="s">
        <v>322</v>
      </c>
      <c r="B213">
        <v>212</v>
      </c>
      <c r="C213">
        <v>210</v>
      </c>
      <c r="D213">
        <v>968</v>
      </c>
      <c r="E213" t="s">
        <v>534</v>
      </c>
      <c r="F213" t="str">
        <f t="shared" si="3"/>
        <v>INSERT INTO tbFinanceItemSeq(Report,ItemSeqID,ItemSN,ItemID) VALUES('PNLD',212,210,968)</v>
      </c>
    </row>
    <row r="214" spans="1:6">
      <c r="A214" t="s">
        <v>322</v>
      </c>
      <c r="B214">
        <v>213</v>
      </c>
      <c r="C214">
        <v>211</v>
      </c>
      <c r="D214">
        <v>969</v>
      </c>
      <c r="E214" t="s">
        <v>535</v>
      </c>
      <c r="F214" t="str">
        <f t="shared" si="3"/>
        <v>INSERT INTO tbFinanceItemSeq(Report,ItemSeqID,ItemSN,ItemID) VALUES('PNLD',213,211,969)</v>
      </c>
    </row>
    <row r="215" spans="1:6">
      <c r="A215" t="s">
        <v>322</v>
      </c>
      <c r="B215">
        <v>214</v>
      </c>
      <c r="C215">
        <v>212</v>
      </c>
      <c r="D215">
        <v>970</v>
      </c>
      <c r="E215" t="s">
        <v>536</v>
      </c>
      <c r="F215" t="str">
        <f t="shared" si="3"/>
        <v>INSERT INTO tbFinanceItemSeq(Report,ItemSeqID,ItemSN,ItemID) VALUES('PNLD',214,212,970)</v>
      </c>
    </row>
    <row r="216" spans="1:6">
      <c r="A216" t="s">
        <v>322</v>
      </c>
      <c r="B216">
        <v>215</v>
      </c>
      <c r="C216">
        <v>213</v>
      </c>
      <c r="D216">
        <v>971</v>
      </c>
      <c r="E216" t="s">
        <v>537</v>
      </c>
      <c r="F216" t="str">
        <f t="shared" si="3"/>
        <v>INSERT INTO tbFinanceItemSeq(Report,ItemSeqID,ItemSN,ItemID) VALUES('PNLD',215,213,971)</v>
      </c>
    </row>
    <row r="217" spans="1:6">
      <c r="A217" t="s">
        <v>322</v>
      </c>
      <c r="B217">
        <v>216</v>
      </c>
      <c r="C217">
        <v>214</v>
      </c>
      <c r="D217">
        <v>972</v>
      </c>
      <c r="E217" t="s">
        <v>538</v>
      </c>
      <c r="F217" t="str">
        <f t="shared" si="3"/>
        <v>INSERT INTO tbFinanceItemSeq(Report,ItemSeqID,ItemSN,ItemID) VALUES('PNLD',216,214,972)</v>
      </c>
    </row>
    <row r="218" spans="1:6">
      <c r="A218" t="s">
        <v>322</v>
      </c>
      <c r="B218">
        <v>217</v>
      </c>
      <c r="C218">
        <v>215</v>
      </c>
      <c r="D218">
        <v>973</v>
      </c>
      <c r="E218" t="s">
        <v>539</v>
      </c>
      <c r="F218" t="str">
        <f t="shared" si="3"/>
        <v>INSERT INTO tbFinanceItemSeq(Report,ItemSeqID,ItemSN,ItemID) VALUES('PNLD',217,215,973)</v>
      </c>
    </row>
    <row r="219" spans="1:6">
      <c r="A219" t="s">
        <v>322</v>
      </c>
      <c r="B219">
        <v>218</v>
      </c>
      <c r="C219">
        <v>216</v>
      </c>
      <c r="D219">
        <v>974</v>
      </c>
      <c r="E219" t="s">
        <v>540</v>
      </c>
      <c r="F219" t="str">
        <f t="shared" si="3"/>
        <v>INSERT INTO tbFinanceItemSeq(Report,ItemSeqID,ItemSN,ItemID) VALUES('PNLD',218,216,974)</v>
      </c>
    </row>
    <row r="220" spans="1:6">
      <c r="A220" t="s">
        <v>322</v>
      </c>
      <c r="B220">
        <v>219</v>
      </c>
      <c r="C220">
        <v>217</v>
      </c>
      <c r="D220">
        <v>1359</v>
      </c>
      <c r="E220" t="s">
        <v>541</v>
      </c>
      <c r="F220" t="str">
        <f t="shared" si="3"/>
        <v>INSERT INTO tbFinanceItemSeq(Report,ItemSeqID,ItemSN,ItemID) VALUES('PNLD',219,217,1359)</v>
      </c>
    </row>
    <row r="221" spans="1:6">
      <c r="A221" t="s">
        <v>322</v>
      </c>
      <c r="B221">
        <v>220</v>
      </c>
      <c r="C221">
        <v>218</v>
      </c>
      <c r="D221">
        <v>975</v>
      </c>
      <c r="E221" t="s">
        <v>542</v>
      </c>
      <c r="F221" t="str">
        <f t="shared" si="3"/>
        <v>INSERT INTO tbFinanceItemSeq(Report,ItemSeqID,ItemSN,ItemID) VALUES('PNLD',220,218,975)</v>
      </c>
    </row>
    <row r="222" spans="1:6">
      <c r="A222" t="s">
        <v>322</v>
      </c>
      <c r="B222">
        <v>221</v>
      </c>
      <c r="C222">
        <v>219</v>
      </c>
      <c r="D222">
        <v>976</v>
      </c>
      <c r="E222" t="s">
        <v>543</v>
      </c>
      <c r="F222" t="str">
        <f t="shared" si="3"/>
        <v>INSERT INTO tbFinanceItemSeq(Report,ItemSeqID,ItemSN,ItemID) VALUES('PNLD',221,219,976)</v>
      </c>
    </row>
    <row r="223" spans="1:6">
      <c r="A223" t="s">
        <v>322</v>
      </c>
      <c r="B223">
        <v>222</v>
      </c>
      <c r="C223">
        <v>220</v>
      </c>
      <c r="D223">
        <v>977</v>
      </c>
      <c r="E223" t="s">
        <v>544</v>
      </c>
      <c r="F223" t="str">
        <f t="shared" si="3"/>
        <v>INSERT INTO tbFinanceItemSeq(Report,ItemSeqID,ItemSN,ItemID) VALUES('PNLD',222,220,977)</v>
      </c>
    </row>
    <row r="224" spans="1:6">
      <c r="A224" t="s">
        <v>322</v>
      </c>
      <c r="B224">
        <v>223</v>
      </c>
      <c r="C224">
        <v>221</v>
      </c>
      <c r="D224">
        <v>978</v>
      </c>
      <c r="E224" t="s">
        <v>545</v>
      </c>
      <c r="F224" t="str">
        <f t="shared" si="3"/>
        <v>INSERT INTO tbFinanceItemSeq(Report,ItemSeqID,ItemSN,ItemID) VALUES('PNLD',223,221,978)</v>
      </c>
    </row>
    <row r="225" spans="1:6">
      <c r="A225" t="s">
        <v>322</v>
      </c>
      <c r="B225">
        <v>224</v>
      </c>
      <c r="C225">
        <v>222</v>
      </c>
      <c r="D225">
        <v>979</v>
      </c>
      <c r="E225" t="s">
        <v>546</v>
      </c>
      <c r="F225" t="str">
        <f t="shared" si="3"/>
        <v>INSERT INTO tbFinanceItemSeq(Report,ItemSeqID,ItemSN,ItemID) VALUES('PNLD',224,222,979)</v>
      </c>
    </row>
    <row r="226" spans="1:6">
      <c r="A226" t="s">
        <v>322</v>
      </c>
      <c r="B226">
        <v>225</v>
      </c>
      <c r="C226">
        <v>223</v>
      </c>
      <c r="D226">
        <v>980</v>
      </c>
      <c r="E226" t="s">
        <v>547</v>
      </c>
      <c r="F226" t="str">
        <f t="shared" si="3"/>
        <v>INSERT INTO tbFinanceItemSeq(Report,ItemSeqID,ItemSN,ItemID) VALUES('PNLD',225,223,980)</v>
      </c>
    </row>
    <row r="227" spans="1:6">
      <c r="A227" t="s">
        <v>322</v>
      </c>
      <c r="B227">
        <v>226</v>
      </c>
      <c r="C227">
        <v>224</v>
      </c>
      <c r="D227">
        <v>981</v>
      </c>
      <c r="E227" t="s">
        <v>548</v>
      </c>
      <c r="F227" t="str">
        <f t="shared" si="3"/>
        <v>INSERT INTO tbFinanceItemSeq(Report,ItemSeqID,ItemSN,ItemID) VALUES('PNLD',226,224,981)</v>
      </c>
    </row>
    <row r="228" spans="1:6">
      <c r="A228" t="s">
        <v>322</v>
      </c>
      <c r="B228">
        <v>227</v>
      </c>
      <c r="C228">
        <v>225</v>
      </c>
      <c r="D228">
        <v>982</v>
      </c>
      <c r="E228" t="s">
        <v>549</v>
      </c>
      <c r="F228" t="str">
        <f t="shared" si="3"/>
        <v>INSERT INTO tbFinanceItemSeq(Report,ItemSeqID,ItemSN,ItemID) VALUES('PNLD',227,225,982)</v>
      </c>
    </row>
    <row r="229" spans="1:6">
      <c r="A229" t="s">
        <v>322</v>
      </c>
      <c r="B229">
        <v>228</v>
      </c>
      <c r="C229">
        <v>226</v>
      </c>
      <c r="D229">
        <v>1360</v>
      </c>
      <c r="E229" t="s">
        <v>550</v>
      </c>
      <c r="F229" t="str">
        <f t="shared" si="3"/>
        <v>INSERT INTO tbFinanceItemSeq(Report,ItemSeqID,ItemSN,ItemID) VALUES('PNLD',228,226,1360)</v>
      </c>
    </row>
    <row r="230" spans="1:6">
      <c r="A230" t="s">
        <v>322</v>
      </c>
      <c r="B230">
        <v>229</v>
      </c>
      <c r="C230">
        <v>227</v>
      </c>
      <c r="D230">
        <v>983</v>
      </c>
      <c r="E230" t="s">
        <v>551</v>
      </c>
      <c r="F230" t="str">
        <f t="shared" si="3"/>
        <v>INSERT INTO tbFinanceItemSeq(Report,ItemSeqID,ItemSN,ItemID) VALUES('PNLD',229,227,983)</v>
      </c>
    </row>
    <row r="231" spans="1:6">
      <c r="A231" t="s">
        <v>322</v>
      </c>
      <c r="B231">
        <v>230</v>
      </c>
      <c r="C231">
        <v>228</v>
      </c>
      <c r="D231">
        <v>984</v>
      </c>
      <c r="E231" t="s">
        <v>552</v>
      </c>
      <c r="F231" t="str">
        <f t="shared" si="3"/>
        <v>INSERT INTO tbFinanceItemSeq(Report,ItemSeqID,ItemSN,ItemID) VALUES('PNLD',230,228,984)</v>
      </c>
    </row>
    <row r="232" spans="1:6">
      <c r="A232" t="s">
        <v>322</v>
      </c>
      <c r="B232">
        <v>231</v>
      </c>
      <c r="C232">
        <v>229</v>
      </c>
      <c r="D232">
        <v>985</v>
      </c>
      <c r="E232" t="s">
        <v>553</v>
      </c>
      <c r="F232" t="str">
        <f t="shared" si="3"/>
        <v>INSERT INTO tbFinanceItemSeq(Report,ItemSeqID,ItemSN,ItemID) VALUES('PNLD',231,229,985)</v>
      </c>
    </row>
    <row r="233" spans="1:6">
      <c r="A233" t="s">
        <v>322</v>
      </c>
      <c r="B233">
        <v>232</v>
      </c>
      <c r="C233">
        <v>230</v>
      </c>
      <c r="D233">
        <v>986</v>
      </c>
      <c r="E233" t="s">
        <v>554</v>
      </c>
      <c r="F233" t="str">
        <f t="shared" si="3"/>
        <v>INSERT INTO tbFinanceItemSeq(Report,ItemSeqID,ItemSN,ItemID) VALUES('PNLD',232,230,986)</v>
      </c>
    </row>
    <row r="234" spans="1:6">
      <c r="A234" t="s">
        <v>322</v>
      </c>
      <c r="B234">
        <v>233</v>
      </c>
      <c r="C234">
        <v>231</v>
      </c>
      <c r="D234">
        <v>987</v>
      </c>
      <c r="E234" t="s">
        <v>555</v>
      </c>
      <c r="F234" t="str">
        <f t="shared" si="3"/>
        <v>INSERT INTO tbFinanceItemSeq(Report,ItemSeqID,ItemSN,ItemID) VALUES('PNLD',233,231,987)</v>
      </c>
    </row>
    <row r="235" spans="1:6">
      <c r="A235" t="s">
        <v>322</v>
      </c>
      <c r="B235">
        <v>234</v>
      </c>
      <c r="C235">
        <v>232</v>
      </c>
      <c r="D235">
        <v>988</v>
      </c>
      <c r="E235" t="s">
        <v>556</v>
      </c>
      <c r="F235" t="str">
        <f t="shared" si="3"/>
        <v>INSERT INTO tbFinanceItemSeq(Report,ItemSeqID,ItemSN,ItemID) VALUES('PNLD',234,232,988)</v>
      </c>
    </row>
    <row r="236" spans="1:6">
      <c r="A236" t="s">
        <v>322</v>
      </c>
      <c r="B236">
        <v>235</v>
      </c>
      <c r="C236">
        <v>233</v>
      </c>
      <c r="D236">
        <v>989</v>
      </c>
      <c r="E236" t="s">
        <v>557</v>
      </c>
      <c r="F236" t="str">
        <f t="shared" si="3"/>
        <v>INSERT INTO tbFinanceItemSeq(Report,ItemSeqID,ItemSN,ItemID) VALUES('PNLD',235,233,989)</v>
      </c>
    </row>
    <row r="237" spans="1:6">
      <c r="A237" t="s">
        <v>322</v>
      </c>
      <c r="B237">
        <v>236</v>
      </c>
      <c r="C237">
        <v>234</v>
      </c>
      <c r="D237">
        <v>1361</v>
      </c>
      <c r="E237" t="s">
        <v>558</v>
      </c>
      <c r="F237" t="str">
        <f t="shared" si="3"/>
        <v>INSERT INTO tbFinanceItemSeq(Report,ItemSeqID,ItemSN,ItemID) VALUES('PNLD',236,234,1361)</v>
      </c>
    </row>
    <row r="238" spans="1:6">
      <c r="A238" t="s">
        <v>322</v>
      </c>
      <c r="B238">
        <v>237</v>
      </c>
      <c r="C238">
        <v>235</v>
      </c>
      <c r="D238">
        <v>990</v>
      </c>
      <c r="E238" t="s">
        <v>559</v>
      </c>
      <c r="F238" t="str">
        <f t="shared" si="3"/>
        <v>INSERT INTO tbFinanceItemSeq(Report,ItemSeqID,ItemSN,ItemID) VALUES('PNLD',237,235,990)</v>
      </c>
    </row>
    <row r="239" spans="1:6">
      <c r="A239" t="s">
        <v>322</v>
      </c>
      <c r="B239">
        <v>238</v>
      </c>
      <c r="C239">
        <v>236</v>
      </c>
      <c r="D239">
        <v>991</v>
      </c>
      <c r="E239" t="s">
        <v>560</v>
      </c>
      <c r="F239" t="str">
        <f t="shared" si="3"/>
        <v>INSERT INTO tbFinanceItemSeq(Report,ItemSeqID,ItemSN,ItemID) VALUES('PNLD',238,236,991)</v>
      </c>
    </row>
    <row r="240" spans="1:6">
      <c r="A240" t="s">
        <v>322</v>
      </c>
      <c r="B240">
        <v>239</v>
      </c>
      <c r="C240">
        <v>237</v>
      </c>
      <c r="D240">
        <v>992</v>
      </c>
      <c r="E240" t="s">
        <v>561</v>
      </c>
      <c r="F240" t="str">
        <f t="shared" si="3"/>
        <v>INSERT INTO tbFinanceItemSeq(Report,ItemSeqID,ItemSN,ItemID) VALUES('PNLD',239,237,992)</v>
      </c>
    </row>
    <row r="241" spans="1:6">
      <c r="A241" t="s">
        <v>322</v>
      </c>
      <c r="B241">
        <v>240</v>
      </c>
      <c r="C241">
        <v>238</v>
      </c>
      <c r="D241">
        <v>993</v>
      </c>
      <c r="E241" t="s">
        <v>562</v>
      </c>
      <c r="F241" t="str">
        <f t="shared" si="3"/>
        <v>INSERT INTO tbFinanceItemSeq(Report,ItemSeqID,ItemSN,ItemID) VALUES('PNLD',240,238,993)</v>
      </c>
    </row>
    <row r="242" spans="1:6">
      <c r="A242" t="s">
        <v>322</v>
      </c>
      <c r="B242">
        <v>241</v>
      </c>
      <c r="C242">
        <v>239</v>
      </c>
      <c r="D242">
        <v>994</v>
      </c>
      <c r="E242" t="s">
        <v>563</v>
      </c>
      <c r="F242" t="str">
        <f t="shared" si="3"/>
        <v>INSERT INTO tbFinanceItemSeq(Report,ItemSeqID,ItemSN,ItemID) VALUES('PNLD',241,239,994)</v>
      </c>
    </row>
    <row r="243" spans="1:6">
      <c r="A243" t="s">
        <v>322</v>
      </c>
      <c r="B243">
        <v>242</v>
      </c>
      <c r="C243">
        <v>240</v>
      </c>
      <c r="D243">
        <v>995</v>
      </c>
      <c r="E243" t="s">
        <v>564</v>
      </c>
      <c r="F243" t="str">
        <f t="shared" si="3"/>
        <v>INSERT INTO tbFinanceItemSeq(Report,ItemSeqID,ItemSN,ItemID) VALUES('PNLD',242,240,995)</v>
      </c>
    </row>
    <row r="244" spans="1:6">
      <c r="A244" t="s">
        <v>322</v>
      </c>
      <c r="B244">
        <v>243</v>
      </c>
      <c r="C244">
        <v>241</v>
      </c>
      <c r="D244">
        <v>996</v>
      </c>
      <c r="E244" t="s">
        <v>565</v>
      </c>
      <c r="F244" t="str">
        <f t="shared" si="3"/>
        <v>INSERT INTO tbFinanceItemSeq(Report,ItemSeqID,ItemSN,ItemID) VALUES('PNLD',243,241,996)</v>
      </c>
    </row>
    <row r="245" spans="1:6">
      <c r="A245" t="s">
        <v>322</v>
      </c>
      <c r="B245">
        <v>244</v>
      </c>
      <c r="C245">
        <v>242</v>
      </c>
      <c r="D245">
        <v>997</v>
      </c>
      <c r="E245" t="s">
        <v>566</v>
      </c>
      <c r="F245" t="str">
        <f t="shared" si="3"/>
        <v>INSERT INTO tbFinanceItemSeq(Report,ItemSeqID,ItemSN,ItemID) VALUES('PNLD',244,242,997)</v>
      </c>
    </row>
    <row r="246" spans="1:6">
      <c r="A246" t="s">
        <v>322</v>
      </c>
      <c r="B246">
        <v>245</v>
      </c>
      <c r="C246">
        <v>243</v>
      </c>
      <c r="D246">
        <v>998</v>
      </c>
      <c r="E246" t="s">
        <v>567</v>
      </c>
      <c r="F246" t="str">
        <f t="shared" si="3"/>
        <v>INSERT INTO tbFinanceItemSeq(Report,ItemSeqID,ItemSN,ItemID) VALUES('PNLD',245,243,998)</v>
      </c>
    </row>
    <row r="247" spans="1:6">
      <c r="A247" t="s">
        <v>322</v>
      </c>
      <c r="B247">
        <v>246</v>
      </c>
      <c r="C247">
        <v>244</v>
      </c>
      <c r="D247">
        <v>999</v>
      </c>
      <c r="E247" t="s">
        <v>568</v>
      </c>
      <c r="F247" t="str">
        <f t="shared" si="3"/>
        <v>INSERT INTO tbFinanceItemSeq(Report,ItemSeqID,ItemSN,ItemID) VALUES('PNLD',246,244,999)</v>
      </c>
    </row>
    <row r="248" spans="1:6">
      <c r="A248" t="s">
        <v>322</v>
      </c>
      <c r="B248">
        <v>247</v>
      </c>
      <c r="C248">
        <v>245</v>
      </c>
      <c r="D248">
        <v>1362</v>
      </c>
      <c r="E248" t="s">
        <v>569</v>
      </c>
      <c r="F248" t="str">
        <f t="shared" si="3"/>
        <v>INSERT INTO tbFinanceItemSeq(Report,ItemSeqID,ItemSN,ItemID) VALUES('PNLD',247,245,1362)</v>
      </c>
    </row>
    <row r="249" spans="1:6">
      <c r="A249" t="s">
        <v>322</v>
      </c>
      <c r="B249">
        <v>248</v>
      </c>
      <c r="C249">
        <v>246</v>
      </c>
      <c r="D249">
        <v>1000</v>
      </c>
      <c r="E249" t="s">
        <v>570</v>
      </c>
      <c r="F249" t="str">
        <f t="shared" si="3"/>
        <v>INSERT INTO tbFinanceItemSeq(Report,ItemSeqID,ItemSN,ItemID) VALUES('PNLD',248,246,1000)</v>
      </c>
    </row>
    <row r="250" spans="1:6">
      <c r="A250" t="s">
        <v>322</v>
      </c>
      <c r="B250">
        <v>249</v>
      </c>
      <c r="C250">
        <v>247</v>
      </c>
      <c r="D250">
        <v>1001</v>
      </c>
      <c r="E250" t="s">
        <v>571</v>
      </c>
      <c r="F250" t="str">
        <f t="shared" si="3"/>
        <v>INSERT INTO tbFinanceItemSeq(Report,ItemSeqID,ItemSN,ItemID) VALUES('PNLD',249,247,1001)</v>
      </c>
    </row>
    <row r="251" spans="1:6">
      <c r="A251" t="s">
        <v>322</v>
      </c>
      <c r="B251">
        <v>250</v>
      </c>
      <c r="C251">
        <v>248</v>
      </c>
      <c r="D251">
        <v>1002</v>
      </c>
      <c r="E251" t="s">
        <v>572</v>
      </c>
      <c r="F251" t="str">
        <f t="shared" si="3"/>
        <v>INSERT INTO tbFinanceItemSeq(Report,ItemSeqID,ItemSN,ItemID) VALUES('PNLD',250,248,1002)</v>
      </c>
    </row>
    <row r="252" spans="1:6">
      <c r="A252" t="s">
        <v>322</v>
      </c>
      <c r="B252">
        <v>251</v>
      </c>
      <c r="C252">
        <v>249</v>
      </c>
      <c r="D252">
        <v>1003</v>
      </c>
      <c r="E252" t="s">
        <v>573</v>
      </c>
      <c r="F252" t="str">
        <f t="shared" si="3"/>
        <v>INSERT INTO tbFinanceItemSeq(Report,ItemSeqID,ItemSN,ItemID) VALUES('PNLD',251,249,1003)</v>
      </c>
    </row>
    <row r="253" spans="1:6">
      <c r="A253" t="s">
        <v>322</v>
      </c>
      <c r="B253">
        <v>252</v>
      </c>
      <c r="C253">
        <v>250</v>
      </c>
      <c r="D253">
        <v>1004</v>
      </c>
      <c r="E253" t="s">
        <v>574</v>
      </c>
      <c r="F253" t="str">
        <f t="shared" si="3"/>
        <v>INSERT INTO tbFinanceItemSeq(Report,ItemSeqID,ItemSN,ItemID) VALUES('PNLD',252,250,1004)</v>
      </c>
    </row>
    <row r="254" spans="1:6">
      <c r="A254" t="s">
        <v>322</v>
      </c>
      <c r="B254">
        <v>253</v>
      </c>
      <c r="C254">
        <v>251</v>
      </c>
      <c r="D254">
        <v>1005</v>
      </c>
      <c r="E254" t="s">
        <v>575</v>
      </c>
      <c r="F254" t="str">
        <f t="shared" si="3"/>
        <v>INSERT INTO tbFinanceItemSeq(Report,ItemSeqID,ItemSN,ItemID) VALUES('PNLD',253,251,1005)</v>
      </c>
    </row>
    <row r="255" spans="1:6">
      <c r="A255" t="s">
        <v>322</v>
      </c>
      <c r="B255">
        <v>254</v>
      </c>
      <c r="C255">
        <v>252</v>
      </c>
      <c r="D255">
        <v>1006</v>
      </c>
      <c r="E255" t="s">
        <v>576</v>
      </c>
      <c r="F255" t="str">
        <f t="shared" si="3"/>
        <v>INSERT INTO tbFinanceItemSeq(Report,ItemSeqID,ItemSN,ItemID) VALUES('PNLD',254,252,1006)</v>
      </c>
    </row>
    <row r="256" spans="1:6">
      <c r="A256" t="s">
        <v>322</v>
      </c>
      <c r="B256">
        <v>255</v>
      </c>
      <c r="C256">
        <v>253</v>
      </c>
      <c r="D256">
        <v>1007</v>
      </c>
      <c r="E256" t="s">
        <v>577</v>
      </c>
      <c r="F256" t="str">
        <f t="shared" si="3"/>
        <v>INSERT INTO tbFinanceItemSeq(Report,ItemSeqID,ItemSN,ItemID) VALUES('PNLD',255,253,1007)</v>
      </c>
    </row>
    <row r="257" spans="1:6">
      <c r="A257" t="s">
        <v>322</v>
      </c>
      <c r="B257">
        <v>256</v>
      </c>
      <c r="C257">
        <v>254</v>
      </c>
      <c r="D257">
        <v>1008</v>
      </c>
      <c r="E257" t="s">
        <v>578</v>
      </c>
      <c r="F257" t="str">
        <f t="shared" si="3"/>
        <v>INSERT INTO tbFinanceItemSeq(Report,ItemSeqID,ItemSN,ItemID) VALUES('PNLD',256,254,1008)</v>
      </c>
    </row>
    <row r="258" spans="1:6">
      <c r="A258" t="s">
        <v>322</v>
      </c>
      <c r="B258">
        <v>257</v>
      </c>
      <c r="C258">
        <v>255</v>
      </c>
      <c r="D258">
        <v>1363</v>
      </c>
      <c r="E258" t="s">
        <v>579</v>
      </c>
      <c r="F258" t="str">
        <f t="shared" si="3"/>
        <v>INSERT INTO tbFinanceItemSeq(Report,ItemSeqID,ItemSN,ItemID) VALUES('PNLD',257,255,1363)</v>
      </c>
    </row>
    <row r="259" spans="1:6">
      <c r="A259" t="s">
        <v>322</v>
      </c>
      <c r="B259">
        <v>258</v>
      </c>
      <c r="C259">
        <v>256</v>
      </c>
      <c r="D259">
        <v>1009</v>
      </c>
      <c r="E259" t="s">
        <v>580</v>
      </c>
      <c r="F259" t="str">
        <f t="shared" ref="F259:F322" si="4">CONCATENATE("INSERT INTO tbFinanceItemSeq(Report,ItemSeqID,ItemSN,ItemID) VALUES('",A259,"',",B259,",",C259,",",D259,")")</f>
        <v>INSERT INTO tbFinanceItemSeq(Report,ItemSeqID,ItemSN,ItemID) VALUES('PNLD',258,256,1009)</v>
      </c>
    </row>
    <row r="260" spans="1:6">
      <c r="A260" t="s">
        <v>322</v>
      </c>
      <c r="B260">
        <v>259</v>
      </c>
      <c r="C260">
        <v>257</v>
      </c>
      <c r="D260">
        <v>1010</v>
      </c>
      <c r="E260" t="s">
        <v>581</v>
      </c>
      <c r="F260" t="str">
        <f t="shared" si="4"/>
        <v>INSERT INTO tbFinanceItemSeq(Report,ItemSeqID,ItemSN,ItemID) VALUES('PNLD',259,257,1010)</v>
      </c>
    </row>
    <row r="261" spans="1:6">
      <c r="A261" t="s">
        <v>322</v>
      </c>
      <c r="B261">
        <v>260</v>
      </c>
      <c r="C261">
        <v>258</v>
      </c>
      <c r="D261">
        <v>1011</v>
      </c>
      <c r="E261" t="s">
        <v>582</v>
      </c>
      <c r="F261" t="str">
        <f t="shared" si="4"/>
        <v>INSERT INTO tbFinanceItemSeq(Report,ItemSeqID,ItemSN,ItemID) VALUES('PNLD',260,258,1011)</v>
      </c>
    </row>
    <row r="262" spans="1:6">
      <c r="A262" t="s">
        <v>322</v>
      </c>
      <c r="B262">
        <v>261</v>
      </c>
      <c r="C262">
        <v>259</v>
      </c>
      <c r="D262">
        <v>1012</v>
      </c>
      <c r="E262" t="s">
        <v>583</v>
      </c>
      <c r="F262" t="str">
        <f t="shared" si="4"/>
        <v>INSERT INTO tbFinanceItemSeq(Report,ItemSeqID,ItemSN,ItemID) VALUES('PNLD',261,259,1012)</v>
      </c>
    </row>
    <row r="263" spans="1:6">
      <c r="A263" t="s">
        <v>322</v>
      </c>
      <c r="B263">
        <v>262</v>
      </c>
      <c r="C263">
        <v>260</v>
      </c>
      <c r="D263">
        <v>1013</v>
      </c>
      <c r="E263" t="s">
        <v>584</v>
      </c>
      <c r="F263" t="str">
        <f t="shared" si="4"/>
        <v>INSERT INTO tbFinanceItemSeq(Report,ItemSeqID,ItemSN,ItemID) VALUES('PNLD',262,260,1013)</v>
      </c>
    </row>
    <row r="264" spans="1:6">
      <c r="A264" t="s">
        <v>322</v>
      </c>
      <c r="B264">
        <v>263</v>
      </c>
      <c r="C264">
        <v>261</v>
      </c>
      <c r="D264">
        <v>1364</v>
      </c>
      <c r="E264" t="s">
        <v>585</v>
      </c>
      <c r="F264" t="str">
        <f t="shared" si="4"/>
        <v>INSERT INTO tbFinanceItemSeq(Report,ItemSeqID,ItemSN,ItemID) VALUES('PNLD',263,261,1364)</v>
      </c>
    </row>
    <row r="265" spans="1:6">
      <c r="A265" t="s">
        <v>322</v>
      </c>
      <c r="B265">
        <v>264</v>
      </c>
      <c r="C265">
        <v>262</v>
      </c>
      <c r="D265">
        <v>1014</v>
      </c>
      <c r="E265" t="s">
        <v>586</v>
      </c>
      <c r="F265" t="str">
        <f t="shared" si="4"/>
        <v>INSERT INTO tbFinanceItemSeq(Report,ItemSeqID,ItemSN,ItemID) VALUES('PNLD',264,262,1014)</v>
      </c>
    </row>
    <row r="266" spans="1:6">
      <c r="A266" t="s">
        <v>322</v>
      </c>
      <c r="B266">
        <v>265</v>
      </c>
      <c r="C266">
        <v>263</v>
      </c>
      <c r="D266">
        <v>1015</v>
      </c>
      <c r="E266" t="s">
        <v>587</v>
      </c>
      <c r="F266" t="str">
        <f t="shared" si="4"/>
        <v>INSERT INTO tbFinanceItemSeq(Report,ItemSeqID,ItemSN,ItemID) VALUES('PNLD',265,263,1015)</v>
      </c>
    </row>
    <row r="267" spans="1:6">
      <c r="A267" t="s">
        <v>322</v>
      </c>
      <c r="B267">
        <v>266</v>
      </c>
      <c r="C267">
        <v>264</v>
      </c>
      <c r="D267">
        <v>1016</v>
      </c>
      <c r="E267" t="s">
        <v>588</v>
      </c>
      <c r="F267" t="str">
        <f t="shared" si="4"/>
        <v>INSERT INTO tbFinanceItemSeq(Report,ItemSeqID,ItemSN,ItemID) VALUES('PNLD',266,264,1016)</v>
      </c>
    </row>
    <row r="268" spans="1:6">
      <c r="A268" t="s">
        <v>322</v>
      </c>
      <c r="B268">
        <v>267</v>
      </c>
      <c r="C268">
        <v>265</v>
      </c>
      <c r="D268">
        <v>1017</v>
      </c>
      <c r="E268" t="s">
        <v>589</v>
      </c>
      <c r="F268" t="str">
        <f t="shared" si="4"/>
        <v>INSERT INTO tbFinanceItemSeq(Report,ItemSeqID,ItemSN,ItemID) VALUES('PNLD',267,265,1017)</v>
      </c>
    </row>
    <row r="269" spans="1:6">
      <c r="A269" t="s">
        <v>322</v>
      </c>
      <c r="B269">
        <v>268</v>
      </c>
      <c r="C269">
        <v>266</v>
      </c>
      <c r="D269">
        <v>1018</v>
      </c>
      <c r="E269" t="s">
        <v>590</v>
      </c>
      <c r="F269" t="str">
        <f t="shared" si="4"/>
        <v>INSERT INTO tbFinanceItemSeq(Report,ItemSeqID,ItemSN,ItemID) VALUES('PNLD',268,266,1018)</v>
      </c>
    </row>
    <row r="270" spans="1:6">
      <c r="A270" t="s">
        <v>322</v>
      </c>
      <c r="B270">
        <v>269</v>
      </c>
      <c r="C270">
        <v>267</v>
      </c>
      <c r="D270">
        <v>1019</v>
      </c>
      <c r="E270" t="s">
        <v>591</v>
      </c>
      <c r="F270" t="str">
        <f t="shared" si="4"/>
        <v>INSERT INTO tbFinanceItemSeq(Report,ItemSeqID,ItemSN,ItemID) VALUES('PNLD',269,267,1019)</v>
      </c>
    </row>
    <row r="271" spans="1:6">
      <c r="A271" t="s">
        <v>322</v>
      </c>
      <c r="B271">
        <v>270</v>
      </c>
      <c r="C271">
        <v>268</v>
      </c>
      <c r="D271">
        <v>1020</v>
      </c>
      <c r="E271" t="s">
        <v>592</v>
      </c>
      <c r="F271" t="str">
        <f t="shared" si="4"/>
        <v>INSERT INTO tbFinanceItemSeq(Report,ItemSeqID,ItemSN,ItemID) VALUES('PNLD',270,268,1020)</v>
      </c>
    </row>
    <row r="272" spans="1:6">
      <c r="A272" t="s">
        <v>322</v>
      </c>
      <c r="B272">
        <v>271</v>
      </c>
      <c r="C272">
        <v>269</v>
      </c>
      <c r="D272">
        <v>1021</v>
      </c>
      <c r="E272" t="s">
        <v>593</v>
      </c>
      <c r="F272" t="str">
        <f t="shared" si="4"/>
        <v>INSERT INTO tbFinanceItemSeq(Report,ItemSeqID,ItemSN,ItemID) VALUES('PNLD',271,269,1021)</v>
      </c>
    </row>
    <row r="273" spans="1:6">
      <c r="A273" t="s">
        <v>322</v>
      </c>
      <c r="B273">
        <v>272</v>
      </c>
      <c r="C273">
        <v>270</v>
      </c>
      <c r="D273">
        <v>1389</v>
      </c>
      <c r="E273" t="s">
        <v>594</v>
      </c>
      <c r="F273" t="str">
        <f t="shared" si="4"/>
        <v>INSERT INTO tbFinanceItemSeq(Report,ItemSeqID,ItemSN,ItemID) VALUES('PNLD',272,270,1389)</v>
      </c>
    </row>
    <row r="274" spans="1:6">
      <c r="A274" t="s">
        <v>322</v>
      </c>
      <c r="B274">
        <v>273</v>
      </c>
      <c r="C274">
        <v>271</v>
      </c>
      <c r="D274">
        <v>1022</v>
      </c>
      <c r="E274" t="s">
        <v>595</v>
      </c>
      <c r="F274" t="str">
        <f t="shared" si="4"/>
        <v>INSERT INTO tbFinanceItemSeq(Report,ItemSeqID,ItemSN,ItemID) VALUES('PNLD',273,271,1022)</v>
      </c>
    </row>
    <row r="275" spans="1:6">
      <c r="A275" t="s">
        <v>322</v>
      </c>
      <c r="B275">
        <v>274</v>
      </c>
      <c r="C275">
        <v>272</v>
      </c>
      <c r="D275">
        <v>1023</v>
      </c>
      <c r="E275" t="s">
        <v>596</v>
      </c>
      <c r="F275" t="str">
        <f t="shared" si="4"/>
        <v>INSERT INTO tbFinanceItemSeq(Report,ItemSeqID,ItemSN,ItemID) VALUES('PNLD',274,272,1023)</v>
      </c>
    </row>
    <row r="276" spans="1:6">
      <c r="A276" t="s">
        <v>322</v>
      </c>
      <c r="B276">
        <v>275</v>
      </c>
      <c r="C276">
        <v>273</v>
      </c>
      <c r="D276">
        <v>1024</v>
      </c>
      <c r="E276" t="s">
        <v>597</v>
      </c>
      <c r="F276" t="str">
        <f t="shared" si="4"/>
        <v>INSERT INTO tbFinanceItemSeq(Report,ItemSeqID,ItemSN,ItemID) VALUES('PNLD',275,273,1024)</v>
      </c>
    </row>
    <row r="277" spans="1:6">
      <c r="A277" t="s">
        <v>322</v>
      </c>
      <c r="B277">
        <v>276</v>
      </c>
      <c r="C277">
        <v>274</v>
      </c>
      <c r="D277">
        <v>1025</v>
      </c>
      <c r="E277" t="s">
        <v>598</v>
      </c>
      <c r="F277" t="str">
        <f t="shared" si="4"/>
        <v>INSERT INTO tbFinanceItemSeq(Report,ItemSeqID,ItemSN,ItemID) VALUES('PNLD',276,274,1025)</v>
      </c>
    </row>
    <row r="278" spans="1:6">
      <c r="A278" t="s">
        <v>322</v>
      </c>
      <c r="B278">
        <v>277</v>
      </c>
      <c r="C278">
        <v>275</v>
      </c>
      <c r="D278">
        <v>1365</v>
      </c>
      <c r="E278" t="s">
        <v>599</v>
      </c>
      <c r="F278" t="str">
        <f t="shared" si="4"/>
        <v>INSERT INTO tbFinanceItemSeq(Report,ItemSeqID,ItemSN,ItemID) VALUES('PNLD',277,275,1365)</v>
      </c>
    </row>
    <row r="279" spans="1:6">
      <c r="A279" t="s">
        <v>322</v>
      </c>
      <c r="B279">
        <v>278</v>
      </c>
      <c r="C279">
        <v>276</v>
      </c>
      <c r="D279">
        <v>1373</v>
      </c>
      <c r="E279" t="s">
        <v>600</v>
      </c>
      <c r="F279" t="str">
        <f t="shared" si="4"/>
        <v>INSERT INTO tbFinanceItemSeq(Report,ItemSeqID,ItemSN,ItemID) VALUES('PNLD',278,276,1373)</v>
      </c>
    </row>
    <row r="280" spans="1:6">
      <c r="A280" t="s">
        <v>322</v>
      </c>
      <c r="B280">
        <v>279</v>
      </c>
      <c r="C280">
        <v>277</v>
      </c>
      <c r="D280">
        <v>1374</v>
      </c>
      <c r="E280" t="s">
        <v>601</v>
      </c>
      <c r="F280" t="str">
        <f t="shared" si="4"/>
        <v>INSERT INTO tbFinanceItemSeq(Report,ItemSeqID,ItemSN,ItemID) VALUES('PNLD',279,277,1374)</v>
      </c>
    </row>
    <row r="281" spans="1:6">
      <c r="A281" t="s">
        <v>322</v>
      </c>
      <c r="B281">
        <v>280</v>
      </c>
      <c r="C281">
        <v>278</v>
      </c>
      <c r="D281">
        <v>1026</v>
      </c>
      <c r="E281" t="s">
        <v>602</v>
      </c>
      <c r="F281" t="str">
        <f t="shared" si="4"/>
        <v>INSERT INTO tbFinanceItemSeq(Report,ItemSeqID,ItemSN,ItemID) VALUES('PNLD',280,278,1026)</v>
      </c>
    </row>
    <row r="282" spans="1:6">
      <c r="A282" t="s">
        <v>322</v>
      </c>
      <c r="B282">
        <v>281</v>
      </c>
      <c r="C282">
        <v>279</v>
      </c>
      <c r="D282">
        <v>1027</v>
      </c>
      <c r="E282" t="s">
        <v>603</v>
      </c>
      <c r="F282" t="str">
        <f t="shared" si="4"/>
        <v>INSERT INTO tbFinanceItemSeq(Report,ItemSeqID,ItemSN,ItemID) VALUES('PNLD',281,279,1027)</v>
      </c>
    </row>
    <row r="283" spans="1:6">
      <c r="A283" t="s">
        <v>322</v>
      </c>
      <c r="B283">
        <v>282</v>
      </c>
      <c r="C283">
        <v>280</v>
      </c>
      <c r="D283">
        <v>1028</v>
      </c>
      <c r="E283" t="s">
        <v>604</v>
      </c>
      <c r="F283" t="str">
        <f t="shared" si="4"/>
        <v>INSERT INTO tbFinanceItemSeq(Report,ItemSeqID,ItemSN,ItemID) VALUES('PNLD',282,280,1028)</v>
      </c>
    </row>
    <row r="284" spans="1:6">
      <c r="A284" t="s">
        <v>322</v>
      </c>
      <c r="B284">
        <v>283</v>
      </c>
      <c r="C284">
        <v>281</v>
      </c>
      <c r="D284">
        <v>1587</v>
      </c>
      <c r="E284" t="s">
        <v>605</v>
      </c>
      <c r="F284" t="str">
        <f t="shared" si="4"/>
        <v>INSERT INTO tbFinanceItemSeq(Report,ItemSeqID,ItemSN,ItemID) VALUES('PNLD',283,281,1587)</v>
      </c>
    </row>
    <row r="285" spans="1:6">
      <c r="A285" t="s">
        <v>322</v>
      </c>
      <c r="B285">
        <v>284</v>
      </c>
      <c r="C285">
        <v>282</v>
      </c>
      <c r="D285">
        <v>1586</v>
      </c>
      <c r="E285" t="s">
        <v>606</v>
      </c>
      <c r="F285" t="str">
        <f t="shared" si="4"/>
        <v>INSERT INTO tbFinanceItemSeq(Report,ItemSeqID,ItemSN,ItemID) VALUES('PNLD',284,282,1586)</v>
      </c>
    </row>
    <row r="286" spans="1:6">
      <c r="A286" t="s">
        <v>322</v>
      </c>
      <c r="B286">
        <v>285</v>
      </c>
      <c r="C286">
        <v>283</v>
      </c>
      <c r="D286">
        <v>1029</v>
      </c>
      <c r="E286" t="s">
        <v>607</v>
      </c>
      <c r="F286" t="str">
        <f t="shared" si="4"/>
        <v>INSERT INTO tbFinanceItemSeq(Report,ItemSeqID,ItemSN,ItemID) VALUES('PNLD',285,283,1029)</v>
      </c>
    </row>
    <row r="287" spans="1:6">
      <c r="A287" t="s">
        <v>322</v>
      </c>
      <c r="B287">
        <v>286</v>
      </c>
      <c r="C287">
        <v>284</v>
      </c>
      <c r="D287">
        <v>1030</v>
      </c>
      <c r="E287" t="s">
        <v>608</v>
      </c>
      <c r="F287" t="str">
        <f t="shared" si="4"/>
        <v>INSERT INTO tbFinanceItemSeq(Report,ItemSeqID,ItemSN,ItemID) VALUES('PNLD',286,284,1030)</v>
      </c>
    </row>
    <row r="288" spans="1:6">
      <c r="A288" t="s">
        <v>322</v>
      </c>
      <c r="B288">
        <v>287</v>
      </c>
      <c r="C288">
        <v>285</v>
      </c>
      <c r="D288">
        <v>1031</v>
      </c>
      <c r="E288" t="s">
        <v>609</v>
      </c>
      <c r="F288" t="str">
        <f t="shared" si="4"/>
        <v>INSERT INTO tbFinanceItemSeq(Report,ItemSeqID,ItemSN,ItemID) VALUES('PNLD',287,285,1031)</v>
      </c>
    </row>
    <row r="289" spans="1:6">
      <c r="A289" t="s">
        <v>322</v>
      </c>
      <c r="B289">
        <v>288</v>
      </c>
      <c r="C289">
        <v>286</v>
      </c>
      <c r="D289">
        <v>1032</v>
      </c>
      <c r="E289" t="s">
        <v>610</v>
      </c>
      <c r="F289" t="str">
        <f t="shared" si="4"/>
        <v>INSERT INTO tbFinanceItemSeq(Report,ItemSeqID,ItemSN,ItemID) VALUES('PNLD',288,286,1032)</v>
      </c>
    </row>
    <row r="290" spans="1:6">
      <c r="A290" t="s">
        <v>322</v>
      </c>
      <c r="B290">
        <v>289</v>
      </c>
      <c r="C290">
        <v>287</v>
      </c>
      <c r="D290">
        <v>1366</v>
      </c>
      <c r="E290" t="s">
        <v>611</v>
      </c>
      <c r="F290" t="str">
        <f t="shared" si="4"/>
        <v>INSERT INTO tbFinanceItemSeq(Report,ItemSeqID,ItemSN,ItemID) VALUES('PNLD',289,287,1366)</v>
      </c>
    </row>
    <row r="291" spans="1:6">
      <c r="A291" t="s">
        <v>322</v>
      </c>
      <c r="B291">
        <v>290</v>
      </c>
      <c r="C291">
        <v>288</v>
      </c>
      <c r="D291">
        <v>1033</v>
      </c>
      <c r="E291" t="s">
        <v>612</v>
      </c>
      <c r="F291" t="str">
        <f t="shared" si="4"/>
        <v>INSERT INTO tbFinanceItemSeq(Report,ItemSeqID,ItemSN,ItemID) VALUES('PNLD',290,288,1033)</v>
      </c>
    </row>
    <row r="292" spans="1:6">
      <c r="A292" t="s">
        <v>322</v>
      </c>
      <c r="B292">
        <v>291</v>
      </c>
      <c r="C292">
        <v>289</v>
      </c>
      <c r="D292">
        <v>1034</v>
      </c>
      <c r="E292" t="s">
        <v>613</v>
      </c>
      <c r="F292" t="str">
        <f t="shared" si="4"/>
        <v>INSERT INTO tbFinanceItemSeq(Report,ItemSeqID,ItemSN,ItemID) VALUES('PNLD',291,289,1034)</v>
      </c>
    </row>
    <row r="293" spans="1:6">
      <c r="A293" t="s">
        <v>322</v>
      </c>
      <c r="B293">
        <v>292</v>
      </c>
      <c r="C293">
        <v>290</v>
      </c>
      <c r="D293">
        <v>1036</v>
      </c>
      <c r="E293" t="s">
        <v>614</v>
      </c>
      <c r="F293" t="str">
        <f t="shared" si="4"/>
        <v>INSERT INTO tbFinanceItemSeq(Report,ItemSeqID,ItemSN,ItemID) VALUES('PNLD',292,290,1036)</v>
      </c>
    </row>
    <row r="294" spans="1:6">
      <c r="A294" t="s">
        <v>322</v>
      </c>
      <c r="B294">
        <v>293</v>
      </c>
      <c r="C294">
        <v>291</v>
      </c>
      <c r="D294">
        <v>1037</v>
      </c>
      <c r="E294" t="s">
        <v>615</v>
      </c>
      <c r="F294" t="str">
        <f t="shared" si="4"/>
        <v>INSERT INTO tbFinanceItemSeq(Report,ItemSeqID,ItemSN,ItemID) VALUES('PNLD',293,291,1037)</v>
      </c>
    </row>
    <row r="295" spans="1:6">
      <c r="A295" t="s">
        <v>322</v>
      </c>
      <c r="B295">
        <v>294</v>
      </c>
      <c r="C295">
        <v>292</v>
      </c>
      <c r="D295">
        <v>1038</v>
      </c>
      <c r="E295" t="s">
        <v>616</v>
      </c>
      <c r="F295" t="str">
        <f t="shared" si="4"/>
        <v>INSERT INTO tbFinanceItemSeq(Report,ItemSeqID,ItemSN,ItemID) VALUES('PNLD',294,292,1038)</v>
      </c>
    </row>
    <row r="296" spans="1:6">
      <c r="A296" t="s">
        <v>322</v>
      </c>
      <c r="B296">
        <v>295</v>
      </c>
      <c r="C296">
        <v>293</v>
      </c>
      <c r="D296">
        <v>1039</v>
      </c>
      <c r="E296" t="s">
        <v>617</v>
      </c>
      <c r="F296" t="str">
        <f t="shared" si="4"/>
        <v>INSERT INTO tbFinanceItemSeq(Report,ItemSeqID,ItemSN,ItemID) VALUES('PNLD',295,293,1039)</v>
      </c>
    </row>
    <row r="297" spans="1:6">
      <c r="A297" t="s">
        <v>322</v>
      </c>
      <c r="B297">
        <v>296</v>
      </c>
      <c r="C297">
        <v>294</v>
      </c>
      <c r="D297">
        <v>1040</v>
      </c>
      <c r="E297" t="s">
        <v>618</v>
      </c>
      <c r="F297" t="str">
        <f t="shared" si="4"/>
        <v>INSERT INTO tbFinanceItemSeq(Report,ItemSeqID,ItemSN,ItemID) VALUES('PNLD',296,294,1040)</v>
      </c>
    </row>
    <row r="298" spans="1:6">
      <c r="A298" t="s">
        <v>322</v>
      </c>
      <c r="B298">
        <v>297</v>
      </c>
      <c r="C298">
        <v>295</v>
      </c>
      <c r="D298">
        <v>1041</v>
      </c>
      <c r="E298" t="s">
        <v>619</v>
      </c>
      <c r="F298" t="str">
        <f t="shared" si="4"/>
        <v>INSERT INTO tbFinanceItemSeq(Report,ItemSeqID,ItemSN,ItemID) VALUES('PNLD',297,295,1041)</v>
      </c>
    </row>
    <row r="299" spans="1:6">
      <c r="A299" t="s">
        <v>322</v>
      </c>
      <c r="B299">
        <v>298</v>
      </c>
      <c r="C299">
        <v>296</v>
      </c>
      <c r="D299">
        <v>1042</v>
      </c>
      <c r="E299" t="s">
        <v>620</v>
      </c>
      <c r="F299" t="str">
        <f t="shared" si="4"/>
        <v>INSERT INTO tbFinanceItemSeq(Report,ItemSeqID,ItemSN,ItemID) VALUES('PNLD',298,296,1042)</v>
      </c>
    </row>
    <row r="300" spans="1:6">
      <c r="A300" t="s">
        <v>322</v>
      </c>
      <c r="B300">
        <v>299</v>
      </c>
      <c r="C300">
        <v>297</v>
      </c>
      <c r="D300">
        <v>1043</v>
      </c>
      <c r="E300" t="s">
        <v>621</v>
      </c>
      <c r="F300" t="str">
        <f t="shared" si="4"/>
        <v>INSERT INTO tbFinanceItemSeq(Report,ItemSeqID,ItemSN,ItemID) VALUES('PNLD',299,297,1043)</v>
      </c>
    </row>
    <row r="301" spans="1:6">
      <c r="A301" t="s">
        <v>322</v>
      </c>
      <c r="B301">
        <v>300</v>
      </c>
      <c r="C301">
        <v>298</v>
      </c>
      <c r="D301">
        <v>1044</v>
      </c>
      <c r="E301" t="s">
        <v>622</v>
      </c>
      <c r="F301" t="str">
        <f t="shared" si="4"/>
        <v>INSERT INTO tbFinanceItemSeq(Report,ItemSeqID,ItemSN,ItemID) VALUES('PNLD',300,298,1044)</v>
      </c>
    </row>
    <row r="302" spans="1:6">
      <c r="A302" t="s">
        <v>322</v>
      </c>
      <c r="B302">
        <v>301</v>
      </c>
      <c r="C302">
        <v>301</v>
      </c>
      <c r="D302">
        <v>1047</v>
      </c>
      <c r="E302" t="s">
        <v>623</v>
      </c>
      <c r="F302" t="str">
        <f t="shared" si="4"/>
        <v>INSERT INTO tbFinanceItemSeq(Report,ItemSeqID,ItemSN,ItemID) VALUES('PNLD',301,301,1047)</v>
      </c>
    </row>
    <row r="303" spans="1:6">
      <c r="A303" t="s">
        <v>322</v>
      </c>
      <c r="B303">
        <v>302</v>
      </c>
      <c r="C303">
        <v>302</v>
      </c>
      <c r="D303">
        <v>1048</v>
      </c>
      <c r="E303" t="s">
        <v>624</v>
      </c>
      <c r="F303" t="str">
        <f t="shared" si="4"/>
        <v>INSERT INTO tbFinanceItemSeq(Report,ItemSeqID,ItemSN,ItemID) VALUES('PNLD',302,302,1048)</v>
      </c>
    </row>
    <row r="304" spans="1:6">
      <c r="A304" t="s">
        <v>322</v>
      </c>
      <c r="B304">
        <v>303</v>
      </c>
      <c r="C304">
        <v>303</v>
      </c>
      <c r="D304">
        <v>1367</v>
      </c>
      <c r="E304" t="s">
        <v>625</v>
      </c>
      <c r="F304" t="str">
        <f t="shared" si="4"/>
        <v>INSERT INTO tbFinanceItemSeq(Report,ItemSeqID,ItemSN,ItemID) VALUES('PNLD',303,303,1367)</v>
      </c>
    </row>
    <row r="305" spans="1:6">
      <c r="A305" t="s">
        <v>322</v>
      </c>
      <c r="B305">
        <v>304</v>
      </c>
      <c r="C305">
        <v>299</v>
      </c>
      <c r="D305">
        <v>1045</v>
      </c>
      <c r="E305" t="s">
        <v>626</v>
      </c>
      <c r="F305" t="str">
        <f t="shared" si="4"/>
        <v>INSERT INTO tbFinanceItemSeq(Report,ItemSeqID,ItemSN,ItemID) VALUES('PNLD',304,299,1045)</v>
      </c>
    </row>
    <row r="306" spans="1:6">
      <c r="A306" t="s">
        <v>322</v>
      </c>
      <c r="B306">
        <v>305</v>
      </c>
      <c r="C306">
        <v>300</v>
      </c>
      <c r="D306">
        <v>1046</v>
      </c>
      <c r="E306" t="s">
        <v>627</v>
      </c>
      <c r="F306" t="str">
        <f t="shared" si="4"/>
        <v>INSERT INTO tbFinanceItemSeq(Report,ItemSeqID,ItemSN,ItemID) VALUES('PNLD',305,300,1046)</v>
      </c>
    </row>
    <row r="307" spans="1:6">
      <c r="A307" t="s">
        <v>322</v>
      </c>
      <c r="B307">
        <v>306</v>
      </c>
      <c r="C307">
        <v>304</v>
      </c>
      <c r="D307">
        <v>1050</v>
      </c>
      <c r="E307" t="s">
        <v>628</v>
      </c>
      <c r="F307" t="str">
        <f t="shared" si="4"/>
        <v>INSERT INTO tbFinanceItemSeq(Report,ItemSeqID,ItemSN,ItemID) VALUES('PNLD',306,304,1050)</v>
      </c>
    </row>
    <row r="308" spans="1:6">
      <c r="A308" t="s">
        <v>322</v>
      </c>
      <c r="B308">
        <v>307</v>
      </c>
      <c r="C308">
        <v>305</v>
      </c>
      <c r="D308">
        <v>1051</v>
      </c>
      <c r="E308" t="s">
        <v>629</v>
      </c>
      <c r="F308" t="str">
        <f t="shared" si="4"/>
        <v>INSERT INTO tbFinanceItemSeq(Report,ItemSeqID,ItemSN,ItemID) VALUES('PNLD',307,305,1051)</v>
      </c>
    </row>
    <row r="309" spans="1:6">
      <c r="A309" t="s">
        <v>322</v>
      </c>
      <c r="B309">
        <v>308</v>
      </c>
      <c r="C309">
        <v>306</v>
      </c>
      <c r="D309">
        <v>1052</v>
      </c>
      <c r="E309" t="s">
        <v>630</v>
      </c>
      <c r="F309" t="str">
        <f t="shared" si="4"/>
        <v>INSERT INTO tbFinanceItemSeq(Report,ItemSeqID,ItemSN,ItemID) VALUES('PNLD',308,306,1052)</v>
      </c>
    </row>
    <row r="310" spans="1:6">
      <c r="A310" t="s">
        <v>322</v>
      </c>
      <c r="B310">
        <v>309</v>
      </c>
      <c r="C310">
        <v>307</v>
      </c>
      <c r="D310">
        <v>1053</v>
      </c>
      <c r="E310" t="s">
        <v>631</v>
      </c>
      <c r="F310" t="str">
        <f t="shared" si="4"/>
        <v>INSERT INTO tbFinanceItemSeq(Report,ItemSeqID,ItemSN,ItemID) VALUES('PNLD',309,307,1053)</v>
      </c>
    </row>
    <row r="311" spans="1:6">
      <c r="A311" t="s">
        <v>322</v>
      </c>
      <c r="B311">
        <v>310</v>
      </c>
      <c r="C311">
        <v>308</v>
      </c>
      <c r="D311">
        <v>1054</v>
      </c>
      <c r="E311" t="s">
        <v>632</v>
      </c>
      <c r="F311" t="str">
        <f t="shared" si="4"/>
        <v>INSERT INTO tbFinanceItemSeq(Report,ItemSeqID,ItemSN,ItemID) VALUES('PNLD',310,308,1054)</v>
      </c>
    </row>
    <row r="312" spans="1:6">
      <c r="A312" t="s">
        <v>322</v>
      </c>
      <c r="B312">
        <v>311</v>
      </c>
      <c r="C312">
        <v>309</v>
      </c>
      <c r="D312">
        <v>1055</v>
      </c>
      <c r="E312" t="s">
        <v>633</v>
      </c>
      <c r="F312" t="str">
        <f t="shared" si="4"/>
        <v>INSERT INTO tbFinanceItemSeq(Report,ItemSeqID,ItemSN,ItemID) VALUES('PNLD',311,309,1055)</v>
      </c>
    </row>
    <row r="313" spans="1:6">
      <c r="A313" t="s">
        <v>322</v>
      </c>
      <c r="B313">
        <v>312</v>
      </c>
      <c r="C313">
        <v>310</v>
      </c>
      <c r="D313">
        <v>1056</v>
      </c>
      <c r="E313" t="s">
        <v>634</v>
      </c>
      <c r="F313" t="str">
        <f t="shared" si="4"/>
        <v>INSERT INTO tbFinanceItemSeq(Report,ItemSeqID,ItemSN,ItemID) VALUES('PNLD',312,310,1056)</v>
      </c>
    </row>
    <row r="314" spans="1:6">
      <c r="A314" t="s">
        <v>322</v>
      </c>
      <c r="B314">
        <v>313</v>
      </c>
      <c r="C314">
        <v>311</v>
      </c>
      <c r="D314">
        <v>1057</v>
      </c>
      <c r="E314" t="s">
        <v>635</v>
      </c>
      <c r="F314" t="str">
        <f t="shared" si="4"/>
        <v>INSERT INTO tbFinanceItemSeq(Report,ItemSeqID,ItemSN,ItemID) VALUES('PNLD',313,311,1057)</v>
      </c>
    </row>
    <row r="315" spans="1:6">
      <c r="A315" t="s">
        <v>322</v>
      </c>
      <c r="B315">
        <v>314</v>
      </c>
      <c r="C315">
        <v>312</v>
      </c>
      <c r="D315">
        <v>1058</v>
      </c>
      <c r="E315" t="s">
        <v>636</v>
      </c>
      <c r="F315" t="str">
        <f t="shared" si="4"/>
        <v>INSERT INTO tbFinanceItemSeq(Report,ItemSeqID,ItemSN,ItemID) VALUES('PNLD',314,312,1058)</v>
      </c>
    </row>
    <row r="316" spans="1:6">
      <c r="A316" t="s">
        <v>322</v>
      </c>
      <c r="B316">
        <v>315</v>
      </c>
      <c r="C316">
        <v>313</v>
      </c>
      <c r="D316">
        <v>1059</v>
      </c>
      <c r="E316" t="s">
        <v>637</v>
      </c>
      <c r="F316" t="str">
        <f t="shared" si="4"/>
        <v>INSERT INTO tbFinanceItemSeq(Report,ItemSeqID,ItemSN,ItemID) VALUES('PNLD',315,313,1059)</v>
      </c>
    </row>
    <row r="317" spans="1:6">
      <c r="A317" t="s">
        <v>322</v>
      </c>
      <c r="B317">
        <v>316</v>
      </c>
      <c r="C317">
        <v>314</v>
      </c>
      <c r="D317">
        <v>1060</v>
      </c>
      <c r="E317" t="s">
        <v>638</v>
      </c>
      <c r="F317" t="str">
        <f t="shared" si="4"/>
        <v>INSERT INTO tbFinanceItemSeq(Report,ItemSeqID,ItemSN,ItemID) VALUES('PNLD',316,314,1060)</v>
      </c>
    </row>
    <row r="318" spans="1:6">
      <c r="A318" t="s">
        <v>322</v>
      </c>
      <c r="B318">
        <v>317</v>
      </c>
      <c r="C318">
        <v>315</v>
      </c>
      <c r="D318">
        <v>1061</v>
      </c>
      <c r="E318" t="s">
        <v>639</v>
      </c>
      <c r="F318" t="str">
        <f t="shared" si="4"/>
        <v>INSERT INTO tbFinanceItemSeq(Report,ItemSeqID,ItemSN,ItemID) VALUES('PNLD',317,315,1061)</v>
      </c>
    </row>
    <row r="319" spans="1:6">
      <c r="A319" t="s">
        <v>322</v>
      </c>
      <c r="B319">
        <v>318</v>
      </c>
      <c r="C319">
        <v>316</v>
      </c>
      <c r="D319">
        <v>1062</v>
      </c>
      <c r="E319" t="s">
        <v>640</v>
      </c>
      <c r="F319" t="str">
        <f t="shared" si="4"/>
        <v>INSERT INTO tbFinanceItemSeq(Report,ItemSeqID,ItemSN,ItemID) VALUES('PNLD',318,316,1062)</v>
      </c>
    </row>
    <row r="320" spans="1:6">
      <c r="A320" t="s">
        <v>322</v>
      </c>
      <c r="B320">
        <v>319</v>
      </c>
      <c r="C320">
        <v>317</v>
      </c>
      <c r="D320">
        <v>1063</v>
      </c>
      <c r="E320" t="s">
        <v>641</v>
      </c>
      <c r="F320" t="str">
        <f t="shared" si="4"/>
        <v>INSERT INTO tbFinanceItemSeq(Report,ItemSeqID,ItemSN,ItemID) VALUES('PNLD',319,317,1063)</v>
      </c>
    </row>
    <row r="321" spans="1:6">
      <c r="A321" t="s">
        <v>322</v>
      </c>
      <c r="B321">
        <v>320</v>
      </c>
      <c r="C321">
        <v>318</v>
      </c>
      <c r="D321">
        <v>1064</v>
      </c>
      <c r="E321" t="s">
        <v>642</v>
      </c>
      <c r="F321" t="str">
        <f t="shared" si="4"/>
        <v>INSERT INTO tbFinanceItemSeq(Report,ItemSeqID,ItemSN,ItemID) VALUES('PNLD',320,318,1064)</v>
      </c>
    </row>
    <row r="322" spans="1:6">
      <c r="A322" t="s">
        <v>322</v>
      </c>
      <c r="B322">
        <v>321</v>
      </c>
      <c r="C322">
        <v>319</v>
      </c>
      <c r="D322">
        <v>1065</v>
      </c>
      <c r="E322" t="s">
        <v>643</v>
      </c>
      <c r="F322" t="str">
        <f t="shared" si="4"/>
        <v>INSERT INTO tbFinanceItemSeq(Report,ItemSeqID,ItemSN,ItemID) VALUES('PNLD',321,319,1065)</v>
      </c>
    </row>
    <row r="323" spans="1:6">
      <c r="A323" t="s">
        <v>322</v>
      </c>
      <c r="B323">
        <v>322</v>
      </c>
      <c r="C323">
        <v>320</v>
      </c>
      <c r="D323">
        <v>1066</v>
      </c>
      <c r="E323" t="s">
        <v>644</v>
      </c>
      <c r="F323" t="str">
        <f t="shared" ref="F323:F338" si="5">CONCATENATE("INSERT INTO tbFinanceItemSeq(Report,ItemSeqID,ItemSN,ItemID) VALUES('",A323,"',",B323,",",C323,",",D323,")")</f>
        <v>INSERT INTO tbFinanceItemSeq(Report,ItemSeqID,ItemSN,ItemID) VALUES('PNLD',322,320,1066)</v>
      </c>
    </row>
    <row r="324" spans="1:6">
      <c r="A324" t="s">
        <v>322</v>
      </c>
      <c r="B324">
        <v>323</v>
      </c>
      <c r="C324">
        <v>321</v>
      </c>
      <c r="D324">
        <v>1067</v>
      </c>
      <c r="E324" t="s">
        <v>645</v>
      </c>
      <c r="F324" t="str">
        <f t="shared" si="5"/>
        <v>INSERT INTO tbFinanceItemSeq(Report,ItemSeqID,ItemSN,ItemID) VALUES('PNLD',323,321,1067)</v>
      </c>
    </row>
    <row r="325" spans="1:6">
      <c r="A325" t="s">
        <v>322</v>
      </c>
      <c r="B325">
        <v>324</v>
      </c>
      <c r="C325">
        <v>322</v>
      </c>
      <c r="D325">
        <v>1068</v>
      </c>
      <c r="E325" t="s">
        <v>646</v>
      </c>
      <c r="F325" t="str">
        <f t="shared" si="5"/>
        <v>INSERT INTO tbFinanceItemSeq(Report,ItemSeqID,ItemSN,ItemID) VALUES('PNLD',324,322,1068)</v>
      </c>
    </row>
    <row r="326" spans="1:6">
      <c r="A326" t="s">
        <v>322</v>
      </c>
      <c r="B326">
        <v>325</v>
      </c>
      <c r="C326">
        <v>323</v>
      </c>
      <c r="D326">
        <v>1069</v>
      </c>
      <c r="E326" t="s">
        <v>647</v>
      </c>
      <c r="F326" t="str">
        <f t="shared" si="5"/>
        <v>INSERT INTO tbFinanceItemSeq(Report,ItemSeqID,ItemSN,ItemID) VALUES('PNLD',325,323,1069)</v>
      </c>
    </row>
    <row r="327" spans="1:6">
      <c r="A327" t="s">
        <v>322</v>
      </c>
      <c r="B327">
        <v>326</v>
      </c>
      <c r="C327">
        <v>324</v>
      </c>
      <c r="D327">
        <v>1070</v>
      </c>
      <c r="E327" t="s">
        <v>648</v>
      </c>
      <c r="F327" t="str">
        <f t="shared" si="5"/>
        <v>INSERT INTO tbFinanceItemSeq(Report,ItemSeqID,ItemSN,ItemID) VALUES('PNLD',326,324,1070)</v>
      </c>
    </row>
    <row r="328" spans="1:6">
      <c r="A328" t="s">
        <v>322</v>
      </c>
      <c r="B328">
        <v>327</v>
      </c>
      <c r="C328">
        <v>325</v>
      </c>
      <c r="D328">
        <v>1071</v>
      </c>
      <c r="E328" t="s">
        <v>649</v>
      </c>
      <c r="F328" t="str">
        <f t="shared" si="5"/>
        <v>INSERT INTO tbFinanceItemSeq(Report,ItemSeqID,ItemSN,ItemID) VALUES('PNLD',327,325,1071)</v>
      </c>
    </row>
    <row r="329" spans="1:6">
      <c r="A329" t="s">
        <v>322</v>
      </c>
      <c r="B329">
        <v>328</v>
      </c>
      <c r="C329">
        <v>326</v>
      </c>
      <c r="D329">
        <v>1368</v>
      </c>
      <c r="E329" t="s">
        <v>650</v>
      </c>
      <c r="F329" t="str">
        <f t="shared" si="5"/>
        <v>INSERT INTO tbFinanceItemSeq(Report,ItemSeqID,ItemSN,ItemID) VALUES('PNLD',328,326,1368)</v>
      </c>
    </row>
    <row r="330" spans="1:6">
      <c r="A330" t="s">
        <v>322</v>
      </c>
      <c r="B330">
        <v>329</v>
      </c>
      <c r="C330">
        <v>327</v>
      </c>
      <c r="D330">
        <v>1072</v>
      </c>
      <c r="E330" t="s">
        <v>651</v>
      </c>
      <c r="F330" t="str">
        <f t="shared" si="5"/>
        <v>INSERT INTO tbFinanceItemSeq(Report,ItemSeqID,ItemSN,ItemID) VALUES('PNLD',329,327,1072)</v>
      </c>
    </row>
    <row r="331" spans="1:6">
      <c r="A331" t="s">
        <v>322</v>
      </c>
      <c r="B331">
        <v>330</v>
      </c>
      <c r="C331">
        <v>328</v>
      </c>
      <c r="D331">
        <v>1073</v>
      </c>
      <c r="E331" t="s">
        <v>652</v>
      </c>
      <c r="F331" t="str">
        <f t="shared" si="5"/>
        <v>INSERT INTO tbFinanceItemSeq(Report,ItemSeqID,ItemSN,ItemID) VALUES('PNLD',330,328,1073)</v>
      </c>
    </row>
    <row r="332" spans="1:6">
      <c r="A332" t="s">
        <v>322</v>
      </c>
      <c r="B332">
        <v>331</v>
      </c>
      <c r="C332">
        <v>0</v>
      </c>
      <c r="D332">
        <v>1074</v>
      </c>
      <c r="E332" t="s">
        <v>653</v>
      </c>
      <c r="F332" t="str">
        <f t="shared" si="5"/>
        <v>INSERT INTO tbFinanceItemSeq(Report,ItemSeqID,ItemSN,ItemID) VALUES('PNLD',331,0,1074)</v>
      </c>
    </row>
    <row r="333" spans="1:6">
      <c r="A333" t="s">
        <v>322</v>
      </c>
      <c r="B333">
        <v>332</v>
      </c>
      <c r="C333">
        <v>329</v>
      </c>
      <c r="D333">
        <v>1075</v>
      </c>
      <c r="E333" t="s">
        <v>654</v>
      </c>
      <c r="F333" t="str">
        <f t="shared" si="5"/>
        <v>INSERT INTO tbFinanceItemSeq(Report,ItemSeqID,ItemSN,ItemID) VALUES('PNLD',332,329,1075)</v>
      </c>
    </row>
    <row r="334" spans="1:6">
      <c r="A334" t="s">
        <v>322</v>
      </c>
      <c r="B334">
        <v>333</v>
      </c>
      <c r="C334">
        <v>330</v>
      </c>
      <c r="D334">
        <v>1076</v>
      </c>
      <c r="E334" t="s">
        <v>655</v>
      </c>
      <c r="F334" t="str">
        <f t="shared" si="5"/>
        <v>INSERT INTO tbFinanceItemSeq(Report,ItemSeqID,ItemSN,ItemID) VALUES('PNLD',333,330,1076)</v>
      </c>
    </row>
    <row r="335" spans="1:6">
      <c r="A335" t="s">
        <v>322</v>
      </c>
      <c r="B335">
        <v>334</v>
      </c>
      <c r="C335">
        <v>331</v>
      </c>
      <c r="D335">
        <v>1077</v>
      </c>
      <c r="E335" t="s">
        <v>656</v>
      </c>
      <c r="F335" t="str">
        <f t="shared" si="5"/>
        <v>INSERT INTO tbFinanceItemSeq(Report,ItemSeqID,ItemSN,ItemID) VALUES('PNLD',334,331,1077)</v>
      </c>
    </row>
    <row r="336" spans="1:6">
      <c r="A336" t="s">
        <v>322</v>
      </c>
      <c r="B336">
        <v>335</v>
      </c>
      <c r="C336">
        <v>332</v>
      </c>
      <c r="D336">
        <v>1078</v>
      </c>
      <c r="E336" t="s">
        <v>657</v>
      </c>
      <c r="F336" t="str">
        <f t="shared" si="5"/>
        <v>INSERT INTO tbFinanceItemSeq(Report,ItemSeqID,ItemSN,ItemID) VALUES('PNLD',335,332,1078)</v>
      </c>
    </row>
    <row r="337" spans="1:6">
      <c r="A337" t="s">
        <v>322</v>
      </c>
      <c r="B337">
        <v>336</v>
      </c>
      <c r="C337">
        <v>333</v>
      </c>
      <c r="D337">
        <v>1079</v>
      </c>
      <c r="E337" t="s">
        <v>658</v>
      </c>
      <c r="F337" t="str">
        <f t="shared" si="5"/>
        <v>INSERT INTO tbFinanceItemSeq(Report,ItemSeqID,ItemSN,ItemID) VALUES('PNLD',336,333,1079)</v>
      </c>
    </row>
    <row r="338" spans="1:6">
      <c r="A338" t="s">
        <v>322</v>
      </c>
      <c r="B338">
        <v>337</v>
      </c>
      <c r="C338">
        <v>334</v>
      </c>
      <c r="D338">
        <v>1080</v>
      </c>
      <c r="E338" t="s">
        <v>659</v>
      </c>
      <c r="F338" t="str">
        <f t="shared" si="5"/>
        <v>INSERT INTO tbFinanceItemSeq(Report,ItemSeqID,ItemSN,ItemID) VALUES('PNLD',337,334,1080)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4"/>
  <sheetViews>
    <sheetView topLeftCell="C308" zoomScale="120" zoomScaleNormal="120" zoomScalePageLayoutView="120" workbookViewId="0">
      <selection activeCell="C338" sqref="C338"/>
    </sheetView>
  </sheetViews>
  <sheetFormatPr defaultColWidth="8.85546875" defaultRowHeight="15"/>
  <cols>
    <col min="1" max="1" width="45.7109375" bestFit="1" customWidth="1"/>
    <col min="2" max="2" width="31.42578125" bestFit="1" customWidth="1"/>
    <col min="3" max="3" width="34" customWidth="1"/>
  </cols>
  <sheetData>
    <row r="1" spans="1:3">
      <c r="A1" s="4" t="s">
        <v>819</v>
      </c>
      <c r="B1" s="4" t="s">
        <v>820</v>
      </c>
      <c r="C1" s="4" t="s">
        <v>821</v>
      </c>
    </row>
    <row r="2" spans="1:3">
      <c r="A2" t="s">
        <v>822</v>
      </c>
      <c r="B2" s="24" t="s">
        <v>822</v>
      </c>
      <c r="C2" t="b">
        <f>IF(A2=B2,TRUE,B2)</f>
        <v>1</v>
      </c>
    </row>
    <row r="3" spans="1:3">
      <c r="A3" t="s">
        <v>823</v>
      </c>
      <c r="B3" s="24" t="s">
        <v>823</v>
      </c>
      <c r="C3" t="b">
        <f t="shared" ref="C3:C66" si="0">IF(A3=B3,TRUE,B3)</f>
        <v>1</v>
      </c>
    </row>
    <row r="4" spans="1:3">
      <c r="A4" t="s">
        <v>824</v>
      </c>
      <c r="B4" s="24" t="s">
        <v>824</v>
      </c>
      <c r="C4" t="b">
        <f t="shared" si="0"/>
        <v>1</v>
      </c>
    </row>
    <row r="5" spans="1:3">
      <c r="A5" t="s">
        <v>825</v>
      </c>
      <c r="B5" s="24" t="s">
        <v>825</v>
      </c>
      <c r="C5" t="b">
        <f t="shared" si="0"/>
        <v>1</v>
      </c>
    </row>
    <row r="6" spans="1:3">
      <c r="A6" t="s">
        <v>826</v>
      </c>
      <c r="B6" s="24" t="s">
        <v>826</v>
      </c>
      <c r="C6" t="b">
        <f t="shared" si="0"/>
        <v>1</v>
      </c>
    </row>
    <row r="7" spans="1:3">
      <c r="A7" t="s">
        <v>827</v>
      </c>
      <c r="B7" s="24" t="s">
        <v>827</v>
      </c>
      <c r="C7" t="b">
        <f t="shared" si="0"/>
        <v>1</v>
      </c>
    </row>
    <row r="8" spans="1:3">
      <c r="A8" t="s">
        <v>828</v>
      </c>
      <c r="B8" s="24" t="s">
        <v>828</v>
      </c>
      <c r="C8" t="b">
        <f t="shared" si="0"/>
        <v>1</v>
      </c>
    </row>
    <row r="9" spans="1:3">
      <c r="A9" t="s">
        <v>829</v>
      </c>
      <c r="B9" s="24" t="s">
        <v>829</v>
      </c>
      <c r="C9" t="b">
        <f t="shared" si="0"/>
        <v>1</v>
      </c>
    </row>
    <row r="10" spans="1:3">
      <c r="A10" t="s">
        <v>830</v>
      </c>
      <c r="B10" s="24" t="s">
        <v>830</v>
      </c>
      <c r="C10" t="b">
        <f t="shared" si="0"/>
        <v>1</v>
      </c>
    </row>
    <row r="11" spans="1:3">
      <c r="A11" t="s">
        <v>660</v>
      </c>
      <c r="B11" s="25" t="s">
        <v>660</v>
      </c>
      <c r="C11" t="b">
        <f t="shared" si="0"/>
        <v>1</v>
      </c>
    </row>
    <row r="12" spans="1:3">
      <c r="A12" t="s">
        <v>831</v>
      </c>
      <c r="B12" s="24" t="s">
        <v>831</v>
      </c>
      <c r="C12" t="b">
        <f t="shared" si="0"/>
        <v>1</v>
      </c>
    </row>
    <row r="13" spans="1:3">
      <c r="A13" t="s">
        <v>832</v>
      </c>
      <c r="B13" s="24" t="s">
        <v>832</v>
      </c>
      <c r="C13" t="b">
        <f t="shared" si="0"/>
        <v>1</v>
      </c>
    </row>
    <row r="14" spans="1:3">
      <c r="A14" t="s">
        <v>833</v>
      </c>
      <c r="B14" s="24" t="s">
        <v>833</v>
      </c>
      <c r="C14" t="b">
        <f t="shared" si="0"/>
        <v>1</v>
      </c>
    </row>
    <row r="15" spans="1:3">
      <c r="A15" t="s">
        <v>834</v>
      </c>
      <c r="B15" s="24" t="s">
        <v>834</v>
      </c>
      <c r="C15" t="b">
        <f t="shared" si="0"/>
        <v>1</v>
      </c>
    </row>
    <row r="16" spans="1:3">
      <c r="A16" t="s">
        <v>835</v>
      </c>
      <c r="B16" s="24" t="s">
        <v>835</v>
      </c>
      <c r="C16" t="b">
        <f t="shared" si="0"/>
        <v>1</v>
      </c>
    </row>
    <row r="17" spans="1:3">
      <c r="A17" t="s">
        <v>836</v>
      </c>
      <c r="B17" s="24" t="s">
        <v>836</v>
      </c>
      <c r="C17" t="b">
        <f t="shared" si="0"/>
        <v>1</v>
      </c>
    </row>
    <row r="18" spans="1:3">
      <c r="A18" t="s">
        <v>837</v>
      </c>
      <c r="B18" s="24" t="s">
        <v>837</v>
      </c>
      <c r="C18" t="b">
        <f t="shared" si="0"/>
        <v>1</v>
      </c>
    </row>
    <row r="19" spans="1:3">
      <c r="A19" t="s">
        <v>838</v>
      </c>
      <c r="B19" s="24" t="s">
        <v>838</v>
      </c>
      <c r="C19" t="b">
        <f t="shared" si="0"/>
        <v>1</v>
      </c>
    </row>
    <row r="20" spans="1:3">
      <c r="A20" t="s">
        <v>839</v>
      </c>
      <c r="B20" s="24" t="s">
        <v>839</v>
      </c>
      <c r="C20" t="b">
        <f t="shared" si="0"/>
        <v>1</v>
      </c>
    </row>
    <row r="21" spans="1:3">
      <c r="A21" t="s">
        <v>661</v>
      </c>
      <c r="B21" s="25" t="s">
        <v>661</v>
      </c>
      <c r="C21" t="b">
        <f t="shared" si="0"/>
        <v>1</v>
      </c>
    </row>
    <row r="22" spans="1:3">
      <c r="A22" t="s">
        <v>840</v>
      </c>
      <c r="B22" s="26" t="s">
        <v>840</v>
      </c>
      <c r="C22" t="b">
        <f t="shared" si="0"/>
        <v>1</v>
      </c>
    </row>
    <row r="23" spans="1:3">
      <c r="A23" t="s">
        <v>841</v>
      </c>
      <c r="B23" s="24" t="s">
        <v>841</v>
      </c>
      <c r="C23" t="b">
        <f t="shared" si="0"/>
        <v>1</v>
      </c>
    </row>
    <row r="24" spans="1:3">
      <c r="A24" t="s">
        <v>842</v>
      </c>
      <c r="B24" s="24" t="s">
        <v>842</v>
      </c>
      <c r="C24" t="b">
        <f t="shared" si="0"/>
        <v>1</v>
      </c>
    </row>
    <row r="25" spans="1:3">
      <c r="A25" t="s">
        <v>843</v>
      </c>
      <c r="B25" s="24" t="s">
        <v>843</v>
      </c>
      <c r="C25" t="b">
        <f t="shared" si="0"/>
        <v>1</v>
      </c>
    </row>
    <row r="26" spans="1:3">
      <c r="A26" t="s">
        <v>844</v>
      </c>
      <c r="B26" s="24" t="s">
        <v>844</v>
      </c>
      <c r="C26" t="b">
        <f t="shared" si="0"/>
        <v>1</v>
      </c>
    </row>
    <row r="27" spans="1:3">
      <c r="A27" t="s">
        <v>845</v>
      </c>
      <c r="B27" s="24" t="s">
        <v>845</v>
      </c>
      <c r="C27" t="b">
        <f t="shared" si="0"/>
        <v>1</v>
      </c>
    </row>
    <row r="28" spans="1:3">
      <c r="A28" t="s">
        <v>846</v>
      </c>
      <c r="B28" s="24" t="s">
        <v>846</v>
      </c>
      <c r="C28" t="b">
        <f t="shared" si="0"/>
        <v>1</v>
      </c>
    </row>
    <row r="29" spans="1:3">
      <c r="A29" t="s">
        <v>847</v>
      </c>
      <c r="B29" s="24" t="s">
        <v>847</v>
      </c>
      <c r="C29" t="b">
        <f t="shared" si="0"/>
        <v>1</v>
      </c>
    </row>
    <row r="30" spans="1:3">
      <c r="A30" t="s">
        <v>848</v>
      </c>
      <c r="B30" s="24" t="s">
        <v>848</v>
      </c>
      <c r="C30" t="b">
        <f t="shared" si="0"/>
        <v>1</v>
      </c>
    </row>
    <row r="31" spans="1:3">
      <c r="A31" t="s">
        <v>662</v>
      </c>
      <c r="B31" s="25" t="s">
        <v>662</v>
      </c>
      <c r="C31" t="b">
        <f t="shared" si="0"/>
        <v>1</v>
      </c>
    </row>
    <row r="32" spans="1:3">
      <c r="A32" t="s">
        <v>663</v>
      </c>
      <c r="B32" s="25" t="s">
        <v>663</v>
      </c>
      <c r="C32" t="b">
        <f t="shared" si="0"/>
        <v>1</v>
      </c>
    </row>
    <row r="33" spans="1:3">
      <c r="A33" t="s">
        <v>849</v>
      </c>
      <c r="B33" s="24" t="s">
        <v>849</v>
      </c>
      <c r="C33" t="b">
        <f t="shared" si="0"/>
        <v>1</v>
      </c>
    </row>
    <row r="34" spans="1:3">
      <c r="A34" t="s">
        <v>850</v>
      </c>
      <c r="B34" s="24" t="s">
        <v>850</v>
      </c>
      <c r="C34" t="b">
        <f t="shared" si="0"/>
        <v>1</v>
      </c>
    </row>
    <row r="35" spans="1:3">
      <c r="A35" t="s">
        <v>851</v>
      </c>
      <c r="B35" s="24" t="s">
        <v>851</v>
      </c>
      <c r="C35" t="b">
        <f t="shared" si="0"/>
        <v>1</v>
      </c>
    </row>
    <row r="36" spans="1:3">
      <c r="A36" t="s">
        <v>852</v>
      </c>
      <c r="B36" s="24" t="s">
        <v>852</v>
      </c>
      <c r="C36" t="b">
        <f t="shared" si="0"/>
        <v>1</v>
      </c>
    </row>
    <row r="37" spans="1:3">
      <c r="A37" t="s">
        <v>853</v>
      </c>
      <c r="B37" s="24" t="s">
        <v>853</v>
      </c>
      <c r="C37" t="b">
        <f t="shared" si="0"/>
        <v>1</v>
      </c>
    </row>
    <row r="38" spans="1:3">
      <c r="A38" t="s">
        <v>854</v>
      </c>
      <c r="B38" s="24" t="s">
        <v>854</v>
      </c>
      <c r="C38" t="b">
        <f t="shared" si="0"/>
        <v>1</v>
      </c>
    </row>
    <row r="39" spans="1:3">
      <c r="A39" t="s">
        <v>855</v>
      </c>
      <c r="B39" s="24" t="s">
        <v>855</v>
      </c>
      <c r="C39" t="b">
        <f t="shared" si="0"/>
        <v>1</v>
      </c>
    </row>
    <row r="40" spans="1:3">
      <c r="A40" t="s">
        <v>856</v>
      </c>
      <c r="B40" s="24" t="s">
        <v>856</v>
      </c>
      <c r="C40" t="b">
        <f t="shared" si="0"/>
        <v>1</v>
      </c>
    </row>
    <row r="41" spans="1:3">
      <c r="A41" t="s">
        <v>664</v>
      </c>
      <c r="B41" s="24" t="s">
        <v>664</v>
      </c>
      <c r="C41" t="b">
        <f t="shared" si="0"/>
        <v>1</v>
      </c>
    </row>
    <row r="42" spans="1:3">
      <c r="A42" t="s">
        <v>665</v>
      </c>
      <c r="B42" s="25" t="s">
        <v>665</v>
      </c>
      <c r="C42" t="b">
        <f t="shared" si="0"/>
        <v>1</v>
      </c>
    </row>
    <row r="43" spans="1:3">
      <c r="A43" t="s">
        <v>857</v>
      </c>
      <c r="B43" s="26" t="s">
        <v>857</v>
      </c>
      <c r="C43" t="b">
        <f t="shared" si="0"/>
        <v>1</v>
      </c>
    </row>
    <row r="44" spans="1:3">
      <c r="A44" t="s">
        <v>858</v>
      </c>
      <c r="B44" s="26" t="s">
        <v>858</v>
      </c>
      <c r="C44" t="b">
        <f t="shared" si="0"/>
        <v>1</v>
      </c>
    </row>
    <row r="45" spans="1:3">
      <c r="A45" t="s">
        <v>859</v>
      </c>
      <c r="B45" s="26" t="s">
        <v>859</v>
      </c>
      <c r="C45" t="b">
        <f t="shared" si="0"/>
        <v>1</v>
      </c>
    </row>
    <row r="46" spans="1:3">
      <c r="A46" t="s">
        <v>860</v>
      </c>
      <c r="B46" s="26" t="s">
        <v>860</v>
      </c>
      <c r="C46" t="b">
        <f t="shared" si="0"/>
        <v>1</v>
      </c>
    </row>
    <row r="47" spans="1:3">
      <c r="A47" t="s">
        <v>861</v>
      </c>
      <c r="B47" s="26" t="s">
        <v>861</v>
      </c>
      <c r="C47" t="b">
        <f t="shared" si="0"/>
        <v>1</v>
      </c>
    </row>
    <row r="48" spans="1:3">
      <c r="A48" t="s">
        <v>862</v>
      </c>
      <c r="B48" s="26" t="s">
        <v>862</v>
      </c>
      <c r="C48" t="b">
        <f t="shared" si="0"/>
        <v>1</v>
      </c>
    </row>
    <row r="49" spans="1:3">
      <c r="A49" t="s">
        <v>863</v>
      </c>
      <c r="B49" s="26" t="s">
        <v>863</v>
      </c>
      <c r="C49" t="b">
        <f t="shared" si="0"/>
        <v>1</v>
      </c>
    </row>
    <row r="50" spans="1:3">
      <c r="A50" t="s">
        <v>371</v>
      </c>
      <c r="B50" s="26" t="s">
        <v>371</v>
      </c>
      <c r="C50" t="b">
        <f t="shared" si="0"/>
        <v>1</v>
      </c>
    </row>
    <row r="51" spans="1:3">
      <c r="A51" t="s">
        <v>666</v>
      </c>
      <c r="B51" s="25" t="s">
        <v>666</v>
      </c>
      <c r="C51" t="b">
        <f t="shared" si="0"/>
        <v>1</v>
      </c>
    </row>
    <row r="52" spans="1:3">
      <c r="A52" t="s">
        <v>864</v>
      </c>
      <c r="B52" s="24" t="s">
        <v>864</v>
      </c>
      <c r="C52" t="b">
        <f t="shared" si="0"/>
        <v>1</v>
      </c>
    </row>
    <row r="53" spans="1:3">
      <c r="A53" t="s">
        <v>865</v>
      </c>
      <c r="B53" s="24" t="s">
        <v>865</v>
      </c>
      <c r="C53" t="b">
        <f t="shared" si="0"/>
        <v>1</v>
      </c>
    </row>
    <row r="54" spans="1:3">
      <c r="A54" t="s">
        <v>866</v>
      </c>
      <c r="B54" s="24" t="s">
        <v>866</v>
      </c>
      <c r="C54" t="b">
        <f t="shared" si="0"/>
        <v>1</v>
      </c>
    </row>
    <row r="55" spans="1:3">
      <c r="A55" t="s">
        <v>867</v>
      </c>
      <c r="B55" s="24" t="s">
        <v>867</v>
      </c>
      <c r="C55" t="b">
        <f t="shared" si="0"/>
        <v>1</v>
      </c>
    </row>
    <row r="56" spans="1:3">
      <c r="A56" t="s">
        <v>868</v>
      </c>
      <c r="B56" s="24" t="s">
        <v>868</v>
      </c>
      <c r="C56" t="b">
        <f t="shared" si="0"/>
        <v>1</v>
      </c>
    </row>
    <row r="57" spans="1:3">
      <c r="A57" t="s">
        <v>869</v>
      </c>
      <c r="B57" s="24" t="s">
        <v>869</v>
      </c>
      <c r="C57" t="b">
        <f t="shared" si="0"/>
        <v>1</v>
      </c>
    </row>
    <row r="58" spans="1:3">
      <c r="A58" t="s">
        <v>870</v>
      </c>
      <c r="B58" s="24" t="s">
        <v>870</v>
      </c>
      <c r="C58" t="b">
        <f t="shared" si="0"/>
        <v>1</v>
      </c>
    </row>
    <row r="59" spans="1:3">
      <c r="A59" t="s">
        <v>667</v>
      </c>
      <c r="B59" s="25" t="s">
        <v>667</v>
      </c>
      <c r="C59" t="b">
        <f t="shared" si="0"/>
        <v>1</v>
      </c>
    </row>
    <row r="60" spans="1:3">
      <c r="A60" t="s">
        <v>668</v>
      </c>
      <c r="B60" s="24" t="s">
        <v>668</v>
      </c>
      <c r="C60" t="b">
        <f t="shared" si="0"/>
        <v>1</v>
      </c>
    </row>
    <row r="61" spans="1:3">
      <c r="A61" t="s">
        <v>669</v>
      </c>
      <c r="B61" s="24" t="s">
        <v>669</v>
      </c>
      <c r="C61" t="b">
        <f t="shared" si="0"/>
        <v>1</v>
      </c>
    </row>
    <row r="62" spans="1:3">
      <c r="A62" t="s">
        <v>670</v>
      </c>
      <c r="B62" s="24" t="s">
        <v>670</v>
      </c>
      <c r="C62" t="b">
        <f t="shared" si="0"/>
        <v>1</v>
      </c>
    </row>
    <row r="63" spans="1:3">
      <c r="A63" t="s">
        <v>671</v>
      </c>
      <c r="B63" s="24" t="s">
        <v>671</v>
      </c>
      <c r="C63" t="b">
        <f t="shared" si="0"/>
        <v>1</v>
      </c>
    </row>
    <row r="64" spans="1:3">
      <c r="A64" t="s">
        <v>871</v>
      </c>
      <c r="B64" s="24" t="s">
        <v>871</v>
      </c>
      <c r="C64" t="b">
        <f t="shared" si="0"/>
        <v>1</v>
      </c>
    </row>
    <row r="65" spans="1:3">
      <c r="A65" t="s">
        <v>872</v>
      </c>
      <c r="B65" s="24" t="s">
        <v>872</v>
      </c>
      <c r="C65" t="b">
        <f t="shared" si="0"/>
        <v>1</v>
      </c>
    </row>
    <row r="66" spans="1:3">
      <c r="A66" t="s">
        <v>873</v>
      </c>
      <c r="B66" s="24" t="s">
        <v>873</v>
      </c>
      <c r="C66" t="b">
        <f t="shared" si="0"/>
        <v>1</v>
      </c>
    </row>
    <row r="67" spans="1:3">
      <c r="A67" t="s">
        <v>874</v>
      </c>
      <c r="B67" s="24" t="s">
        <v>874</v>
      </c>
      <c r="C67" t="b">
        <f t="shared" ref="C67:C73" si="1">IF(A67=B67,TRUE,B67)</f>
        <v>1</v>
      </c>
    </row>
    <row r="68" spans="1:3">
      <c r="A68" t="s">
        <v>672</v>
      </c>
      <c r="B68" s="27" t="s">
        <v>672</v>
      </c>
      <c r="C68" t="b">
        <f t="shared" si="1"/>
        <v>1</v>
      </c>
    </row>
    <row r="69" spans="1:3" ht="15.75" thickBot="1">
      <c r="A69" t="s">
        <v>673</v>
      </c>
      <c r="B69" s="28" t="s">
        <v>673</v>
      </c>
      <c r="C69" t="b">
        <f t="shared" si="1"/>
        <v>1</v>
      </c>
    </row>
    <row r="70" spans="1:3" ht="15.75" thickTop="1">
      <c r="A70" t="s">
        <v>875</v>
      </c>
      <c r="B70" s="29" t="s">
        <v>674</v>
      </c>
      <c r="C70" t="str">
        <f t="shared" si="1"/>
        <v>Add Other Operating Income</v>
      </c>
    </row>
    <row r="71" spans="1:3">
      <c r="A71" t="s">
        <v>675</v>
      </c>
      <c r="B71" s="30" t="s">
        <v>675</v>
      </c>
      <c r="C71" t="b">
        <f t="shared" si="1"/>
        <v>1</v>
      </c>
    </row>
    <row r="72" spans="1:3">
      <c r="A72" t="s">
        <v>876</v>
      </c>
      <c r="B72" s="30" t="s">
        <v>676</v>
      </c>
      <c r="C72" t="str">
        <f t="shared" si="1"/>
        <v>Property Rental Income</v>
      </c>
    </row>
    <row r="73" spans="1:3">
      <c r="A73" t="s">
        <v>677</v>
      </c>
      <c r="B73" s="30" t="s">
        <v>677</v>
      </c>
      <c r="C73" t="b">
        <f t="shared" si="1"/>
        <v>1</v>
      </c>
    </row>
    <row r="74" spans="1:3" s="3" customFormat="1">
      <c r="B74" s="22" t="s">
        <v>678</v>
      </c>
      <c r="C74" s="3" t="str">
        <f>IF(A75=B74,TRUE,B74)</f>
        <v>Gain/(Loss) Disposal of FA</v>
      </c>
    </row>
    <row r="75" spans="1:3">
      <c r="A75" t="s">
        <v>679</v>
      </c>
      <c r="B75" s="30" t="s">
        <v>679</v>
      </c>
      <c r="C75" t="b">
        <f>IF(A75=B75,TRUE,B75)</f>
        <v>1</v>
      </c>
    </row>
    <row r="76" spans="1:3">
      <c r="A76" t="s">
        <v>877</v>
      </c>
      <c r="B76" s="30" t="s">
        <v>680</v>
      </c>
      <c r="C76" t="str">
        <f>IF(A76=B76,TRUE,B76)</f>
        <v>Insurance Claim</v>
      </c>
    </row>
    <row r="77" spans="1:3">
      <c r="A77" t="s">
        <v>681</v>
      </c>
      <c r="B77" s="30" t="s">
        <v>681</v>
      </c>
      <c r="C77" t="b">
        <f>IF(A77=B77,TRUE,B77)</f>
        <v>1</v>
      </c>
    </row>
    <row r="78" spans="1:3">
      <c r="A78" t="s">
        <v>682</v>
      </c>
      <c r="B78" s="30" t="s">
        <v>682</v>
      </c>
      <c r="C78" t="b">
        <f>IF(A78=B78,TRUE,B78)</f>
        <v>1</v>
      </c>
    </row>
    <row r="79" spans="1:3" s="3" customFormat="1">
      <c r="B79" s="22" t="s">
        <v>683</v>
      </c>
      <c r="C79" s="3" t="str">
        <f>IF(A84=B79,TRUE,B79)</f>
        <v>Government Grant</v>
      </c>
    </row>
    <row r="80" spans="1:3" s="3" customFormat="1">
      <c r="B80" s="22" t="s">
        <v>680</v>
      </c>
      <c r="C80" s="3" t="str">
        <f t="shared" ref="C80:C85" si="2">IF(A80=B80,TRUE,B80)</f>
        <v>Insurance Claim</v>
      </c>
    </row>
    <row r="81" spans="1:3" s="3" customFormat="1">
      <c r="B81" s="22" t="s">
        <v>971</v>
      </c>
      <c r="C81" s="3" t="str">
        <f t="shared" si="2"/>
        <v>Share of Assoc/JV`s P&amp;L</v>
      </c>
    </row>
    <row r="82" spans="1:3" s="3" customFormat="1">
      <c r="B82" s="22" t="s">
        <v>685</v>
      </c>
      <c r="C82" s="3" t="str">
        <f t="shared" si="2"/>
        <v>Gain on Disposal of Investment</v>
      </c>
    </row>
    <row r="83" spans="1:3" s="3" customFormat="1">
      <c r="B83" s="22" t="s">
        <v>686</v>
      </c>
      <c r="C83" s="3" t="str">
        <f t="shared" si="2"/>
        <v>Gain on Asset Held for Sales</v>
      </c>
    </row>
    <row r="84" spans="1:3">
      <c r="A84" t="s">
        <v>687</v>
      </c>
      <c r="B84" s="31" t="s">
        <v>687</v>
      </c>
      <c r="C84" t="b">
        <f t="shared" si="2"/>
        <v>1</v>
      </c>
    </row>
    <row r="85" spans="1:3">
      <c r="A85" t="s">
        <v>878</v>
      </c>
      <c r="B85" s="32" t="s">
        <v>688</v>
      </c>
      <c r="C85" t="str">
        <f t="shared" si="2"/>
        <v>Less Other Operating Expenses</v>
      </c>
    </row>
    <row r="86" spans="1:3" s="3" customFormat="1">
      <c r="B86" s="41" t="s">
        <v>689</v>
      </c>
      <c r="C86" s="3" t="str">
        <f>IF(A96=B86,TRUE,B86)</f>
        <v>Other Misc Expenses</v>
      </c>
    </row>
    <row r="87" spans="1:3">
      <c r="B87" s="41" t="s">
        <v>690</v>
      </c>
      <c r="C87" t="str">
        <f>IF(A87=B87,TRUE,B87)</f>
        <v xml:space="preserve">Other Non-Operating Exps </v>
      </c>
    </row>
    <row r="88" spans="1:3">
      <c r="B88" s="41" t="s">
        <v>971</v>
      </c>
      <c r="C88" t="str">
        <f t="shared" ref="C88:C151" si="3">IF(A88=B88,TRUE,B88)</f>
        <v>Share of Assoc/JV`s P&amp;L</v>
      </c>
    </row>
    <row r="89" spans="1:3">
      <c r="B89" s="41" t="s">
        <v>691</v>
      </c>
      <c r="C89" t="str">
        <f t="shared" si="3"/>
        <v>Loss on Disposal of Investment</v>
      </c>
    </row>
    <row r="90" spans="1:3">
      <c r="B90" s="41" t="s">
        <v>692</v>
      </c>
      <c r="C90" t="str">
        <f t="shared" si="3"/>
        <v>Loss on Asset Held for Sales</v>
      </c>
    </row>
    <row r="91" spans="1:3">
      <c r="B91" s="41" t="s">
        <v>693</v>
      </c>
      <c r="C91" t="str">
        <f t="shared" si="3"/>
        <v>Impairm Loss on Subsidiaries</v>
      </c>
    </row>
    <row r="92" spans="1:3">
      <c r="B92" s="41" t="s">
        <v>694</v>
      </c>
      <c r="C92" t="str">
        <f t="shared" si="3"/>
        <v>Impairm Loss on Assoc/JV/Rel Co</v>
      </c>
    </row>
    <row r="93" spans="1:3">
      <c r="B93" s="41" t="s">
        <v>921</v>
      </c>
      <c r="C93" t="str">
        <f t="shared" si="3"/>
        <v xml:space="preserve">Impairm Loss-Property </v>
      </c>
    </row>
    <row r="94" spans="1:3">
      <c r="B94" s="41" t="s">
        <v>910</v>
      </c>
      <c r="C94" t="str">
        <f t="shared" si="3"/>
        <v>Impairm Loss-Plant &amp; Equip</v>
      </c>
    </row>
    <row r="95" spans="1:3">
      <c r="B95" s="41" t="s">
        <v>911</v>
      </c>
      <c r="C95" t="str">
        <f t="shared" si="3"/>
        <v>Impairm Loss-Investment</v>
      </c>
    </row>
    <row r="96" spans="1:3">
      <c r="A96" s="2" t="s">
        <v>879</v>
      </c>
      <c r="B96" s="41" t="s">
        <v>913</v>
      </c>
      <c r="C96" t="str">
        <f t="shared" si="3"/>
        <v>Impairm Loss-Others</v>
      </c>
    </row>
    <row r="97" spans="1:3">
      <c r="A97" s="2" t="s">
        <v>880</v>
      </c>
      <c r="B97" s="41" t="s">
        <v>695</v>
      </c>
      <c r="C97" t="str">
        <f t="shared" si="3"/>
        <v>Real Property Gain Tax</v>
      </c>
    </row>
    <row r="98" spans="1:3">
      <c r="A98" s="2" t="s">
        <v>881</v>
      </c>
      <c r="B98" s="41" t="s">
        <v>696</v>
      </c>
      <c r="C98" t="str">
        <f t="shared" si="3"/>
        <v>Foreign Withholding Tax</v>
      </c>
    </row>
    <row r="99" spans="1:3">
      <c r="A99" t="s">
        <v>882</v>
      </c>
      <c r="B99" s="24" t="s">
        <v>882</v>
      </c>
      <c r="C99" t="b">
        <f t="shared" si="3"/>
        <v>1</v>
      </c>
    </row>
    <row r="100" spans="1:3">
      <c r="A100" t="s">
        <v>883</v>
      </c>
      <c r="B100" s="24" t="s">
        <v>883</v>
      </c>
      <c r="C100" t="b">
        <f t="shared" si="3"/>
        <v>1</v>
      </c>
    </row>
    <row r="101" spans="1:3">
      <c r="A101" s="2" t="s">
        <v>884</v>
      </c>
      <c r="B101" s="41" t="s">
        <v>881</v>
      </c>
      <c r="C101" t="str">
        <f t="shared" si="3"/>
        <v>Amortisation-Trademark &amp; Patent</v>
      </c>
    </row>
    <row r="102" spans="1:3">
      <c r="A102" s="2" t="s">
        <v>885</v>
      </c>
      <c r="B102" s="41"/>
      <c r="C102">
        <f t="shared" si="3"/>
        <v>0</v>
      </c>
    </row>
    <row r="103" spans="1:3">
      <c r="A103" s="2" t="s">
        <v>886</v>
      </c>
      <c r="B103" s="41"/>
      <c r="C103">
        <f t="shared" si="3"/>
        <v>0</v>
      </c>
    </row>
    <row r="104" spans="1:3">
      <c r="A104" s="2" t="s">
        <v>887</v>
      </c>
      <c r="B104" s="41"/>
      <c r="C104">
        <f t="shared" si="3"/>
        <v>0</v>
      </c>
    </row>
    <row r="105" spans="1:3">
      <c r="A105" s="2" t="s">
        <v>888</v>
      </c>
      <c r="B105" s="41"/>
      <c r="C105">
        <f t="shared" si="3"/>
        <v>0</v>
      </c>
    </row>
    <row r="106" spans="1:3">
      <c r="A106" s="2" t="s">
        <v>689</v>
      </c>
      <c r="B106" s="41"/>
      <c r="C106">
        <f t="shared" si="3"/>
        <v>0</v>
      </c>
    </row>
    <row r="107" spans="1:3">
      <c r="A107" t="s">
        <v>697</v>
      </c>
      <c r="B107" s="33" t="s">
        <v>697</v>
      </c>
      <c r="C107" t="b">
        <f t="shared" si="3"/>
        <v>1</v>
      </c>
    </row>
    <row r="108" spans="1:3">
      <c r="A108" t="s">
        <v>698</v>
      </c>
      <c r="B108" s="27" t="s">
        <v>698</v>
      </c>
      <c r="C108" t="b">
        <f t="shared" si="3"/>
        <v>1</v>
      </c>
    </row>
    <row r="109" spans="1:3">
      <c r="A109" t="s">
        <v>699</v>
      </c>
      <c r="B109" s="24" t="s">
        <v>699</v>
      </c>
      <c r="C109" t="b">
        <f t="shared" si="3"/>
        <v>1</v>
      </c>
    </row>
    <row r="110" spans="1:3">
      <c r="A110" t="s">
        <v>700</v>
      </c>
      <c r="B110" s="24" t="s">
        <v>700</v>
      </c>
      <c r="C110" t="b">
        <f t="shared" si="3"/>
        <v>1</v>
      </c>
    </row>
    <row r="111" spans="1:3">
      <c r="A111" t="s">
        <v>701</v>
      </c>
      <c r="B111" s="24" t="s">
        <v>701</v>
      </c>
      <c r="C111" t="b">
        <f t="shared" si="3"/>
        <v>1</v>
      </c>
    </row>
    <row r="112" spans="1:3">
      <c r="A112" t="s">
        <v>702</v>
      </c>
      <c r="B112" s="24" t="s">
        <v>702</v>
      </c>
      <c r="C112" t="b">
        <f t="shared" si="3"/>
        <v>1</v>
      </c>
    </row>
    <row r="113" spans="1:3">
      <c r="A113" t="s">
        <v>703</v>
      </c>
      <c r="B113" s="24" t="s">
        <v>703</v>
      </c>
      <c r="C113" t="b">
        <f t="shared" si="3"/>
        <v>1</v>
      </c>
    </row>
    <row r="114" spans="1:3">
      <c r="A114" t="s">
        <v>704</v>
      </c>
      <c r="B114" s="24" t="s">
        <v>704</v>
      </c>
      <c r="C114" t="b">
        <f t="shared" si="3"/>
        <v>1</v>
      </c>
    </row>
    <row r="115" spans="1:3">
      <c r="A115" t="s">
        <v>705</v>
      </c>
      <c r="B115" s="24" t="s">
        <v>705</v>
      </c>
      <c r="C115" t="b">
        <f t="shared" si="3"/>
        <v>1</v>
      </c>
    </row>
    <row r="116" spans="1:3">
      <c r="A116" t="s">
        <v>706</v>
      </c>
      <c r="B116" s="24" t="s">
        <v>706</v>
      </c>
      <c r="C116" t="b">
        <f t="shared" si="3"/>
        <v>1</v>
      </c>
    </row>
    <row r="117" spans="1:3">
      <c r="A117" t="s">
        <v>707</v>
      </c>
      <c r="B117" s="24" t="s">
        <v>707</v>
      </c>
      <c r="C117" t="b">
        <f t="shared" si="3"/>
        <v>1</v>
      </c>
    </row>
    <row r="118" spans="1:3">
      <c r="A118" t="s">
        <v>708</v>
      </c>
      <c r="B118" s="24" t="s">
        <v>708</v>
      </c>
      <c r="C118" t="b">
        <f t="shared" si="3"/>
        <v>1</v>
      </c>
    </row>
    <row r="119" spans="1:3">
      <c r="A119" t="s">
        <v>709</v>
      </c>
      <c r="B119" s="24" t="s">
        <v>709</v>
      </c>
      <c r="C119" t="b">
        <f t="shared" si="3"/>
        <v>1</v>
      </c>
    </row>
    <row r="120" spans="1:3">
      <c r="A120" t="s">
        <v>710</v>
      </c>
      <c r="B120" s="24" t="s">
        <v>710</v>
      </c>
      <c r="C120" t="b">
        <f t="shared" si="3"/>
        <v>1</v>
      </c>
    </row>
    <row r="121" spans="1:3">
      <c r="A121" t="s">
        <v>966</v>
      </c>
      <c r="B121" s="24" t="s">
        <v>947</v>
      </c>
      <c r="C121" t="str">
        <f t="shared" si="3"/>
        <v>Worker`s Levy</v>
      </c>
    </row>
    <row r="122" spans="1:3">
      <c r="A122" t="s">
        <v>711</v>
      </c>
      <c r="B122" s="24" t="s">
        <v>711</v>
      </c>
      <c r="C122" t="b">
        <f t="shared" si="3"/>
        <v>1</v>
      </c>
    </row>
    <row r="123" spans="1:3">
      <c r="A123" t="s">
        <v>767</v>
      </c>
      <c r="B123" s="24" t="s">
        <v>767</v>
      </c>
      <c r="C123" t="b">
        <f t="shared" si="3"/>
        <v>1</v>
      </c>
    </row>
    <row r="124" spans="1:3">
      <c r="A124" t="s">
        <v>712</v>
      </c>
      <c r="B124" s="24" t="s">
        <v>712</v>
      </c>
      <c r="C124" t="b">
        <f t="shared" si="3"/>
        <v>1</v>
      </c>
    </row>
    <row r="125" spans="1:3">
      <c r="A125" t="s">
        <v>713</v>
      </c>
      <c r="B125" s="24" t="s">
        <v>713</v>
      </c>
      <c r="C125" t="b">
        <f t="shared" si="3"/>
        <v>1</v>
      </c>
    </row>
    <row r="126" spans="1:3">
      <c r="A126" t="s">
        <v>714</v>
      </c>
      <c r="B126" s="24" t="s">
        <v>714</v>
      </c>
      <c r="C126" t="b">
        <f t="shared" si="3"/>
        <v>1</v>
      </c>
    </row>
    <row r="127" spans="1:3">
      <c r="A127" t="s">
        <v>715</v>
      </c>
      <c r="B127" s="24" t="s">
        <v>715</v>
      </c>
      <c r="C127" t="b">
        <f t="shared" si="3"/>
        <v>1</v>
      </c>
    </row>
    <row r="128" spans="1:3">
      <c r="A128" t="s">
        <v>716</v>
      </c>
      <c r="B128" s="24" t="s">
        <v>716</v>
      </c>
      <c r="C128" t="b">
        <f t="shared" si="3"/>
        <v>1</v>
      </c>
    </row>
    <row r="129" spans="1:3">
      <c r="A129" t="s">
        <v>717</v>
      </c>
      <c r="B129" s="24" t="s">
        <v>717</v>
      </c>
      <c r="C129" t="b">
        <f t="shared" si="3"/>
        <v>1</v>
      </c>
    </row>
    <row r="130" spans="1:3">
      <c r="A130" t="s">
        <v>948</v>
      </c>
      <c r="B130" s="24" t="s">
        <v>948</v>
      </c>
      <c r="C130" t="b">
        <f t="shared" si="3"/>
        <v>1</v>
      </c>
    </row>
    <row r="131" spans="1:3">
      <c r="A131" t="s">
        <v>949</v>
      </c>
      <c r="B131" s="24" t="s">
        <v>949</v>
      </c>
      <c r="C131" t="b">
        <f t="shared" si="3"/>
        <v>1</v>
      </c>
    </row>
    <row r="132" spans="1:3">
      <c r="A132" t="s">
        <v>950</v>
      </c>
      <c r="B132" s="24" t="s">
        <v>950</v>
      </c>
      <c r="C132" t="b">
        <f t="shared" si="3"/>
        <v>1</v>
      </c>
    </row>
    <row r="133" spans="1:3">
      <c r="A133" t="s">
        <v>951</v>
      </c>
      <c r="B133" s="24" t="s">
        <v>951</v>
      </c>
      <c r="C133" t="b">
        <f t="shared" si="3"/>
        <v>1</v>
      </c>
    </row>
    <row r="134" spans="1:3">
      <c r="A134" t="s">
        <v>952</v>
      </c>
      <c r="B134" s="24" t="s">
        <v>952</v>
      </c>
      <c r="C134" t="b">
        <f t="shared" si="3"/>
        <v>1</v>
      </c>
    </row>
    <row r="135" spans="1:3">
      <c r="A135" t="s">
        <v>953</v>
      </c>
      <c r="B135" s="24" t="s">
        <v>953</v>
      </c>
      <c r="C135" t="b">
        <f t="shared" si="3"/>
        <v>1</v>
      </c>
    </row>
    <row r="136" spans="1:3">
      <c r="A136" t="s">
        <v>954</v>
      </c>
      <c r="B136" s="33" t="s">
        <v>718</v>
      </c>
      <c r="C136" t="str">
        <f t="shared" si="3"/>
        <v>S&amp;D Personnel Related Cost</v>
      </c>
    </row>
    <row r="137" spans="1:3">
      <c r="A137" t="s">
        <v>719</v>
      </c>
      <c r="B137" s="24" t="s">
        <v>719</v>
      </c>
      <c r="C137" t="b">
        <f t="shared" si="3"/>
        <v>1</v>
      </c>
    </row>
    <row r="138" spans="1:3">
      <c r="A138" t="s">
        <v>922</v>
      </c>
      <c r="B138" s="24" t="s">
        <v>922</v>
      </c>
      <c r="C138" t="b">
        <f t="shared" si="3"/>
        <v>1</v>
      </c>
    </row>
    <row r="139" spans="1:3">
      <c r="A139" t="s">
        <v>923</v>
      </c>
      <c r="B139" s="24" t="s">
        <v>923</v>
      </c>
      <c r="C139" t="b">
        <f t="shared" si="3"/>
        <v>1</v>
      </c>
    </row>
    <row r="140" spans="1:3">
      <c r="A140" t="s">
        <v>941</v>
      </c>
      <c r="B140" s="24" t="s">
        <v>941</v>
      </c>
      <c r="C140" t="b">
        <f t="shared" si="3"/>
        <v>1</v>
      </c>
    </row>
    <row r="141" spans="1:3">
      <c r="A141" t="s">
        <v>720</v>
      </c>
      <c r="B141" s="24" t="s">
        <v>720</v>
      </c>
      <c r="C141" t="b">
        <f t="shared" si="3"/>
        <v>1</v>
      </c>
    </row>
    <row r="142" spans="1:3">
      <c r="A142" t="s">
        <v>721</v>
      </c>
      <c r="B142" s="24" t="s">
        <v>721</v>
      </c>
      <c r="C142" t="b">
        <f t="shared" si="3"/>
        <v>1</v>
      </c>
    </row>
    <row r="143" spans="1:3">
      <c r="A143" t="s">
        <v>722</v>
      </c>
      <c r="B143" s="24" t="s">
        <v>722</v>
      </c>
      <c r="C143" t="b">
        <f t="shared" si="3"/>
        <v>1</v>
      </c>
    </row>
    <row r="144" spans="1:3">
      <c r="A144" t="s">
        <v>723</v>
      </c>
      <c r="B144" s="24" t="s">
        <v>723</v>
      </c>
      <c r="C144" t="b">
        <f t="shared" si="3"/>
        <v>1</v>
      </c>
    </row>
    <row r="145" spans="1:3">
      <c r="A145" t="s">
        <v>955</v>
      </c>
      <c r="B145" s="33" t="s">
        <v>724</v>
      </c>
      <c r="C145" t="str">
        <f t="shared" si="3"/>
        <v>S&amp;D Carriage/Transportation</v>
      </c>
    </row>
    <row r="146" spans="1:3">
      <c r="A146" t="s">
        <v>725</v>
      </c>
      <c r="B146" s="24" t="s">
        <v>725</v>
      </c>
      <c r="C146" t="b">
        <f t="shared" si="3"/>
        <v>1</v>
      </c>
    </row>
    <row r="147" spans="1:3">
      <c r="A147" t="s">
        <v>726</v>
      </c>
      <c r="B147" s="24" t="s">
        <v>726</v>
      </c>
      <c r="C147" t="b">
        <f t="shared" si="3"/>
        <v>1</v>
      </c>
    </row>
    <row r="148" spans="1:3">
      <c r="A148" t="s">
        <v>727</v>
      </c>
      <c r="B148" s="24" t="s">
        <v>727</v>
      </c>
      <c r="C148" t="b">
        <f t="shared" si="3"/>
        <v>1</v>
      </c>
    </row>
    <row r="149" spans="1:3">
      <c r="A149" t="s">
        <v>728</v>
      </c>
      <c r="B149" s="24" t="s">
        <v>728</v>
      </c>
      <c r="C149" t="b">
        <f t="shared" si="3"/>
        <v>1</v>
      </c>
    </row>
    <row r="150" spans="1:3">
      <c r="A150" t="s">
        <v>956</v>
      </c>
      <c r="B150" s="33" t="s">
        <v>729</v>
      </c>
      <c r="C150" t="str">
        <f t="shared" si="3"/>
        <v>S&amp;D Advertising/Promotion</v>
      </c>
    </row>
    <row r="151" spans="1:3">
      <c r="A151" t="s">
        <v>730</v>
      </c>
      <c r="B151" s="24" t="s">
        <v>730</v>
      </c>
      <c r="C151" t="b">
        <f t="shared" si="3"/>
        <v>1</v>
      </c>
    </row>
    <row r="152" spans="1:3">
      <c r="A152" t="s">
        <v>731</v>
      </c>
      <c r="B152" s="24" t="s">
        <v>731</v>
      </c>
      <c r="C152" t="b">
        <f t="shared" ref="C152:C163" si="4">IF(A152=B152,TRUE,B152)</f>
        <v>1</v>
      </c>
    </row>
    <row r="153" spans="1:3">
      <c r="A153" t="s">
        <v>957</v>
      </c>
      <c r="B153" s="33" t="s">
        <v>732</v>
      </c>
      <c r="C153" t="str">
        <f t="shared" si="4"/>
        <v>S&amp;D Travelling/Entertainment</v>
      </c>
    </row>
    <row r="154" spans="1:3">
      <c r="A154" t="s">
        <v>733</v>
      </c>
      <c r="B154" s="24" t="s">
        <v>733</v>
      </c>
      <c r="C154" t="b">
        <f t="shared" si="4"/>
        <v>1</v>
      </c>
    </row>
    <row r="155" spans="1:3">
      <c r="A155" t="s">
        <v>734</v>
      </c>
      <c r="B155" s="24" t="s">
        <v>734</v>
      </c>
      <c r="C155" t="b">
        <f t="shared" si="4"/>
        <v>1</v>
      </c>
    </row>
    <row r="156" spans="1:3">
      <c r="A156" t="s">
        <v>942</v>
      </c>
      <c r="B156" s="24" t="s">
        <v>942</v>
      </c>
      <c r="C156" t="b">
        <f t="shared" si="4"/>
        <v>1</v>
      </c>
    </row>
    <row r="157" spans="1:3">
      <c r="A157" t="s">
        <v>924</v>
      </c>
      <c r="B157" s="24" t="s">
        <v>924</v>
      </c>
      <c r="C157" t="b">
        <f t="shared" si="4"/>
        <v>1</v>
      </c>
    </row>
    <row r="158" spans="1:3">
      <c r="A158" t="s">
        <v>925</v>
      </c>
      <c r="B158" s="24" t="s">
        <v>925</v>
      </c>
      <c r="C158" t="b">
        <f t="shared" si="4"/>
        <v>1</v>
      </c>
    </row>
    <row r="159" spans="1:3">
      <c r="A159" t="s">
        <v>926</v>
      </c>
      <c r="B159" s="24" t="s">
        <v>926</v>
      </c>
      <c r="C159" t="b">
        <f t="shared" si="4"/>
        <v>1</v>
      </c>
    </row>
    <row r="160" spans="1:3">
      <c r="A160" t="s">
        <v>927</v>
      </c>
      <c r="B160" s="24" t="s">
        <v>927</v>
      </c>
      <c r="C160" t="b">
        <f t="shared" si="4"/>
        <v>1</v>
      </c>
    </row>
    <row r="161" spans="1:3">
      <c r="A161" t="s">
        <v>928</v>
      </c>
      <c r="B161" s="24" t="s">
        <v>928</v>
      </c>
      <c r="C161" t="b">
        <f t="shared" si="4"/>
        <v>1</v>
      </c>
    </row>
    <row r="162" spans="1:3">
      <c r="A162" t="s">
        <v>735</v>
      </c>
      <c r="B162" s="24" t="s">
        <v>735</v>
      </c>
      <c r="C162" t="b">
        <f t="shared" si="4"/>
        <v>1</v>
      </c>
    </row>
    <row r="163" spans="1:3">
      <c r="A163" t="s">
        <v>736</v>
      </c>
      <c r="B163" s="24" t="s">
        <v>736</v>
      </c>
      <c r="C163" t="b">
        <f t="shared" si="4"/>
        <v>1</v>
      </c>
    </row>
    <row r="164" spans="1:3">
      <c r="B164" s="41" t="s">
        <v>737</v>
      </c>
      <c r="C164" s="3" t="str">
        <f t="shared" ref="C164:C169" si="5">IF(A164=B164,TRUE,B164)</f>
        <v>Upkeep-Machinery</v>
      </c>
    </row>
    <row r="165" spans="1:3">
      <c r="B165" s="41" t="s">
        <v>738</v>
      </c>
      <c r="C165" s="3" t="str">
        <f t="shared" si="5"/>
        <v>Upkeep-Equipment</v>
      </c>
    </row>
    <row r="166" spans="1:3">
      <c r="B166" s="41" t="s">
        <v>739</v>
      </c>
      <c r="C166" s="3" t="str">
        <f t="shared" si="5"/>
        <v>Upkeep-Furniture &amp; Fitting</v>
      </c>
    </row>
    <row r="167" spans="1:3">
      <c r="B167" s="41" t="s">
        <v>740</v>
      </c>
      <c r="C167" s="3" t="str">
        <f t="shared" si="5"/>
        <v>Upkeep-Office Equip</v>
      </c>
    </row>
    <row r="168" spans="1:3">
      <c r="B168" s="41" t="s">
        <v>741</v>
      </c>
      <c r="C168" s="3" t="str">
        <f t="shared" si="5"/>
        <v>Upkeep-Computers</v>
      </c>
    </row>
    <row r="169" spans="1:3">
      <c r="A169" t="s">
        <v>958</v>
      </c>
      <c r="B169" s="33" t="s">
        <v>742</v>
      </c>
      <c r="C169" t="str">
        <f t="shared" si="5"/>
        <v>S&amp;D Equipment Expenses</v>
      </c>
    </row>
    <row r="170" spans="1:3">
      <c r="A170" t="s">
        <v>743</v>
      </c>
      <c r="B170" s="24" t="s">
        <v>743</v>
      </c>
      <c r="C170" t="b">
        <f t="shared" ref="C170:C208" si="6">IF(A170=B170,TRUE,B170)</f>
        <v>1</v>
      </c>
    </row>
    <row r="171" spans="1:3">
      <c r="A171" t="s">
        <v>744</v>
      </c>
      <c r="B171" s="24" t="s">
        <v>744</v>
      </c>
      <c r="C171" t="b">
        <f t="shared" si="6"/>
        <v>1</v>
      </c>
    </row>
    <row r="172" spans="1:3">
      <c r="A172" t="s">
        <v>745</v>
      </c>
      <c r="B172" s="24" t="s">
        <v>745</v>
      </c>
      <c r="C172" t="b">
        <f t="shared" si="6"/>
        <v>1</v>
      </c>
    </row>
    <row r="173" spans="1:3">
      <c r="A173" t="s">
        <v>746</v>
      </c>
      <c r="B173" s="24" t="s">
        <v>746</v>
      </c>
      <c r="C173" t="b">
        <f t="shared" si="6"/>
        <v>1</v>
      </c>
    </row>
    <row r="174" spans="1:3">
      <c r="A174" t="s">
        <v>747</v>
      </c>
      <c r="B174" s="24" t="s">
        <v>747</v>
      </c>
      <c r="C174" t="b">
        <f t="shared" si="6"/>
        <v>1</v>
      </c>
    </row>
    <row r="175" spans="1:3">
      <c r="A175" t="s">
        <v>748</v>
      </c>
      <c r="B175" s="24" t="s">
        <v>748</v>
      </c>
      <c r="C175" t="b">
        <f t="shared" si="6"/>
        <v>1</v>
      </c>
    </row>
    <row r="176" spans="1:3">
      <c r="A176" t="s">
        <v>749</v>
      </c>
      <c r="B176" s="24" t="s">
        <v>749</v>
      </c>
      <c r="C176" t="b">
        <f t="shared" si="6"/>
        <v>1</v>
      </c>
    </row>
    <row r="177" spans="1:3">
      <c r="A177" t="s">
        <v>750</v>
      </c>
      <c r="B177" s="24" t="s">
        <v>750</v>
      </c>
      <c r="C177" t="b">
        <f t="shared" si="6"/>
        <v>1</v>
      </c>
    </row>
    <row r="178" spans="1:3">
      <c r="A178" t="s">
        <v>944</v>
      </c>
      <c r="B178" s="24" t="s">
        <v>944</v>
      </c>
      <c r="C178" t="b">
        <f t="shared" si="6"/>
        <v>1</v>
      </c>
    </row>
    <row r="179" spans="1:3">
      <c r="A179" t="s">
        <v>959</v>
      </c>
      <c r="B179" s="33" t="s">
        <v>751</v>
      </c>
      <c r="C179" t="str">
        <f t="shared" si="6"/>
        <v>S&amp;D Rental/Property Related</v>
      </c>
    </row>
    <row r="180" spans="1:3">
      <c r="A180" t="s">
        <v>929</v>
      </c>
      <c r="B180" s="24" t="s">
        <v>929</v>
      </c>
      <c r="C180" t="b">
        <f t="shared" si="6"/>
        <v>1</v>
      </c>
    </row>
    <row r="181" spans="1:3">
      <c r="A181" t="s">
        <v>930</v>
      </c>
      <c r="B181" s="24" t="s">
        <v>930</v>
      </c>
      <c r="C181" t="b">
        <f t="shared" si="6"/>
        <v>1</v>
      </c>
    </row>
    <row r="182" spans="1:3">
      <c r="A182" t="s">
        <v>931</v>
      </c>
      <c r="B182" s="24" t="s">
        <v>931</v>
      </c>
      <c r="C182" t="b">
        <f t="shared" si="6"/>
        <v>1</v>
      </c>
    </row>
    <row r="183" spans="1:3">
      <c r="A183" t="s">
        <v>932</v>
      </c>
      <c r="B183" s="24" t="s">
        <v>932</v>
      </c>
      <c r="C183" t="b">
        <f t="shared" si="6"/>
        <v>1</v>
      </c>
    </row>
    <row r="184" spans="1:3">
      <c r="A184" t="s">
        <v>933</v>
      </c>
      <c r="B184" s="24" t="s">
        <v>933</v>
      </c>
      <c r="C184" t="b">
        <f t="shared" si="6"/>
        <v>1</v>
      </c>
    </row>
    <row r="185" spans="1:3">
      <c r="A185" t="s">
        <v>960</v>
      </c>
      <c r="B185" s="24" t="s">
        <v>960</v>
      </c>
      <c r="C185" t="b">
        <f t="shared" si="6"/>
        <v>1</v>
      </c>
    </row>
    <row r="186" spans="1:3">
      <c r="A186" t="s">
        <v>961</v>
      </c>
      <c r="B186" s="24" t="s">
        <v>961</v>
      </c>
      <c r="C186" t="b">
        <f t="shared" si="6"/>
        <v>1</v>
      </c>
    </row>
    <row r="187" spans="1:3">
      <c r="A187" t="s">
        <v>934</v>
      </c>
      <c r="B187" s="24" t="s">
        <v>934</v>
      </c>
      <c r="C187" t="b">
        <f t="shared" si="6"/>
        <v>1</v>
      </c>
    </row>
    <row r="188" spans="1:3">
      <c r="A188" t="s">
        <v>935</v>
      </c>
      <c r="B188" s="24" t="s">
        <v>935</v>
      </c>
      <c r="C188" t="b">
        <f t="shared" si="6"/>
        <v>1</v>
      </c>
    </row>
    <row r="189" spans="1:3">
      <c r="A189" t="s">
        <v>936</v>
      </c>
      <c r="B189" s="24" t="s">
        <v>936</v>
      </c>
      <c r="C189" t="b">
        <f t="shared" si="6"/>
        <v>1</v>
      </c>
    </row>
    <row r="190" spans="1:3">
      <c r="A190" t="s">
        <v>937</v>
      </c>
      <c r="B190" s="24" t="s">
        <v>937</v>
      </c>
      <c r="C190" t="b">
        <f t="shared" si="6"/>
        <v>1</v>
      </c>
    </row>
    <row r="191" spans="1:3">
      <c r="A191" t="s">
        <v>938</v>
      </c>
      <c r="B191" s="24" t="s">
        <v>938</v>
      </c>
      <c r="C191" t="b">
        <f t="shared" si="6"/>
        <v>1</v>
      </c>
    </row>
    <row r="192" spans="1:3">
      <c r="A192" t="s">
        <v>939</v>
      </c>
      <c r="B192" s="24" t="s">
        <v>939</v>
      </c>
      <c r="C192" t="b">
        <f t="shared" si="6"/>
        <v>1</v>
      </c>
    </row>
    <row r="193" spans="1:3">
      <c r="A193" t="s">
        <v>962</v>
      </c>
      <c r="B193" s="33" t="s">
        <v>752</v>
      </c>
      <c r="C193" t="str">
        <f t="shared" si="6"/>
        <v>S&amp;D Depn of Fixed Assets</v>
      </c>
    </row>
    <row r="194" spans="1:3">
      <c r="A194" t="s">
        <v>753</v>
      </c>
      <c r="B194" s="24" t="s">
        <v>753</v>
      </c>
      <c r="C194" t="b">
        <f t="shared" si="6"/>
        <v>1</v>
      </c>
    </row>
    <row r="195" spans="1:3">
      <c r="A195" t="s">
        <v>754</v>
      </c>
      <c r="B195" s="24" t="s">
        <v>754</v>
      </c>
      <c r="C195" t="b">
        <f t="shared" si="6"/>
        <v>1</v>
      </c>
    </row>
    <row r="196" spans="1:3">
      <c r="A196" t="s">
        <v>755</v>
      </c>
      <c r="B196" s="24" t="s">
        <v>755</v>
      </c>
      <c r="C196" t="b">
        <f t="shared" si="6"/>
        <v>1</v>
      </c>
    </row>
    <row r="197" spans="1:3">
      <c r="A197" t="s">
        <v>756</v>
      </c>
      <c r="B197" s="24" t="s">
        <v>756</v>
      </c>
      <c r="C197" t="b">
        <f t="shared" si="6"/>
        <v>1</v>
      </c>
    </row>
    <row r="198" spans="1:3">
      <c r="A198" t="s">
        <v>940</v>
      </c>
      <c r="B198" s="24" t="s">
        <v>940</v>
      </c>
      <c r="C198" t="b">
        <f t="shared" si="6"/>
        <v>1</v>
      </c>
    </row>
    <row r="199" spans="1:3">
      <c r="A199" t="s">
        <v>963</v>
      </c>
      <c r="B199" s="33" t="s">
        <v>757</v>
      </c>
      <c r="C199" t="str">
        <f t="shared" si="6"/>
        <v>S&amp;D Stationery/Printing/Telephone</v>
      </c>
    </row>
    <row r="200" spans="1:3">
      <c r="A200" t="s">
        <v>758</v>
      </c>
      <c r="B200" s="24" t="s">
        <v>758</v>
      </c>
      <c r="C200" t="b">
        <f t="shared" si="6"/>
        <v>1</v>
      </c>
    </row>
    <row r="201" spans="1:3">
      <c r="A201" t="s">
        <v>759</v>
      </c>
      <c r="B201" s="24" t="s">
        <v>759</v>
      </c>
      <c r="C201" t="b">
        <f t="shared" si="6"/>
        <v>1</v>
      </c>
    </row>
    <row r="202" spans="1:3">
      <c r="A202" t="s">
        <v>689</v>
      </c>
      <c r="B202" s="24" t="s">
        <v>689</v>
      </c>
      <c r="C202" t="b">
        <f t="shared" si="6"/>
        <v>1</v>
      </c>
    </row>
    <row r="203" spans="1:3">
      <c r="A203" t="s">
        <v>760</v>
      </c>
      <c r="B203" s="24" t="s">
        <v>760</v>
      </c>
      <c r="C203" t="b">
        <f t="shared" si="6"/>
        <v>1</v>
      </c>
    </row>
    <row r="204" spans="1:3">
      <c r="A204" t="s">
        <v>761</v>
      </c>
      <c r="B204" s="24" t="s">
        <v>761</v>
      </c>
      <c r="C204" t="b">
        <f t="shared" si="6"/>
        <v>1</v>
      </c>
    </row>
    <row r="205" spans="1:3">
      <c r="A205" t="s">
        <v>762</v>
      </c>
      <c r="B205" s="24" t="s">
        <v>762</v>
      </c>
      <c r="C205" t="b">
        <f t="shared" si="6"/>
        <v>1</v>
      </c>
    </row>
    <row r="206" spans="1:3">
      <c r="A206" t="s">
        <v>763</v>
      </c>
      <c r="B206" s="24" t="s">
        <v>763</v>
      </c>
      <c r="C206" t="b">
        <f t="shared" si="6"/>
        <v>1</v>
      </c>
    </row>
    <row r="207" spans="1:3">
      <c r="A207" t="s">
        <v>764</v>
      </c>
      <c r="B207" s="24" t="s">
        <v>764</v>
      </c>
      <c r="C207" t="b">
        <f t="shared" si="6"/>
        <v>1</v>
      </c>
    </row>
    <row r="208" spans="1:3">
      <c r="A208" t="s">
        <v>765</v>
      </c>
      <c r="B208" s="24" t="s">
        <v>765</v>
      </c>
      <c r="C208" t="b">
        <f t="shared" si="6"/>
        <v>1</v>
      </c>
    </row>
    <row r="209" spans="1:3">
      <c r="A209" s="2" t="s">
        <v>964</v>
      </c>
      <c r="B209" s="24"/>
      <c r="C209">
        <f>IF(A209=B209,TRUE,B209)</f>
        <v>0</v>
      </c>
    </row>
    <row r="210" spans="1:3">
      <c r="A210" t="s">
        <v>965</v>
      </c>
      <c r="B210" s="34" t="s">
        <v>766</v>
      </c>
      <c r="C210" t="str">
        <f t="shared" ref="C210:C247" si="7">IF(A210=B210,TRUE,B210)</f>
        <v>Total S&amp;D Expenses</v>
      </c>
    </row>
    <row r="211" spans="1:3">
      <c r="A211" t="s">
        <v>699</v>
      </c>
      <c r="B211" s="24" t="s">
        <v>699</v>
      </c>
      <c r="C211" t="b">
        <f t="shared" si="7"/>
        <v>1</v>
      </c>
    </row>
    <row r="212" spans="1:3">
      <c r="A212" t="s">
        <v>700</v>
      </c>
      <c r="B212" s="24" t="s">
        <v>700</v>
      </c>
      <c r="C212" t="b">
        <f t="shared" si="7"/>
        <v>1</v>
      </c>
    </row>
    <row r="213" spans="1:3">
      <c r="A213" t="s">
        <v>701</v>
      </c>
      <c r="B213" s="24" t="s">
        <v>701</v>
      </c>
      <c r="C213" t="b">
        <f t="shared" si="7"/>
        <v>1</v>
      </c>
    </row>
    <row r="214" spans="1:3">
      <c r="A214" t="s">
        <v>702</v>
      </c>
      <c r="B214" s="24" t="s">
        <v>702</v>
      </c>
      <c r="C214" t="b">
        <f t="shared" si="7"/>
        <v>1</v>
      </c>
    </row>
    <row r="215" spans="1:3">
      <c r="A215" t="s">
        <v>703</v>
      </c>
      <c r="B215" s="24" t="s">
        <v>703</v>
      </c>
      <c r="C215" t="b">
        <f t="shared" si="7"/>
        <v>1</v>
      </c>
    </row>
    <row r="216" spans="1:3">
      <c r="A216" t="s">
        <v>704</v>
      </c>
      <c r="B216" s="24" t="s">
        <v>704</v>
      </c>
      <c r="C216" t="b">
        <f t="shared" si="7"/>
        <v>1</v>
      </c>
    </row>
    <row r="217" spans="1:3">
      <c r="A217" t="s">
        <v>705</v>
      </c>
      <c r="B217" s="24" t="s">
        <v>705</v>
      </c>
      <c r="C217" t="b">
        <f t="shared" si="7"/>
        <v>1</v>
      </c>
    </row>
    <row r="218" spans="1:3">
      <c r="A218" t="s">
        <v>706</v>
      </c>
      <c r="B218" s="24" t="s">
        <v>706</v>
      </c>
      <c r="C218" t="b">
        <f t="shared" si="7"/>
        <v>1</v>
      </c>
    </row>
    <row r="219" spans="1:3">
      <c r="A219" t="s">
        <v>707</v>
      </c>
      <c r="B219" s="24" t="s">
        <v>707</v>
      </c>
      <c r="C219" t="b">
        <f t="shared" si="7"/>
        <v>1</v>
      </c>
    </row>
    <row r="220" spans="1:3">
      <c r="A220" t="s">
        <v>708</v>
      </c>
      <c r="B220" s="24" t="s">
        <v>708</v>
      </c>
      <c r="C220" t="b">
        <f t="shared" si="7"/>
        <v>1</v>
      </c>
    </row>
    <row r="221" spans="1:3">
      <c r="A221" t="s">
        <v>709</v>
      </c>
      <c r="B221" s="24" t="s">
        <v>709</v>
      </c>
      <c r="C221" t="b">
        <f t="shared" si="7"/>
        <v>1</v>
      </c>
    </row>
    <row r="222" spans="1:3">
      <c r="A222" t="s">
        <v>710</v>
      </c>
      <c r="B222" s="24" t="s">
        <v>710</v>
      </c>
      <c r="C222" t="b">
        <f t="shared" si="7"/>
        <v>1</v>
      </c>
    </row>
    <row r="223" spans="1:3">
      <c r="A223" t="s">
        <v>967</v>
      </c>
      <c r="B223" s="24" t="s">
        <v>967</v>
      </c>
      <c r="C223" t="b">
        <f t="shared" si="7"/>
        <v>1</v>
      </c>
    </row>
    <row r="224" spans="1:3">
      <c r="A224" t="s">
        <v>711</v>
      </c>
      <c r="B224" s="24" t="s">
        <v>711</v>
      </c>
      <c r="C224" t="b">
        <f t="shared" si="7"/>
        <v>1</v>
      </c>
    </row>
    <row r="225" spans="1:3">
      <c r="A225" t="s">
        <v>767</v>
      </c>
      <c r="B225" s="24" t="s">
        <v>767</v>
      </c>
      <c r="C225" t="b">
        <f t="shared" si="7"/>
        <v>1</v>
      </c>
    </row>
    <row r="226" spans="1:3">
      <c r="A226" t="s">
        <v>712</v>
      </c>
      <c r="B226" s="24" t="s">
        <v>712</v>
      </c>
      <c r="C226" t="b">
        <f t="shared" si="7"/>
        <v>1</v>
      </c>
    </row>
    <row r="227" spans="1:3">
      <c r="A227" t="s">
        <v>713</v>
      </c>
      <c r="B227" s="24" t="s">
        <v>713</v>
      </c>
      <c r="C227" t="b">
        <f t="shared" si="7"/>
        <v>1</v>
      </c>
    </row>
    <row r="228" spans="1:3">
      <c r="A228" t="s">
        <v>714</v>
      </c>
      <c r="B228" s="24" t="s">
        <v>714</v>
      </c>
      <c r="C228" t="b">
        <f t="shared" si="7"/>
        <v>1</v>
      </c>
    </row>
    <row r="229" spans="1:3">
      <c r="A229" t="s">
        <v>715</v>
      </c>
      <c r="B229" s="24" t="s">
        <v>715</v>
      </c>
      <c r="C229" t="b">
        <f t="shared" si="7"/>
        <v>1</v>
      </c>
    </row>
    <row r="230" spans="1:3">
      <c r="A230" t="s">
        <v>716</v>
      </c>
      <c r="B230" s="24" t="s">
        <v>716</v>
      </c>
      <c r="C230" t="b">
        <f t="shared" si="7"/>
        <v>1</v>
      </c>
    </row>
    <row r="231" spans="1:3">
      <c r="A231" t="s">
        <v>717</v>
      </c>
      <c r="B231" s="24" t="s">
        <v>717</v>
      </c>
      <c r="C231" t="b">
        <f t="shared" si="7"/>
        <v>1</v>
      </c>
    </row>
    <row r="232" spans="1:3">
      <c r="A232" t="s">
        <v>948</v>
      </c>
      <c r="B232" s="24" t="s">
        <v>948</v>
      </c>
      <c r="C232" t="b">
        <f t="shared" si="7"/>
        <v>1</v>
      </c>
    </row>
    <row r="233" spans="1:3">
      <c r="A233" t="s">
        <v>949</v>
      </c>
      <c r="B233" s="24" t="s">
        <v>949</v>
      </c>
      <c r="C233" t="b">
        <f t="shared" si="7"/>
        <v>1</v>
      </c>
    </row>
    <row r="234" spans="1:3">
      <c r="A234" t="s">
        <v>950</v>
      </c>
      <c r="B234" s="24" t="s">
        <v>950</v>
      </c>
      <c r="C234" t="b">
        <f t="shared" si="7"/>
        <v>1</v>
      </c>
    </row>
    <row r="235" spans="1:3">
      <c r="A235" t="s">
        <v>951</v>
      </c>
      <c r="B235" s="24" t="s">
        <v>951</v>
      </c>
      <c r="C235" t="b">
        <f t="shared" si="7"/>
        <v>1</v>
      </c>
    </row>
    <row r="236" spans="1:3">
      <c r="A236" t="s">
        <v>952</v>
      </c>
      <c r="B236" s="24" t="s">
        <v>952</v>
      </c>
      <c r="C236" t="b">
        <f t="shared" si="7"/>
        <v>1</v>
      </c>
    </row>
    <row r="237" spans="1:3">
      <c r="A237" t="s">
        <v>953</v>
      </c>
      <c r="B237" s="24" t="s">
        <v>953</v>
      </c>
      <c r="C237" t="b">
        <f t="shared" si="7"/>
        <v>1</v>
      </c>
    </row>
    <row r="238" spans="1:3">
      <c r="A238" t="s">
        <v>768</v>
      </c>
      <c r="B238" s="24" t="s">
        <v>768</v>
      </c>
      <c r="C238" t="b">
        <f t="shared" si="7"/>
        <v>1</v>
      </c>
    </row>
    <row r="239" spans="1:3">
      <c r="A239" t="s">
        <v>769</v>
      </c>
      <c r="B239" s="24" t="s">
        <v>769</v>
      </c>
      <c r="C239" t="b">
        <f t="shared" si="7"/>
        <v>1</v>
      </c>
    </row>
    <row r="240" spans="1:3">
      <c r="A240" t="s">
        <v>770</v>
      </c>
      <c r="B240" s="24" t="s">
        <v>770</v>
      </c>
      <c r="C240" t="b">
        <f t="shared" si="7"/>
        <v>1</v>
      </c>
    </row>
    <row r="241" spans="1:3">
      <c r="A241" t="s">
        <v>954</v>
      </c>
      <c r="B241" s="33" t="s">
        <v>771</v>
      </c>
      <c r="C241" t="str">
        <f t="shared" si="7"/>
        <v>A&amp;G Personnel Related Cost</v>
      </c>
    </row>
    <row r="242" spans="1:3">
      <c r="A242" t="s">
        <v>730</v>
      </c>
      <c r="B242" s="24" t="s">
        <v>730</v>
      </c>
      <c r="C242" t="b">
        <f t="shared" si="7"/>
        <v>1</v>
      </c>
    </row>
    <row r="243" spans="1:3">
      <c r="A243" t="s">
        <v>922</v>
      </c>
      <c r="B243" s="24" t="s">
        <v>922</v>
      </c>
      <c r="C243" t="b">
        <f t="shared" si="7"/>
        <v>1</v>
      </c>
    </row>
    <row r="244" spans="1:3">
      <c r="A244" t="s">
        <v>923</v>
      </c>
      <c r="B244" s="24" t="s">
        <v>923</v>
      </c>
      <c r="C244" t="b">
        <f t="shared" si="7"/>
        <v>1</v>
      </c>
    </row>
    <row r="245" spans="1:3">
      <c r="A245" t="s">
        <v>941</v>
      </c>
      <c r="B245" s="24" t="s">
        <v>941</v>
      </c>
      <c r="C245" t="b">
        <f t="shared" si="7"/>
        <v>1</v>
      </c>
    </row>
    <row r="246" spans="1:3">
      <c r="A246" t="s">
        <v>720</v>
      </c>
      <c r="B246" s="24" t="s">
        <v>720</v>
      </c>
      <c r="C246" t="b">
        <f t="shared" si="7"/>
        <v>1</v>
      </c>
    </row>
    <row r="247" spans="1:3">
      <c r="A247" t="s">
        <v>721</v>
      </c>
      <c r="B247" s="24" t="s">
        <v>721</v>
      </c>
      <c r="C247" t="b">
        <f t="shared" si="7"/>
        <v>1</v>
      </c>
    </row>
    <row r="248" spans="1:3" s="3" customFormat="1">
      <c r="B248" s="42" t="s">
        <v>772</v>
      </c>
      <c r="C248" s="3" t="str">
        <f>IF(A248=B248,TRUE,B248)</f>
        <v>A&amp;G Travelling/Transportation</v>
      </c>
    </row>
    <row r="249" spans="1:3">
      <c r="A249" t="s">
        <v>731</v>
      </c>
      <c r="B249" s="24" t="s">
        <v>731</v>
      </c>
      <c r="C249" t="b">
        <f t="shared" ref="C249:C313" si="8">IF(A249=B249,TRUE,B249)</f>
        <v>1</v>
      </c>
    </row>
    <row r="250" spans="1:3">
      <c r="A250" t="s">
        <v>759</v>
      </c>
      <c r="B250" s="24" t="s">
        <v>759</v>
      </c>
      <c r="C250" t="b">
        <f t="shared" si="8"/>
        <v>1</v>
      </c>
    </row>
    <row r="251" spans="1:3">
      <c r="A251" s="2" t="s">
        <v>957</v>
      </c>
      <c r="B251" s="42" t="s">
        <v>773</v>
      </c>
      <c r="C251" s="3" t="str">
        <f t="shared" si="8"/>
        <v>A&amp;G Entertainment/Donations</v>
      </c>
    </row>
    <row r="252" spans="1:3">
      <c r="A252" t="s">
        <v>774</v>
      </c>
      <c r="B252" s="24" t="s">
        <v>774</v>
      </c>
      <c r="C252" t="b">
        <f t="shared" si="8"/>
        <v>1</v>
      </c>
    </row>
    <row r="253" spans="1:3">
      <c r="A253" t="s">
        <v>775</v>
      </c>
      <c r="B253" s="24" t="s">
        <v>775</v>
      </c>
      <c r="C253" t="b">
        <f t="shared" si="8"/>
        <v>1</v>
      </c>
    </row>
    <row r="254" spans="1:3">
      <c r="A254" t="s">
        <v>942</v>
      </c>
      <c r="B254" s="24" t="s">
        <v>942</v>
      </c>
      <c r="C254" t="b">
        <f t="shared" si="8"/>
        <v>1</v>
      </c>
    </row>
    <row r="255" spans="1:3">
      <c r="A255" t="s">
        <v>926</v>
      </c>
      <c r="B255" s="24" t="s">
        <v>926</v>
      </c>
      <c r="C255" t="b">
        <f t="shared" si="8"/>
        <v>1</v>
      </c>
    </row>
    <row r="256" spans="1:3">
      <c r="A256" t="s">
        <v>925</v>
      </c>
      <c r="B256" s="24" t="s">
        <v>925</v>
      </c>
      <c r="C256" t="b">
        <f t="shared" si="8"/>
        <v>1</v>
      </c>
    </row>
    <row r="257" spans="1:3">
      <c r="A257" t="s">
        <v>927</v>
      </c>
      <c r="B257" s="24" t="s">
        <v>927</v>
      </c>
      <c r="C257" t="b">
        <f t="shared" si="8"/>
        <v>1</v>
      </c>
    </row>
    <row r="258" spans="1:3">
      <c r="A258" t="s">
        <v>928</v>
      </c>
      <c r="B258" s="24" t="s">
        <v>928</v>
      </c>
      <c r="C258" t="b">
        <f t="shared" si="8"/>
        <v>1</v>
      </c>
    </row>
    <row r="259" spans="1:3">
      <c r="A259" s="3"/>
      <c r="B259" s="41" t="s">
        <v>738</v>
      </c>
      <c r="C259" s="3" t="str">
        <f t="shared" si="8"/>
        <v>Upkeep-Equipment</v>
      </c>
    </row>
    <row r="260" spans="1:3">
      <c r="A260" s="3"/>
      <c r="B260" s="41" t="s">
        <v>740</v>
      </c>
      <c r="C260" s="3" t="str">
        <f t="shared" si="8"/>
        <v>Upkeep-Office Equip</v>
      </c>
    </row>
    <row r="261" spans="1:3">
      <c r="A261" t="s">
        <v>958</v>
      </c>
      <c r="B261" s="33" t="s">
        <v>776</v>
      </c>
      <c r="C261" t="str">
        <f t="shared" si="8"/>
        <v>A&amp;G Equipment Expenses</v>
      </c>
    </row>
    <row r="262" spans="1:3">
      <c r="A262" t="s">
        <v>777</v>
      </c>
      <c r="B262" s="24" t="s">
        <v>777</v>
      </c>
      <c r="C262" t="b">
        <f t="shared" si="8"/>
        <v>1</v>
      </c>
    </row>
    <row r="263" spans="1:3">
      <c r="A263" t="s">
        <v>744</v>
      </c>
      <c r="B263" s="24" t="s">
        <v>744</v>
      </c>
      <c r="C263" t="b">
        <f t="shared" si="8"/>
        <v>1</v>
      </c>
    </row>
    <row r="264" spans="1:3">
      <c r="A264" t="s">
        <v>745</v>
      </c>
      <c r="B264" s="24" t="s">
        <v>745</v>
      </c>
      <c r="C264" t="b">
        <f t="shared" si="8"/>
        <v>1</v>
      </c>
    </row>
    <row r="265" spans="1:3">
      <c r="A265" t="s">
        <v>746</v>
      </c>
      <c r="B265" s="24" t="s">
        <v>746</v>
      </c>
      <c r="C265" t="b">
        <f t="shared" si="8"/>
        <v>1</v>
      </c>
    </row>
    <row r="266" spans="1:3">
      <c r="A266" t="s">
        <v>747</v>
      </c>
      <c r="B266" s="24" t="s">
        <v>747</v>
      </c>
      <c r="C266" t="b">
        <f t="shared" si="8"/>
        <v>1</v>
      </c>
    </row>
    <row r="267" spans="1:3">
      <c r="A267" t="s">
        <v>748</v>
      </c>
      <c r="B267" s="24" t="s">
        <v>748</v>
      </c>
      <c r="C267" t="b">
        <f t="shared" si="8"/>
        <v>1</v>
      </c>
    </row>
    <row r="268" spans="1:3">
      <c r="A268" t="s">
        <v>749</v>
      </c>
      <c r="B268" s="24" t="s">
        <v>749</v>
      </c>
      <c r="C268" t="b">
        <f t="shared" si="8"/>
        <v>1</v>
      </c>
    </row>
    <row r="269" spans="1:3">
      <c r="A269" t="s">
        <v>778</v>
      </c>
      <c r="B269" s="24" t="s">
        <v>778</v>
      </c>
      <c r="C269" t="b">
        <f t="shared" si="8"/>
        <v>1</v>
      </c>
    </row>
    <row r="270" spans="1:3">
      <c r="A270" t="s">
        <v>968</v>
      </c>
      <c r="B270" s="24" t="s">
        <v>968</v>
      </c>
      <c r="C270" t="b">
        <f t="shared" si="8"/>
        <v>1</v>
      </c>
    </row>
    <row r="271" spans="1:3">
      <c r="A271" t="s">
        <v>750</v>
      </c>
      <c r="B271" s="24" t="s">
        <v>750</v>
      </c>
      <c r="C271" t="b">
        <f t="shared" si="8"/>
        <v>1</v>
      </c>
    </row>
    <row r="272" spans="1:3">
      <c r="A272" t="s">
        <v>959</v>
      </c>
      <c r="B272" s="33" t="s">
        <v>779</v>
      </c>
      <c r="C272" t="str">
        <f t="shared" si="8"/>
        <v>A&amp;G Rental/Property Related</v>
      </c>
    </row>
    <row r="273" spans="1:3">
      <c r="A273" t="s">
        <v>929</v>
      </c>
      <c r="B273" s="24" t="s">
        <v>929</v>
      </c>
      <c r="C273" t="b">
        <f t="shared" si="8"/>
        <v>1</v>
      </c>
    </row>
    <row r="274" spans="1:3">
      <c r="A274" t="s">
        <v>930</v>
      </c>
      <c r="B274" s="24" t="s">
        <v>930</v>
      </c>
      <c r="C274" t="b">
        <f t="shared" si="8"/>
        <v>1</v>
      </c>
    </row>
    <row r="275" spans="1:3">
      <c r="A275" t="s">
        <v>931</v>
      </c>
      <c r="B275" s="24" t="s">
        <v>931</v>
      </c>
      <c r="C275" t="b">
        <f t="shared" si="8"/>
        <v>1</v>
      </c>
    </row>
    <row r="276" spans="1:3">
      <c r="A276" t="s">
        <v>932</v>
      </c>
      <c r="B276" s="24" t="s">
        <v>932</v>
      </c>
      <c r="C276" t="b">
        <f t="shared" si="8"/>
        <v>1</v>
      </c>
    </row>
    <row r="277" spans="1:3">
      <c r="A277" t="s">
        <v>943</v>
      </c>
      <c r="B277" s="24" t="s">
        <v>943</v>
      </c>
      <c r="C277" t="b">
        <f t="shared" si="8"/>
        <v>1</v>
      </c>
    </row>
    <row r="278" spans="1:3">
      <c r="A278" t="s">
        <v>936</v>
      </c>
      <c r="B278" s="24" t="s">
        <v>936</v>
      </c>
      <c r="C278" t="b">
        <f t="shared" si="8"/>
        <v>1</v>
      </c>
    </row>
    <row r="279" spans="1:3">
      <c r="A279" t="s">
        <v>937</v>
      </c>
      <c r="B279" s="24" t="s">
        <v>937</v>
      </c>
      <c r="C279" t="b">
        <f t="shared" si="8"/>
        <v>1</v>
      </c>
    </row>
    <row r="280" spans="1:3">
      <c r="A280" t="s">
        <v>938</v>
      </c>
      <c r="B280" s="24" t="s">
        <v>938</v>
      </c>
      <c r="C280" t="b">
        <f t="shared" si="8"/>
        <v>1</v>
      </c>
    </row>
    <row r="281" spans="1:3">
      <c r="A281" t="s">
        <v>939</v>
      </c>
      <c r="B281" s="24" t="s">
        <v>939</v>
      </c>
      <c r="C281" t="b">
        <f t="shared" si="8"/>
        <v>1</v>
      </c>
    </row>
    <row r="282" spans="1:3">
      <c r="A282" t="s">
        <v>962</v>
      </c>
      <c r="B282" s="33" t="s">
        <v>780</v>
      </c>
      <c r="C282" t="str">
        <f t="shared" si="8"/>
        <v>A&amp;G Depn of Fixed Assets</v>
      </c>
    </row>
    <row r="283" spans="1:3">
      <c r="A283" t="s">
        <v>753</v>
      </c>
      <c r="B283" s="24" t="s">
        <v>753</v>
      </c>
      <c r="C283" t="b">
        <f t="shared" si="8"/>
        <v>1</v>
      </c>
    </row>
    <row r="284" spans="1:3">
      <c r="A284" t="s">
        <v>754</v>
      </c>
      <c r="B284" s="24" t="s">
        <v>754</v>
      </c>
      <c r="C284" t="b">
        <f t="shared" si="8"/>
        <v>1</v>
      </c>
    </row>
    <row r="285" spans="1:3">
      <c r="A285" t="s">
        <v>781</v>
      </c>
      <c r="B285" s="24" t="s">
        <v>781</v>
      </c>
      <c r="C285" t="b">
        <f t="shared" si="8"/>
        <v>1</v>
      </c>
    </row>
    <row r="286" spans="1:3">
      <c r="A286" t="s">
        <v>756</v>
      </c>
      <c r="B286" s="24" t="s">
        <v>756</v>
      </c>
      <c r="C286" t="b">
        <f t="shared" si="8"/>
        <v>1</v>
      </c>
    </row>
    <row r="287" spans="1:3">
      <c r="A287" t="s">
        <v>782</v>
      </c>
      <c r="B287" s="24" t="s">
        <v>782</v>
      </c>
      <c r="C287" t="b">
        <f t="shared" si="8"/>
        <v>1</v>
      </c>
    </row>
    <row r="288" spans="1:3">
      <c r="A288" t="s">
        <v>963</v>
      </c>
      <c r="B288" s="33" t="s">
        <v>783</v>
      </c>
      <c r="C288" t="str">
        <f t="shared" si="8"/>
        <v>A&amp;G Stationery/Printing/Telephone</v>
      </c>
    </row>
    <row r="289" spans="1:3">
      <c r="A289" t="s">
        <v>969</v>
      </c>
      <c r="B289" s="24" t="s">
        <v>969</v>
      </c>
      <c r="C289" t="b">
        <f t="shared" si="8"/>
        <v>1</v>
      </c>
    </row>
    <row r="290" spans="1:3">
      <c r="A290" t="s">
        <v>784</v>
      </c>
      <c r="B290" s="24" t="s">
        <v>784</v>
      </c>
      <c r="C290" t="b">
        <f t="shared" si="8"/>
        <v>1</v>
      </c>
    </row>
    <row r="291" spans="1:3">
      <c r="A291" t="s">
        <v>785</v>
      </c>
      <c r="B291" s="24" t="s">
        <v>785</v>
      </c>
      <c r="C291" t="b">
        <f t="shared" si="8"/>
        <v>1</v>
      </c>
    </row>
    <row r="292" spans="1:3">
      <c r="A292" t="s">
        <v>786</v>
      </c>
      <c r="B292" s="24" t="s">
        <v>786</v>
      </c>
      <c r="C292" t="b">
        <f t="shared" si="8"/>
        <v>1</v>
      </c>
    </row>
    <row r="293" spans="1:3">
      <c r="A293" t="s">
        <v>787</v>
      </c>
      <c r="B293" s="24" t="s">
        <v>787</v>
      </c>
      <c r="C293" t="b">
        <f t="shared" si="8"/>
        <v>1</v>
      </c>
    </row>
    <row r="294" spans="1:3">
      <c r="A294" t="s">
        <v>788</v>
      </c>
      <c r="B294" s="24" t="s">
        <v>788</v>
      </c>
      <c r="C294" t="b">
        <f t="shared" si="8"/>
        <v>1</v>
      </c>
    </row>
    <row r="295" spans="1:3">
      <c r="A295" t="s">
        <v>789</v>
      </c>
      <c r="B295" s="24" t="s">
        <v>789</v>
      </c>
      <c r="C295" t="b">
        <f t="shared" si="8"/>
        <v>1</v>
      </c>
    </row>
    <row r="296" spans="1:3">
      <c r="A296" t="s">
        <v>790</v>
      </c>
      <c r="B296" s="24" t="s">
        <v>790</v>
      </c>
      <c r="C296" t="b">
        <f t="shared" si="8"/>
        <v>1</v>
      </c>
    </row>
    <row r="297" spans="1:3">
      <c r="A297" t="s">
        <v>791</v>
      </c>
      <c r="B297" s="24" t="s">
        <v>791</v>
      </c>
      <c r="C297" t="b">
        <f t="shared" si="8"/>
        <v>1</v>
      </c>
    </row>
    <row r="298" spans="1:3">
      <c r="A298" t="s">
        <v>944</v>
      </c>
      <c r="B298" s="24" t="s">
        <v>944</v>
      </c>
      <c r="C298" t="b">
        <f t="shared" si="8"/>
        <v>1</v>
      </c>
    </row>
    <row r="299" spans="1:3">
      <c r="A299" t="s">
        <v>945</v>
      </c>
      <c r="B299" s="24" t="s">
        <v>945</v>
      </c>
      <c r="C299" t="b">
        <f t="shared" si="8"/>
        <v>1</v>
      </c>
    </row>
    <row r="300" spans="1:3">
      <c r="A300" t="s">
        <v>946</v>
      </c>
      <c r="B300" s="24" t="s">
        <v>946</v>
      </c>
      <c r="C300" t="b">
        <f t="shared" si="8"/>
        <v>1</v>
      </c>
    </row>
    <row r="301" spans="1:3">
      <c r="A301" t="s">
        <v>792</v>
      </c>
      <c r="B301" s="24" t="s">
        <v>792</v>
      </c>
      <c r="C301" t="b">
        <f t="shared" si="8"/>
        <v>1</v>
      </c>
    </row>
    <row r="302" spans="1:3">
      <c r="A302" t="s">
        <v>970</v>
      </c>
      <c r="B302" s="33" t="s">
        <v>793</v>
      </c>
      <c r="C302" t="str">
        <f t="shared" si="8"/>
        <v>A&amp;G Legal/Professional Fee</v>
      </c>
    </row>
    <row r="303" spans="1:3">
      <c r="A303" t="s">
        <v>794</v>
      </c>
      <c r="B303" s="34" t="s">
        <v>794</v>
      </c>
      <c r="C303" t="b">
        <f t="shared" si="8"/>
        <v>1</v>
      </c>
    </row>
    <row r="304" spans="1:3">
      <c r="A304" t="s">
        <v>795</v>
      </c>
      <c r="B304" s="35" t="s">
        <v>795</v>
      </c>
      <c r="C304" t="b">
        <f t="shared" si="8"/>
        <v>1</v>
      </c>
    </row>
    <row r="305" spans="1:3">
      <c r="A305" t="s">
        <v>796</v>
      </c>
      <c r="B305" s="24" t="s">
        <v>796</v>
      </c>
      <c r="C305" t="b">
        <f t="shared" si="8"/>
        <v>1</v>
      </c>
    </row>
    <row r="306" spans="1:3">
      <c r="A306" t="s">
        <v>797</v>
      </c>
      <c r="B306" s="26" t="s">
        <v>797</v>
      </c>
      <c r="C306" t="b">
        <f t="shared" si="8"/>
        <v>1</v>
      </c>
    </row>
    <row r="307" spans="1:3">
      <c r="A307" t="s">
        <v>798</v>
      </c>
      <c r="B307" s="26" t="s">
        <v>798</v>
      </c>
      <c r="C307" t="b">
        <f t="shared" si="8"/>
        <v>1</v>
      </c>
    </row>
    <row r="308" spans="1:3">
      <c r="A308" s="39" t="s">
        <v>802</v>
      </c>
      <c r="B308" s="39" t="s">
        <v>799</v>
      </c>
      <c r="C308" s="39" t="str">
        <f t="shared" si="8"/>
        <v>Bad Debt Written Off/Recovered</v>
      </c>
    </row>
    <row r="309" spans="1:3">
      <c r="A309" s="39" t="s">
        <v>800</v>
      </c>
      <c r="B309" s="39" t="s">
        <v>800</v>
      </c>
      <c r="C309" s="39" t="b">
        <f t="shared" si="8"/>
        <v>1</v>
      </c>
    </row>
    <row r="310" spans="1:3">
      <c r="A310" s="39" t="s">
        <v>799</v>
      </c>
      <c r="B310" s="39" t="s">
        <v>801</v>
      </c>
      <c r="C310" s="39" t="str">
        <f t="shared" si="8"/>
        <v>GST/VAT Expense Off</v>
      </c>
    </row>
    <row r="311" spans="1:3">
      <c r="A311" s="39" t="s">
        <v>801</v>
      </c>
      <c r="B311" s="39" t="s">
        <v>802</v>
      </c>
      <c r="C311" s="39" t="str">
        <f t="shared" si="8"/>
        <v>Foreign GST/VAT Expense Off-Interco</v>
      </c>
    </row>
    <row r="312" spans="1:3">
      <c r="A312" t="s">
        <v>803</v>
      </c>
      <c r="B312" s="26" t="s">
        <v>803</v>
      </c>
      <c r="C312" t="b">
        <f t="shared" si="8"/>
        <v>1</v>
      </c>
    </row>
    <row r="313" spans="1:3">
      <c r="A313" t="s">
        <v>765</v>
      </c>
      <c r="B313" s="26" t="s">
        <v>765</v>
      </c>
      <c r="C313" t="b">
        <f t="shared" si="8"/>
        <v>1</v>
      </c>
    </row>
    <row r="314" spans="1:3">
      <c r="A314" t="s">
        <v>964</v>
      </c>
      <c r="B314" s="34" t="s">
        <v>804</v>
      </c>
      <c r="C314" t="str">
        <f t="shared" ref="C314:C364" si="9">IF(A314=B314,TRUE,B314)</f>
        <v>A&amp;G Other Expenses</v>
      </c>
    </row>
    <row r="315" spans="1:3">
      <c r="A315" t="s">
        <v>965</v>
      </c>
      <c r="B315" s="34" t="s">
        <v>805</v>
      </c>
      <c r="C315" t="str">
        <f t="shared" si="9"/>
        <v>Total A&amp;G Expenses</v>
      </c>
    </row>
    <row r="316" spans="1:3" ht="15.75" thickBot="1">
      <c r="A316" t="s">
        <v>889</v>
      </c>
      <c r="B316" s="36" t="s">
        <v>806</v>
      </c>
      <c r="C316" t="str">
        <f t="shared" si="9"/>
        <v>Profit from Operations</v>
      </c>
    </row>
    <row r="317" spans="1:3" ht="15.75" thickTop="1">
      <c r="A317" t="s">
        <v>890</v>
      </c>
      <c r="B317" s="24" t="s">
        <v>890</v>
      </c>
      <c r="C317" t="b">
        <f t="shared" si="9"/>
        <v>1</v>
      </c>
    </row>
    <row r="318" spans="1:3">
      <c r="A318" t="s">
        <v>891</v>
      </c>
      <c r="B318" s="24" t="s">
        <v>891</v>
      </c>
      <c r="C318" t="b">
        <f t="shared" si="9"/>
        <v>1</v>
      </c>
    </row>
    <row r="319" spans="1:3">
      <c r="A319" t="s">
        <v>892</v>
      </c>
      <c r="B319" s="24" t="s">
        <v>892</v>
      </c>
      <c r="C319" t="b">
        <f t="shared" si="9"/>
        <v>1</v>
      </c>
    </row>
    <row r="320" spans="1:3">
      <c r="A320" t="s">
        <v>893</v>
      </c>
      <c r="B320" s="24" t="s">
        <v>893</v>
      </c>
      <c r="C320" t="b">
        <f t="shared" si="9"/>
        <v>1</v>
      </c>
    </row>
    <row r="321" spans="1:3">
      <c r="A321" t="s">
        <v>894</v>
      </c>
      <c r="B321" s="24" t="s">
        <v>894</v>
      </c>
      <c r="C321" t="b">
        <f t="shared" si="9"/>
        <v>1</v>
      </c>
    </row>
    <row r="322" spans="1:3">
      <c r="A322" t="s">
        <v>895</v>
      </c>
      <c r="B322" s="24" t="s">
        <v>895</v>
      </c>
      <c r="C322" t="b">
        <f t="shared" si="9"/>
        <v>1</v>
      </c>
    </row>
    <row r="323" spans="1:3">
      <c r="A323" t="s">
        <v>896</v>
      </c>
      <c r="B323" s="24" t="s">
        <v>896</v>
      </c>
      <c r="C323" t="b">
        <f t="shared" si="9"/>
        <v>1</v>
      </c>
    </row>
    <row r="324" spans="1:3">
      <c r="A324" t="s">
        <v>897</v>
      </c>
      <c r="B324" s="24" t="s">
        <v>897</v>
      </c>
      <c r="C324" t="b">
        <f t="shared" si="9"/>
        <v>1</v>
      </c>
    </row>
    <row r="325" spans="1:3">
      <c r="A325" t="s">
        <v>898</v>
      </c>
      <c r="B325" s="24" t="s">
        <v>898</v>
      </c>
      <c r="C325" t="b">
        <f t="shared" si="9"/>
        <v>1</v>
      </c>
    </row>
    <row r="326" spans="1:3">
      <c r="B326" s="34" t="s">
        <v>807</v>
      </c>
      <c r="C326" t="str">
        <f t="shared" si="9"/>
        <v>Interest (Expense)</v>
      </c>
    </row>
    <row r="327" spans="1:3">
      <c r="A327" s="39" t="s">
        <v>899</v>
      </c>
      <c r="B327" s="40" t="s">
        <v>902</v>
      </c>
      <c r="C327" t="str">
        <f t="shared" si="9"/>
        <v>Gain/(Loss) on Derivatives-Reald</v>
      </c>
    </row>
    <row r="328" spans="1:3">
      <c r="A328" s="39" t="s">
        <v>900</v>
      </c>
      <c r="B328" s="40" t="s">
        <v>903</v>
      </c>
      <c r="C328" t="str">
        <f t="shared" si="9"/>
        <v>Gain/(Loss) on Derivatives-Unreald</v>
      </c>
    </row>
    <row r="329" spans="1:3">
      <c r="A329" s="43" t="s">
        <v>901</v>
      </c>
      <c r="B329" s="44"/>
      <c r="C329">
        <f t="shared" si="9"/>
        <v>0</v>
      </c>
    </row>
    <row r="330" spans="1:3">
      <c r="A330" s="39" t="s">
        <v>902</v>
      </c>
      <c r="B330" s="40" t="s">
        <v>899</v>
      </c>
      <c r="C330" t="str">
        <f t="shared" si="9"/>
        <v>Gain/(loss) on Exch Diff-Reald</v>
      </c>
    </row>
    <row r="331" spans="1:3">
      <c r="A331" s="39" t="s">
        <v>903</v>
      </c>
      <c r="B331" s="40" t="s">
        <v>900</v>
      </c>
      <c r="C331" t="str">
        <f t="shared" si="9"/>
        <v>Gain/(Loss) on Exch Diff-Unreald</v>
      </c>
    </row>
    <row r="332" spans="1:3">
      <c r="A332" t="s">
        <v>683</v>
      </c>
      <c r="B332" s="24"/>
      <c r="C332">
        <f t="shared" si="9"/>
        <v>0</v>
      </c>
    </row>
    <row r="333" spans="1:3">
      <c r="A333" t="s">
        <v>904</v>
      </c>
      <c r="B333" s="24"/>
      <c r="C333">
        <f t="shared" si="9"/>
        <v>0</v>
      </c>
    </row>
    <row r="334" spans="1:3">
      <c r="A334" t="s">
        <v>808</v>
      </c>
      <c r="B334" s="24" t="s">
        <v>808</v>
      </c>
      <c r="C334" t="b">
        <f t="shared" si="9"/>
        <v>1</v>
      </c>
    </row>
    <row r="335" spans="1:3">
      <c r="A335" t="s">
        <v>905</v>
      </c>
      <c r="B335" s="24"/>
      <c r="C335">
        <f t="shared" si="9"/>
        <v>0</v>
      </c>
    </row>
    <row r="336" spans="1:3">
      <c r="A336" t="s">
        <v>809</v>
      </c>
      <c r="B336" s="24" t="s">
        <v>809</v>
      </c>
      <c r="C336" t="b">
        <f t="shared" si="9"/>
        <v>1</v>
      </c>
    </row>
    <row r="337" spans="1:3">
      <c r="A337" t="s">
        <v>288</v>
      </c>
      <c r="B337" s="24" t="s">
        <v>288</v>
      </c>
      <c r="C337" t="b">
        <f t="shared" si="9"/>
        <v>1</v>
      </c>
    </row>
    <row r="338" spans="1:3">
      <c r="A338" s="46" t="s">
        <v>684</v>
      </c>
      <c r="B338" s="24"/>
      <c r="C338">
        <f t="shared" si="9"/>
        <v>0</v>
      </c>
    </row>
    <row r="339" spans="1:3">
      <c r="A339" t="s">
        <v>906</v>
      </c>
      <c r="B339" s="24"/>
      <c r="C339">
        <f t="shared" si="9"/>
        <v>0</v>
      </c>
    </row>
    <row r="340" spans="1:3">
      <c r="A340" t="s">
        <v>907</v>
      </c>
      <c r="B340" s="24"/>
      <c r="C340">
        <f t="shared" si="9"/>
        <v>0</v>
      </c>
    </row>
    <row r="341" spans="1:3">
      <c r="A341" t="s">
        <v>908</v>
      </c>
      <c r="B341" s="24"/>
      <c r="C341">
        <f t="shared" si="9"/>
        <v>0</v>
      </c>
    </row>
    <row r="342" spans="1:3">
      <c r="A342" t="s">
        <v>693</v>
      </c>
      <c r="B342" s="24"/>
      <c r="C342">
        <f t="shared" si="9"/>
        <v>0</v>
      </c>
    </row>
    <row r="343" spans="1:3">
      <c r="A343" t="s">
        <v>694</v>
      </c>
      <c r="B343" s="24"/>
      <c r="C343">
        <f t="shared" si="9"/>
        <v>0</v>
      </c>
    </row>
    <row r="344" spans="1:3">
      <c r="A344" t="s">
        <v>909</v>
      </c>
      <c r="B344" s="24"/>
      <c r="C344">
        <f t="shared" si="9"/>
        <v>0</v>
      </c>
    </row>
    <row r="345" spans="1:3">
      <c r="A345" t="s">
        <v>910</v>
      </c>
      <c r="B345" s="24"/>
      <c r="C345">
        <f t="shared" si="9"/>
        <v>0</v>
      </c>
    </row>
    <row r="346" spans="1:3">
      <c r="A346" t="s">
        <v>911</v>
      </c>
      <c r="B346" s="24"/>
      <c r="C346">
        <f t="shared" si="9"/>
        <v>0</v>
      </c>
    </row>
    <row r="347" spans="1:3">
      <c r="A347" t="s">
        <v>912</v>
      </c>
      <c r="B347" s="24" t="s">
        <v>912</v>
      </c>
      <c r="C347" t="b">
        <f t="shared" si="9"/>
        <v>1</v>
      </c>
    </row>
    <row r="348" spans="1:3">
      <c r="A348" t="s">
        <v>913</v>
      </c>
      <c r="B348" s="24"/>
      <c r="C348">
        <f t="shared" si="9"/>
        <v>0</v>
      </c>
    </row>
    <row r="349" spans="1:3">
      <c r="A349" t="s">
        <v>914</v>
      </c>
      <c r="B349" s="24"/>
      <c r="C349">
        <f t="shared" si="9"/>
        <v>0</v>
      </c>
    </row>
    <row r="350" spans="1:3">
      <c r="A350" t="s">
        <v>695</v>
      </c>
      <c r="B350" s="24"/>
      <c r="C350">
        <f t="shared" si="9"/>
        <v>0</v>
      </c>
    </row>
    <row r="351" spans="1:3">
      <c r="A351" t="s">
        <v>696</v>
      </c>
      <c r="B351" s="24"/>
      <c r="C351">
        <f t="shared" si="9"/>
        <v>0</v>
      </c>
    </row>
    <row r="352" spans="1:3">
      <c r="A352" t="s">
        <v>810</v>
      </c>
      <c r="B352" s="24" t="s">
        <v>810</v>
      </c>
      <c r="C352" t="b">
        <f t="shared" si="9"/>
        <v>1</v>
      </c>
    </row>
    <row r="353" spans="1:3">
      <c r="A353" t="s">
        <v>811</v>
      </c>
      <c r="B353" s="24" t="s">
        <v>811</v>
      </c>
      <c r="C353" t="b">
        <f t="shared" si="9"/>
        <v>1</v>
      </c>
    </row>
    <row r="354" spans="1:3">
      <c r="A354" t="s">
        <v>812</v>
      </c>
      <c r="B354" s="34" t="s">
        <v>812</v>
      </c>
      <c r="C354" t="b">
        <f t="shared" si="9"/>
        <v>1</v>
      </c>
    </row>
    <row r="355" spans="1:3">
      <c r="A355" t="s">
        <v>813</v>
      </c>
      <c r="B355" s="33" t="s">
        <v>813</v>
      </c>
      <c r="C355" t="b">
        <f t="shared" si="9"/>
        <v>1</v>
      </c>
    </row>
    <row r="356" spans="1:3">
      <c r="A356" t="s">
        <v>814</v>
      </c>
      <c r="B356" s="37" t="s">
        <v>814</v>
      </c>
      <c r="C356" t="b">
        <f t="shared" si="9"/>
        <v>1</v>
      </c>
    </row>
    <row r="357" spans="1:3">
      <c r="A357" t="s">
        <v>915</v>
      </c>
      <c r="B357" s="29" t="s">
        <v>815</v>
      </c>
      <c r="C357" t="str">
        <f t="shared" si="9"/>
        <v>Less: Taxation</v>
      </c>
    </row>
    <row r="358" spans="1:3">
      <c r="A358" t="s">
        <v>916</v>
      </c>
      <c r="B358" s="24" t="s">
        <v>916</v>
      </c>
      <c r="C358" t="b">
        <f t="shared" si="9"/>
        <v>1</v>
      </c>
    </row>
    <row r="359" spans="1:3">
      <c r="A359" t="s">
        <v>917</v>
      </c>
      <c r="B359" s="24" t="s">
        <v>917</v>
      </c>
      <c r="C359" t="b">
        <f t="shared" si="9"/>
        <v>1</v>
      </c>
    </row>
    <row r="360" spans="1:3">
      <c r="A360" t="s">
        <v>918</v>
      </c>
      <c r="B360" s="24" t="s">
        <v>918</v>
      </c>
      <c r="C360" t="b">
        <f t="shared" si="9"/>
        <v>1</v>
      </c>
    </row>
    <row r="361" spans="1:3">
      <c r="A361" t="s">
        <v>919</v>
      </c>
      <c r="B361" s="24" t="s">
        <v>919</v>
      </c>
      <c r="C361" t="b">
        <f t="shared" si="9"/>
        <v>1</v>
      </c>
    </row>
    <row r="362" spans="1:3">
      <c r="B362" s="33" t="s">
        <v>816</v>
      </c>
      <c r="C362" t="str">
        <f t="shared" si="9"/>
        <v>Taxation</v>
      </c>
    </row>
    <row r="363" spans="1:3" ht="15.75" thickBot="1">
      <c r="A363" t="s">
        <v>817</v>
      </c>
      <c r="B363" s="28" t="s">
        <v>817</v>
      </c>
      <c r="C363" t="b">
        <f t="shared" si="9"/>
        <v>1</v>
      </c>
    </row>
    <row r="364" spans="1:3" ht="15.75" thickTop="1">
      <c r="A364" t="s">
        <v>920</v>
      </c>
      <c r="B364" s="38" t="s">
        <v>818</v>
      </c>
      <c r="C364" t="str">
        <f t="shared" si="9"/>
        <v>Dividend Declared</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1"/>
  <sheetViews>
    <sheetView topLeftCell="H352" zoomScaleNormal="100" zoomScalePageLayoutView="130" workbookViewId="0">
      <selection activeCell="J381" sqref="J2:J381"/>
    </sheetView>
  </sheetViews>
  <sheetFormatPr defaultColWidth="8.85546875" defaultRowHeight="15"/>
  <cols>
    <col min="3" max="3" width="16.140625" bestFit="1" customWidth="1"/>
    <col min="4" max="4" width="10.28515625" bestFit="1" customWidth="1"/>
    <col min="5" max="5" width="12.85546875" bestFit="1" customWidth="1"/>
    <col min="6" max="6" width="7.42578125" bestFit="1" customWidth="1"/>
    <col min="7" max="7" width="89.42578125" bestFit="1" customWidth="1"/>
    <col min="8" max="8" width="12.7109375" bestFit="1" customWidth="1"/>
    <col min="9" max="9" width="45.7109375" bestFit="1" customWidth="1"/>
    <col min="10" max="10" width="172.7109375" bestFit="1" customWidth="1"/>
    <col min="11" max="11" width="107.42578125" bestFit="1" customWidth="1"/>
  </cols>
  <sheetData>
    <row r="1" spans="1:11">
      <c r="A1" s="4" t="s">
        <v>73</v>
      </c>
      <c r="B1" s="4" t="s">
        <v>65</v>
      </c>
      <c r="C1" s="4" t="s">
        <v>69</v>
      </c>
      <c r="D1" s="4" t="s">
        <v>66</v>
      </c>
      <c r="E1" s="4" t="s">
        <v>972</v>
      </c>
      <c r="F1" s="4" t="s">
        <v>67</v>
      </c>
      <c r="G1" s="4" t="s">
        <v>68</v>
      </c>
      <c r="H1" s="4" t="s">
        <v>2361</v>
      </c>
      <c r="I1" s="4" t="s">
        <v>71</v>
      </c>
      <c r="J1" s="4" t="s">
        <v>72</v>
      </c>
      <c r="K1" s="4" t="s">
        <v>1287</v>
      </c>
    </row>
    <row r="2" spans="1:11">
      <c r="A2" t="s">
        <v>74</v>
      </c>
      <c r="B2" t="s">
        <v>322</v>
      </c>
      <c r="C2">
        <v>1</v>
      </c>
      <c r="D2">
        <v>1</v>
      </c>
      <c r="E2">
        <v>1</v>
      </c>
      <c r="F2">
        <v>1</v>
      </c>
      <c r="G2">
        <v>775</v>
      </c>
      <c r="H2" s="113" t="s">
        <v>2363</v>
      </c>
      <c r="I2" t="s">
        <v>323</v>
      </c>
      <c r="J2" t="str">
        <f>IF(A2&lt;&gt;"Remove",CONCATENATE("INSERT INTO tbFinanceItemSeq(Report,ItemSeqID,ItemSN,ItemID) VALUES('",B2,"',",C2,",",E2,",",G2,")"),"")</f>
        <v>INSERT INTO tbFinanceItemSeq(Report,ItemSeqID,ItemSN,ItemID) VALUES('PNLD',1,1,775)</v>
      </c>
      <c r="K2" t="str">
        <f>IF(A2&lt;&gt;"New","",CONCATENATE("INSERT INTO tbFinanceItem(ItemName) VALUES('",I2,"')"))</f>
        <v/>
      </c>
    </row>
    <row r="3" spans="1:11">
      <c r="A3" t="s">
        <v>74</v>
      </c>
      <c r="B3" t="s">
        <v>322</v>
      </c>
      <c r="C3">
        <v>2</v>
      </c>
      <c r="D3">
        <v>2</v>
      </c>
      <c r="E3">
        <v>2</v>
      </c>
      <c r="F3">
        <v>2</v>
      </c>
      <c r="G3">
        <v>776</v>
      </c>
      <c r="H3" s="114" t="s">
        <v>2364</v>
      </c>
      <c r="I3" t="s">
        <v>324</v>
      </c>
      <c r="J3" t="str">
        <f t="shared" ref="J3:J66" si="0">IF(A3&lt;&gt;"Remove",CONCATENATE("INSERT INTO tbFinanceItemSeq(Report,ItemSeqID,ItemSN,ItemID) VALUES('",B3,"',",C3,",",E3,",",G3,")"),"")</f>
        <v>INSERT INTO tbFinanceItemSeq(Report,ItemSeqID,ItemSN,ItemID) VALUES('PNLD',2,2,776)</v>
      </c>
      <c r="K3" t="str">
        <f t="shared" ref="K3:K66" si="1">IF(A3&lt;&gt;"New","",CONCATENATE("INSERT INTO tbFinanceItem(ItemName) VALUES('",I3,"')"))</f>
        <v/>
      </c>
    </row>
    <row r="4" spans="1:11">
      <c r="A4" t="s">
        <v>74</v>
      </c>
      <c r="B4" t="s">
        <v>322</v>
      </c>
      <c r="C4">
        <v>3</v>
      </c>
      <c r="D4">
        <v>3</v>
      </c>
      <c r="E4">
        <v>3</v>
      </c>
      <c r="F4">
        <v>3</v>
      </c>
      <c r="G4">
        <v>777</v>
      </c>
      <c r="H4" s="114" t="s">
        <v>2365</v>
      </c>
      <c r="I4" t="s">
        <v>325</v>
      </c>
      <c r="J4" t="str">
        <f t="shared" si="0"/>
        <v>INSERT INTO tbFinanceItemSeq(Report,ItemSeqID,ItemSN,ItemID) VALUES('PNLD',3,3,777)</v>
      </c>
      <c r="K4" t="str">
        <f t="shared" si="1"/>
        <v/>
      </c>
    </row>
    <row r="5" spans="1:11">
      <c r="A5" t="s">
        <v>74</v>
      </c>
      <c r="B5" t="s">
        <v>322</v>
      </c>
      <c r="C5">
        <v>4</v>
      </c>
      <c r="D5">
        <v>4</v>
      </c>
      <c r="E5">
        <v>4</v>
      </c>
      <c r="F5">
        <v>4</v>
      </c>
      <c r="G5">
        <v>778</v>
      </c>
      <c r="H5" s="114" t="s">
        <v>2366</v>
      </c>
      <c r="I5" t="s">
        <v>326</v>
      </c>
      <c r="J5" t="str">
        <f t="shared" si="0"/>
        <v>INSERT INTO tbFinanceItemSeq(Report,ItemSeqID,ItemSN,ItemID) VALUES('PNLD',4,4,778)</v>
      </c>
      <c r="K5" t="str">
        <f t="shared" si="1"/>
        <v/>
      </c>
    </row>
    <row r="6" spans="1:11">
      <c r="A6" t="s">
        <v>74</v>
      </c>
      <c r="B6" t="s">
        <v>322</v>
      </c>
      <c r="C6">
        <v>5</v>
      </c>
      <c r="D6">
        <v>5</v>
      </c>
      <c r="E6">
        <v>5</v>
      </c>
      <c r="F6">
        <v>5</v>
      </c>
      <c r="G6">
        <v>779</v>
      </c>
      <c r="H6" s="114" t="s">
        <v>2367</v>
      </c>
      <c r="I6" t="s">
        <v>327</v>
      </c>
      <c r="J6" t="str">
        <f t="shared" si="0"/>
        <v>INSERT INTO tbFinanceItemSeq(Report,ItemSeqID,ItemSN,ItemID) VALUES('PNLD',5,5,779)</v>
      </c>
      <c r="K6" t="str">
        <f t="shared" si="1"/>
        <v/>
      </c>
    </row>
    <row r="7" spans="1:11">
      <c r="A7" t="s">
        <v>74</v>
      </c>
      <c r="B7" t="s">
        <v>322</v>
      </c>
      <c r="C7">
        <v>6</v>
      </c>
      <c r="D7">
        <v>6</v>
      </c>
      <c r="E7">
        <v>6</v>
      </c>
      <c r="F7">
        <v>6</v>
      </c>
      <c r="G7">
        <v>780</v>
      </c>
      <c r="H7" s="114" t="s">
        <v>2368</v>
      </c>
      <c r="I7" t="s">
        <v>328</v>
      </c>
      <c r="J7" t="str">
        <f t="shared" si="0"/>
        <v>INSERT INTO tbFinanceItemSeq(Report,ItemSeqID,ItemSN,ItemID) VALUES('PNLD',6,6,780)</v>
      </c>
      <c r="K7" t="str">
        <f t="shared" si="1"/>
        <v/>
      </c>
    </row>
    <row r="8" spans="1:11">
      <c r="A8" t="s">
        <v>74</v>
      </c>
      <c r="B8" t="s">
        <v>322</v>
      </c>
      <c r="C8">
        <v>7</v>
      </c>
      <c r="D8">
        <v>7</v>
      </c>
      <c r="E8">
        <v>7</v>
      </c>
      <c r="F8">
        <v>7</v>
      </c>
      <c r="G8">
        <v>781</v>
      </c>
      <c r="H8" s="114" t="s">
        <v>2369</v>
      </c>
      <c r="I8" t="s">
        <v>329</v>
      </c>
      <c r="J8" t="str">
        <f t="shared" si="0"/>
        <v>INSERT INTO tbFinanceItemSeq(Report,ItemSeqID,ItemSN,ItemID) VALUES('PNLD',7,7,781)</v>
      </c>
      <c r="K8" t="str">
        <f t="shared" si="1"/>
        <v/>
      </c>
    </row>
    <row r="9" spans="1:11">
      <c r="A9" t="s">
        <v>74</v>
      </c>
      <c r="B9" t="s">
        <v>322</v>
      </c>
      <c r="C9">
        <v>8</v>
      </c>
      <c r="D9">
        <v>8</v>
      </c>
      <c r="E9">
        <v>8</v>
      </c>
      <c r="F9">
        <v>8</v>
      </c>
      <c r="G9">
        <v>782</v>
      </c>
      <c r="H9" s="114" t="s">
        <v>2370</v>
      </c>
      <c r="I9" t="s">
        <v>330</v>
      </c>
      <c r="J9" t="str">
        <f t="shared" si="0"/>
        <v>INSERT INTO tbFinanceItemSeq(Report,ItemSeqID,ItemSN,ItemID) VALUES('PNLD',8,8,782)</v>
      </c>
      <c r="K9" t="str">
        <f t="shared" si="1"/>
        <v/>
      </c>
    </row>
    <row r="10" spans="1:11">
      <c r="A10" t="s">
        <v>74</v>
      </c>
      <c r="B10" t="s">
        <v>322</v>
      </c>
      <c r="C10">
        <v>9</v>
      </c>
      <c r="D10">
        <v>9</v>
      </c>
      <c r="E10">
        <v>9</v>
      </c>
      <c r="F10">
        <v>9</v>
      </c>
      <c r="G10">
        <v>783</v>
      </c>
      <c r="H10" s="115" t="s">
        <v>2371</v>
      </c>
      <c r="I10" t="s">
        <v>331</v>
      </c>
      <c r="J10" t="str">
        <f t="shared" si="0"/>
        <v>INSERT INTO tbFinanceItemSeq(Report,ItemSeqID,ItemSN,ItemID) VALUES('PNLD',9,9,783)</v>
      </c>
      <c r="K10" t="str">
        <f t="shared" si="1"/>
        <v/>
      </c>
    </row>
    <row r="11" spans="1:11">
      <c r="A11" t="s">
        <v>74</v>
      </c>
      <c r="B11" t="s">
        <v>322</v>
      </c>
      <c r="C11">
        <v>10</v>
      </c>
      <c r="D11">
        <v>10</v>
      </c>
      <c r="E11">
        <v>10</v>
      </c>
      <c r="F11">
        <v>10</v>
      </c>
      <c r="G11">
        <v>1343</v>
      </c>
      <c r="H11" s="116" t="s">
        <v>2372</v>
      </c>
      <c r="I11" t="s">
        <v>332</v>
      </c>
      <c r="J11" t="str">
        <f t="shared" si="0"/>
        <v>INSERT INTO tbFinanceItemSeq(Report,ItemSeqID,ItemSN,ItemID) VALUES('PNLD',10,10,1343)</v>
      </c>
      <c r="K11" t="str">
        <f t="shared" si="1"/>
        <v/>
      </c>
    </row>
    <row r="12" spans="1:11">
      <c r="A12" t="s">
        <v>74</v>
      </c>
      <c r="B12" t="s">
        <v>322</v>
      </c>
      <c r="C12">
        <v>11</v>
      </c>
      <c r="D12">
        <v>11</v>
      </c>
      <c r="E12">
        <v>11</v>
      </c>
      <c r="F12">
        <v>11</v>
      </c>
      <c r="G12">
        <v>785</v>
      </c>
      <c r="H12" s="114" t="s">
        <v>2373</v>
      </c>
      <c r="I12" t="s">
        <v>333</v>
      </c>
      <c r="J12" t="str">
        <f t="shared" si="0"/>
        <v>INSERT INTO tbFinanceItemSeq(Report,ItemSeqID,ItemSN,ItemID) VALUES('PNLD',11,11,785)</v>
      </c>
      <c r="K12" t="str">
        <f t="shared" si="1"/>
        <v/>
      </c>
    </row>
    <row r="13" spans="1:11">
      <c r="A13" t="s">
        <v>74</v>
      </c>
      <c r="B13" t="s">
        <v>322</v>
      </c>
      <c r="C13">
        <v>12</v>
      </c>
      <c r="D13">
        <v>12</v>
      </c>
      <c r="E13">
        <v>12</v>
      </c>
      <c r="F13">
        <v>12</v>
      </c>
      <c r="G13">
        <v>786</v>
      </c>
      <c r="H13" s="114" t="s">
        <v>2374</v>
      </c>
      <c r="I13" t="s">
        <v>334</v>
      </c>
      <c r="J13" t="str">
        <f t="shared" si="0"/>
        <v>INSERT INTO tbFinanceItemSeq(Report,ItemSeqID,ItemSN,ItemID) VALUES('PNLD',12,12,786)</v>
      </c>
      <c r="K13" t="str">
        <f t="shared" si="1"/>
        <v/>
      </c>
    </row>
    <row r="14" spans="1:11">
      <c r="A14" t="s">
        <v>74</v>
      </c>
      <c r="B14" t="s">
        <v>322</v>
      </c>
      <c r="C14">
        <v>13</v>
      </c>
      <c r="D14">
        <v>13</v>
      </c>
      <c r="E14">
        <v>13</v>
      </c>
      <c r="F14">
        <v>13</v>
      </c>
      <c r="G14">
        <v>787</v>
      </c>
      <c r="H14" s="114" t="s">
        <v>2375</v>
      </c>
      <c r="I14" t="s">
        <v>335</v>
      </c>
      <c r="J14" t="str">
        <f t="shared" si="0"/>
        <v>INSERT INTO tbFinanceItemSeq(Report,ItemSeqID,ItemSN,ItemID) VALUES('PNLD',13,13,787)</v>
      </c>
      <c r="K14" t="str">
        <f t="shared" si="1"/>
        <v/>
      </c>
    </row>
    <row r="15" spans="1:11">
      <c r="A15" t="s">
        <v>74</v>
      </c>
      <c r="B15" t="s">
        <v>322</v>
      </c>
      <c r="C15">
        <v>14</v>
      </c>
      <c r="D15">
        <v>14</v>
      </c>
      <c r="E15">
        <v>14</v>
      </c>
      <c r="F15">
        <v>14</v>
      </c>
      <c r="G15">
        <v>788</v>
      </c>
      <c r="H15" s="114" t="s">
        <v>2376</v>
      </c>
      <c r="I15" t="s">
        <v>336</v>
      </c>
      <c r="J15" t="str">
        <f t="shared" si="0"/>
        <v>INSERT INTO tbFinanceItemSeq(Report,ItemSeqID,ItemSN,ItemID) VALUES('PNLD',14,14,788)</v>
      </c>
      <c r="K15" t="str">
        <f t="shared" si="1"/>
        <v/>
      </c>
    </row>
    <row r="16" spans="1:11">
      <c r="A16" t="s">
        <v>74</v>
      </c>
      <c r="B16" t="s">
        <v>322</v>
      </c>
      <c r="C16">
        <v>15</v>
      </c>
      <c r="D16">
        <v>15</v>
      </c>
      <c r="E16">
        <v>15</v>
      </c>
      <c r="F16">
        <v>15</v>
      </c>
      <c r="G16">
        <v>789</v>
      </c>
      <c r="H16" s="114" t="s">
        <v>2377</v>
      </c>
      <c r="I16" t="s">
        <v>337</v>
      </c>
      <c r="J16" t="str">
        <f t="shared" si="0"/>
        <v>INSERT INTO tbFinanceItemSeq(Report,ItemSeqID,ItemSN,ItemID) VALUES('PNLD',15,15,789)</v>
      </c>
      <c r="K16" t="str">
        <f t="shared" si="1"/>
        <v/>
      </c>
    </row>
    <row r="17" spans="1:11">
      <c r="A17" t="s">
        <v>74</v>
      </c>
      <c r="B17" t="s">
        <v>322</v>
      </c>
      <c r="C17">
        <v>16</v>
      </c>
      <c r="D17">
        <v>16</v>
      </c>
      <c r="E17">
        <v>16</v>
      </c>
      <c r="F17">
        <v>16</v>
      </c>
      <c r="G17">
        <v>790</v>
      </c>
      <c r="H17" s="114" t="s">
        <v>2378</v>
      </c>
      <c r="I17" t="s">
        <v>338</v>
      </c>
      <c r="J17" t="str">
        <f t="shared" si="0"/>
        <v>INSERT INTO tbFinanceItemSeq(Report,ItemSeqID,ItemSN,ItemID) VALUES('PNLD',16,16,790)</v>
      </c>
      <c r="K17" t="str">
        <f t="shared" si="1"/>
        <v/>
      </c>
    </row>
    <row r="18" spans="1:11">
      <c r="A18" t="s">
        <v>74</v>
      </c>
      <c r="B18" t="s">
        <v>322</v>
      </c>
      <c r="C18">
        <v>17</v>
      </c>
      <c r="D18">
        <v>17</v>
      </c>
      <c r="E18">
        <v>17</v>
      </c>
      <c r="F18">
        <v>17</v>
      </c>
      <c r="G18">
        <v>791</v>
      </c>
      <c r="H18" s="114" t="s">
        <v>2379</v>
      </c>
      <c r="I18" t="s">
        <v>339</v>
      </c>
      <c r="J18" t="str">
        <f t="shared" si="0"/>
        <v>INSERT INTO tbFinanceItemSeq(Report,ItemSeqID,ItemSN,ItemID) VALUES('PNLD',17,17,791)</v>
      </c>
      <c r="K18" t="str">
        <f t="shared" si="1"/>
        <v/>
      </c>
    </row>
    <row r="19" spans="1:11">
      <c r="A19" t="s">
        <v>74</v>
      </c>
      <c r="B19" t="s">
        <v>322</v>
      </c>
      <c r="C19">
        <v>18</v>
      </c>
      <c r="D19">
        <v>18</v>
      </c>
      <c r="E19">
        <v>18</v>
      </c>
      <c r="F19">
        <v>18</v>
      </c>
      <c r="G19">
        <v>792</v>
      </c>
      <c r="H19" s="114" t="s">
        <v>2380</v>
      </c>
      <c r="I19" t="s">
        <v>340</v>
      </c>
      <c r="J19" t="str">
        <f t="shared" si="0"/>
        <v>INSERT INTO tbFinanceItemSeq(Report,ItemSeqID,ItemSN,ItemID) VALUES('PNLD',18,18,792)</v>
      </c>
      <c r="K19" t="str">
        <f t="shared" si="1"/>
        <v/>
      </c>
    </row>
    <row r="20" spans="1:11">
      <c r="A20" t="s">
        <v>74</v>
      </c>
      <c r="B20" t="s">
        <v>322</v>
      </c>
      <c r="C20">
        <v>19</v>
      </c>
      <c r="D20">
        <v>19</v>
      </c>
      <c r="E20">
        <v>19</v>
      </c>
      <c r="F20">
        <v>19</v>
      </c>
      <c r="G20">
        <v>793</v>
      </c>
      <c r="H20" s="115" t="s">
        <v>2381</v>
      </c>
      <c r="I20" t="s">
        <v>341</v>
      </c>
      <c r="J20" t="str">
        <f t="shared" si="0"/>
        <v>INSERT INTO tbFinanceItemSeq(Report,ItemSeqID,ItemSN,ItemID) VALUES('PNLD',19,19,793)</v>
      </c>
      <c r="K20" t="str">
        <f t="shared" si="1"/>
        <v/>
      </c>
    </row>
    <row r="21" spans="1:11">
      <c r="A21" t="s">
        <v>74</v>
      </c>
      <c r="B21" t="s">
        <v>322</v>
      </c>
      <c r="C21">
        <v>20</v>
      </c>
      <c r="D21">
        <v>20</v>
      </c>
      <c r="E21">
        <v>20</v>
      </c>
      <c r="F21">
        <v>20</v>
      </c>
      <c r="G21">
        <v>1344</v>
      </c>
      <c r="H21" s="116" t="s">
        <v>2382</v>
      </c>
      <c r="I21" t="s">
        <v>342</v>
      </c>
      <c r="J21" t="str">
        <f t="shared" si="0"/>
        <v>INSERT INTO tbFinanceItemSeq(Report,ItemSeqID,ItemSN,ItemID) VALUES('PNLD',20,20,1344)</v>
      </c>
      <c r="K21" t="str">
        <f t="shared" si="1"/>
        <v/>
      </c>
    </row>
    <row r="22" spans="1:11">
      <c r="A22" t="s">
        <v>74</v>
      </c>
      <c r="B22" t="s">
        <v>322</v>
      </c>
      <c r="C22">
        <v>21</v>
      </c>
      <c r="D22">
        <v>21</v>
      </c>
      <c r="E22">
        <v>21</v>
      </c>
      <c r="F22">
        <v>21</v>
      </c>
      <c r="G22">
        <v>795</v>
      </c>
      <c r="H22" s="114" t="s">
        <v>2383</v>
      </c>
      <c r="I22" t="s">
        <v>343</v>
      </c>
      <c r="J22" t="str">
        <f t="shared" si="0"/>
        <v>INSERT INTO tbFinanceItemSeq(Report,ItemSeqID,ItemSN,ItemID) VALUES('PNLD',21,21,795)</v>
      </c>
      <c r="K22" t="str">
        <f t="shared" si="1"/>
        <v/>
      </c>
    </row>
    <row r="23" spans="1:11">
      <c r="A23" t="s">
        <v>74</v>
      </c>
      <c r="B23" t="s">
        <v>322</v>
      </c>
      <c r="C23">
        <v>22</v>
      </c>
      <c r="D23">
        <v>22</v>
      </c>
      <c r="E23">
        <v>22</v>
      </c>
      <c r="F23">
        <v>22</v>
      </c>
      <c r="G23">
        <v>796</v>
      </c>
      <c r="H23" s="114" t="s">
        <v>2384</v>
      </c>
      <c r="I23" t="s">
        <v>344</v>
      </c>
      <c r="J23" t="str">
        <f t="shared" si="0"/>
        <v>INSERT INTO tbFinanceItemSeq(Report,ItemSeqID,ItemSN,ItemID) VALUES('PNLD',22,22,796)</v>
      </c>
      <c r="K23" t="str">
        <f t="shared" si="1"/>
        <v/>
      </c>
    </row>
    <row r="24" spans="1:11">
      <c r="A24" t="s">
        <v>74</v>
      </c>
      <c r="B24" t="s">
        <v>322</v>
      </c>
      <c r="C24">
        <v>23</v>
      </c>
      <c r="D24">
        <v>23</v>
      </c>
      <c r="E24">
        <v>23</v>
      </c>
      <c r="F24">
        <v>23</v>
      </c>
      <c r="G24">
        <v>797</v>
      </c>
      <c r="H24" s="114" t="s">
        <v>2385</v>
      </c>
      <c r="I24" t="s">
        <v>345</v>
      </c>
      <c r="J24" t="str">
        <f t="shared" si="0"/>
        <v>INSERT INTO tbFinanceItemSeq(Report,ItemSeqID,ItemSN,ItemID) VALUES('PNLD',23,23,797)</v>
      </c>
      <c r="K24" t="str">
        <f t="shared" si="1"/>
        <v/>
      </c>
    </row>
    <row r="25" spans="1:11">
      <c r="A25" t="s">
        <v>74</v>
      </c>
      <c r="B25" t="s">
        <v>322</v>
      </c>
      <c r="C25">
        <v>24</v>
      </c>
      <c r="D25">
        <v>24</v>
      </c>
      <c r="E25">
        <v>24</v>
      </c>
      <c r="F25">
        <v>24</v>
      </c>
      <c r="G25">
        <v>798</v>
      </c>
      <c r="H25" s="114" t="s">
        <v>2386</v>
      </c>
      <c r="I25" t="s">
        <v>346</v>
      </c>
      <c r="J25" t="str">
        <f t="shared" si="0"/>
        <v>INSERT INTO tbFinanceItemSeq(Report,ItemSeqID,ItemSN,ItemID) VALUES('PNLD',24,24,798)</v>
      </c>
      <c r="K25" t="str">
        <f t="shared" si="1"/>
        <v/>
      </c>
    </row>
    <row r="26" spans="1:11">
      <c r="A26" t="s">
        <v>74</v>
      </c>
      <c r="B26" t="s">
        <v>322</v>
      </c>
      <c r="C26">
        <v>25</v>
      </c>
      <c r="D26">
        <v>25</v>
      </c>
      <c r="E26">
        <v>25</v>
      </c>
      <c r="F26">
        <v>25</v>
      </c>
      <c r="G26">
        <v>799</v>
      </c>
      <c r="H26" s="114" t="s">
        <v>2387</v>
      </c>
      <c r="I26" t="s">
        <v>347</v>
      </c>
      <c r="J26" t="str">
        <f t="shared" si="0"/>
        <v>INSERT INTO tbFinanceItemSeq(Report,ItemSeqID,ItemSN,ItemID) VALUES('PNLD',25,25,799)</v>
      </c>
      <c r="K26" t="str">
        <f t="shared" si="1"/>
        <v/>
      </c>
    </row>
    <row r="27" spans="1:11">
      <c r="A27" t="s">
        <v>74</v>
      </c>
      <c r="B27" t="s">
        <v>322</v>
      </c>
      <c r="C27">
        <v>26</v>
      </c>
      <c r="D27">
        <v>26</v>
      </c>
      <c r="E27">
        <v>26</v>
      </c>
      <c r="F27">
        <v>26</v>
      </c>
      <c r="G27">
        <v>800</v>
      </c>
      <c r="H27" s="114" t="s">
        <v>2388</v>
      </c>
      <c r="I27" t="s">
        <v>348</v>
      </c>
      <c r="J27" t="str">
        <f t="shared" si="0"/>
        <v>INSERT INTO tbFinanceItemSeq(Report,ItemSeqID,ItemSN,ItemID) VALUES('PNLD',26,26,800)</v>
      </c>
      <c r="K27" t="str">
        <f t="shared" si="1"/>
        <v/>
      </c>
    </row>
    <row r="28" spans="1:11">
      <c r="A28" t="s">
        <v>74</v>
      </c>
      <c r="B28" t="s">
        <v>322</v>
      </c>
      <c r="C28">
        <v>27</v>
      </c>
      <c r="D28">
        <v>27</v>
      </c>
      <c r="E28">
        <v>27</v>
      </c>
      <c r="F28">
        <v>27</v>
      </c>
      <c r="G28">
        <v>801</v>
      </c>
      <c r="H28" s="114" t="s">
        <v>2389</v>
      </c>
      <c r="I28" t="s">
        <v>349</v>
      </c>
      <c r="J28" t="str">
        <f t="shared" si="0"/>
        <v>INSERT INTO tbFinanceItemSeq(Report,ItemSeqID,ItemSN,ItemID) VALUES('PNLD',27,27,801)</v>
      </c>
      <c r="K28" t="str">
        <f t="shared" si="1"/>
        <v/>
      </c>
    </row>
    <row r="29" spans="1:11">
      <c r="A29" t="s">
        <v>74</v>
      </c>
      <c r="B29" t="s">
        <v>322</v>
      </c>
      <c r="C29">
        <v>28</v>
      </c>
      <c r="D29">
        <v>28</v>
      </c>
      <c r="E29">
        <v>28</v>
      </c>
      <c r="F29">
        <v>28</v>
      </c>
      <c r="G29">
        <v>802</v>
      </c>
      <c r="H29" s="114" t="s">
        <v>2390</v>
      </c>
      <c r="I29" t="s">
        <v>350</v>
      </c>
      <c r="J29" t="str">
        <f t="shared" si="0"/>
        <v>INSERT INTO tbFinanceItemSeq(Report,ItemSeqID,ItemSN,ItemID) VALUES('PNLD',28,28,802)</v>
      </c>
      <c r="K29" t="str">
        <f t="shared" si="1"/>
        <v/>
      </c>
    </row>
    <row r="30" spans="1:11">
      <c r="A30" t="s">
        <v>74</v>
      </c>
      <c r="B30" t="s">
        <v>322</v>
      </c>
      <c r="C30">
        <v>29</v>
      </c>
      <c r="D30">
        <v>29</v>
      </c>
      <c r="E30">
        <v>29</v>
      </c>
      <c r="F30">
        <v>29</v>
      </c>
      <c r="G30">
        <v>803</v>
      </c>
      <c r="H30" s="115" t="s">
        <v>2391</v>
      </c>
      <c r="I30" t="s">
        <v>351</v>
      </c>
      <c r="J30" t="str">
        <f t="shared" si="0"/>
        <v>INSERT INTO tbFinanceItemSeq(Report,ItemSeqID,ItemSN,ItemID) VALUES('PNLD',29,29,803)</v>
      </c>
      <c r="K30" t="str">
        <f t="shared" si="1"/>
        <v/>
      </c>
    </row>
    <row r="31" spans="1:11">
      <c r="A31" t="s">
        <v>74</v>
      </c>
      <c r="B31" t="s">
        <v>322</v>
      </c>
      <c r="C31">
        <v>30</v>
      </c>
      <c r="D31">
        <v>30</v>
      </c>
      <c r="E31">
        <v>30</v>
      </c>
      <c r="F31">
        <v>30</v>
      </c>
      <c r="G31">
        <v>1345</v>
      </c>
      <c r="H31" s="116" t="s">
        <v>2392</v>
      </c>
      <c r="I31" t="s">
        <v>352</v>
      </c>
      <c r="J31" t="str">
        <f t="shared" si="0"/>
        <v>INSERT INTO tbFinanceItemSeq(Report,ItemSeqID,ItemSN,ItemID) VALUES('PNLD',30,30,1345)</v>
      </c>
      <c r="K31" t="str">
        <f t="shared" si="1"/>
        <v/>
      </c>
    </row>
    <row r="32" spans="1:11">
      <c r="A32" t="s">
        <v>74</v>
      </c>
      <c r="B32" t="s">
        <v>322</v>
      </c>
      <c r="C32">
        <v>31</v>
      </c>
      <c r="D32">
        <v>31</v>
      </c>
      <c r="E32">
        <v>31</v>
      </c>
      <c r="F32">
        <v>31</v>
      </c>
      <c r="G32">
        <v>804</v>
      </c>
      <c r="H32" s="116" t="s">
        <v>2393</v>
      </c>
      <c r="I32" t="s">
        <v>353</v>
      </c>
      <c r="J32" t="str">
        <f t="shared" si="0"/>
        <v>INSERT INTO tbFinanceItemSeq(Report,ItemSeqID,ItemSN,ItemID) VALUES('PNLD',31,31,804)</v>
      </c>
      <c r="K32" t="str">
        <f t="shared" si="1"/>
        <v/>
      </c>
    </row>
    <row r="33" spans="1:11">
      <c r="A33" t="s">
        <v>74</v>
      </c>
      <c r="B33" t="s">
        <v>322</v>
      </c>
      <c r="C33">
        <v>32</v>
      </c>
      <c r="D33">
        <v>32</v>
      </c>
      <c r="E33">
        <v>32</v>
      </c>
      <c r="F33">
        <v>32</v>
      </c>
      <c r="G33">
        <v>806</v>
      </c>
      <c r="H33" s="114" t="s">
        <v>2394</v>
      </c>
      <c r="I33" t="s">
        <v>354</v>
      </c>
      <c r="J33" t="str">
        <f t="shared" si="0"/>
        <v>INSERT INTO tbFinanceItemSeq(Report,ItemSeqID,ItemSN,ItemID) VALUES('PNLD',32,32,806)</v>
      </c>
      <c r="K33" t="str">
        <f t="shared" si="1"/>
        <v/>
      </c>
    </row>
    <row r="34" spans="1:11">
      <c r="A34" t="s">
        <v>74</v>
      </c>
      <c r="B34" t="s">
        <v>322</v>
      </c>
      <c r="C34">
        <v>33</v>
      </c>
      <c r="D34">
        <v>33</v>
      </c>
      <c r="E34">
        <v>33</v>
      </c>
      <c r="F34">
        <v>33</v>
      </c>
      <c r="G34">
        <v>807</v>
      </c>
      <c r="H34" s="114" t="s">
        <v>2395</v>
      </c>
      <c r="I34" t="s">
        <v>355</v>
      </c>
      <c r="J34" t="str">
        <f t="shared" si="0"/>
        <v>INSERT INTO tbFinanceItemSeq(Report,ItemSeqID,ItemSN,ItemID) VALUES('PNLD',33,33,807)</v>
      </c>
      <c r="K34" t="str">
        <f t="shared" si="1"/>
        <v/>
      </c>
    </row>
    <row r="35" spans="1:11">
      <c r="A35" t="s">
        <v>74</v>
      </c>
      <c r="B35" t="s">
        <v>322</v>
      </c>
      <c r="C35">
        <v>34</v>
      </c>
      <c r="D35">
        <v>34</v>
      </c>
      <c r="E35">
        <v>34</v>
      </c>
      <c r="F35">
        <v>34</v>
      </c>
      <c r="G35">
        <v>808</v>
      </c>
      <c r="H35" s="114" t="s">
        <v>2396</v>
      </c>
      <c r="I35" t="s">
        <v>356</v>
      </c>
      <c r="J35" t="str">
        <f t="shared" si="0"/>
        <v>INSERT INTO tbFinanceItemSeq(Report,ItemSeqID,ItemSN,ItemID) VALUES('PNLD',34,34,808)</v>
      </c>
      <c r="K35" t="str">
        <f t="shared" si="1"/>
        <v/>
      </c>
    </row>
    <row r="36" spans="1:11">
      <c r="A36" t="s">
        <v>74</v>
      </c>
      <c r="B36" t="s">
        <v>322</v>
      </c>
      <c r="C36">
        <v>35</v>
      </c>
      <c r="D36">
        <v>35</v>
      </c>
      <c r="E36">
        <v>35</v>
      </c>
      <c r="F36">
        <v>35</v>
      </c>
      <c r="G36">
        <v>809</v>
      </c>
      <c r="H36" s="114" t="s">
        <v>2397</v>
      </c>
      <c r="I36" t="s">
        <v>357</v>
      </c>
      <c r="J36" t="str">
        <f t="shared" si="0"/>
        <v>INSERT INTO tbFinanceItemSeq(Report,ItemSeqID,ItemSN,ItemID) VALUES('PNLD',35,35,809)</v>
      </c>
      <c r="K36" t="str">
        <f t="shared" si="1"/>
        <v/>
      </c>
    </row>
    <row r="37" spans="1:11">
      <c r="A37" t="s">
        <v>74</v>
      </c>
      <c r="B37" t="s">
        <v>322</v>
      </c>
      <c r="C37">
        <v>36</v>
      </c>
      <c r="D37">
        <v>36</v>
      </c>
      <c r="E37">
        <v>36</v>
      </c>
      <c r="F37">
        <v>36</v>
      </c>
      <c r="G37">
        <v>810</v>
      </c>
      <c r="H37" s="114" t="s">
        <v>2398</v>
      </c>
      <c r="I37" t="s">
        <v>358</v>
      </c>
      <c r="J37" t="str">
        <f t="shared" si="0"/>
        <v>INSERT INTO tbFinanceItemSeq(Report,ItemSeqID,ItemSN,ItemID) VALUES('PNLD',36,36,810)</v>
      </c>
      <c r="K37" t="str">
        <f t="shared" si="1"/>
        <v/>
      </c>
    </row>
    <row r="38" spans="1:11">
      <c r="A38" t="s">
        <v>74</v>
      </c>
      <c r="B38" t="s">
        <v>322</v>
      </c>
      <c r="C38">
        <v>37</v>
      </c>
      <c r="D38">
        <v>37</v>
      </c>
      <c r="E38">
        <v>37</v>
      </c>
      <c r="F38">
        <v>37</v>
      </c>
      <c r="G38">
        <v>811</v>
      </c>
      <c r="H38" s="114" t="s">
        <v>2399</v>
      </c>
      <c r="I38" t="s">
        <v>359</v>
      </c>
      <c r="J38" t="str">
        <f t="shared" si="0"/>
        <v>INSERT INTO tbFinanceItemSeq(Report,ItemSeqID,ItemSN,ItemID) VALUES('PNLD',37,37,811)</v>
      </c>
      <c r="K38" t="str">
        <f t="shared" si="1"/>
        <v/>
      </c>
    </row>
    <row r="39" spans="1:11">
      <c r="A39" t="s">
        <v>74</v>
      </c>
      <c r="B39" t="s">
        <v>322</v>
      </c>
      <c r="C39">
        <v>38</v>
      </c>
      <c r="D39">
        <v>38</v>
      </c>
      <c r="E39">
        <v>38</v>
      </c>
      <c r="F39">
        <v>38</v>
      </c>
      <c r="G39">
        <v>812</v>
      </c>
      <c r="H39" s="115" t="s">
        <v>2400</v>
      </c>
      <c r="I39" t="s">
        <v>360</v>
      </c>
      <c r="J39" t="str">
        <f t="shared" si="0"/>
        <v>INSERT INTO tbFinanceItemSeq(Report,ItemSeqID,ItemSN,ItemID) VALUES('PNLD',38,38,812)</v>
      </c>
      <c r="K39" t="str">
        <f t="shared" si="1"/>
        <v/>
      </c>
    </row>
    <row r="40" spans="1:11">
      <c r="A40" t="s">
        <v>74</v>
      </c>
      <c r="B40" t="s">
        <v>322</v>
      </c>
      <c r="C40">
        <v>39</v>
      </c>
      <c r="D40">
        <v>39</v>
      </c>
      <c r="E40">
        <v>39</v>
      </c>
      <c r="F40">
        <v>39</v>
      </c>
      <c r="G40">
        <v>1411</v>
      </c>
      <c r="H40" s="117" t="s">
        <v>2401</v>
      </c>
      <c r="I40" t="s">
        <v>361</v>
      </c>
      <c r="J40" t="str">
        <f t="shared" si="0"/>
        <v>INSERT INTO tbFinanceItemSeq(Report,ItemSeqID,ItemSN,ItemID) VALUES('PNLD',39,39,1411)</v>
      </c>
      <c r="K40" t="str">
        <f t="shared" si="1"/>
        <v/>
      </c>
    </row>
    <row r="41" spans="1:11">
      <c r="A41" t="s">
        <v>74</v>
      </c>
      <c r="B41" t="s">
        <v>322</v>
      </c>
      <c r="C41">
        <v>40</v>
      </c>
      <c r="D41">
        <v>40</v>
      </c>
      <c r="E41">
        <v>40</v>
      </c>
      <c r="F41">
        <v>40</v>
      </c>
      <c r="G41">
        <v>1387</v>
      </c>
      <c r="H41" s="117" t="s">
        <v>2402</v>
      </c>
      <c r="I41" t="s">
        <v>362</v>
      </c>
      <c r="J41" t="str">
        <f t="shared" si="0"/>
        <v>INSERT INTO tbFinanceItemSeq(Report,ItemSeqID,ItemSN,ItemID) VALUES('PNLD',40,40,1387)</v>
      </c>
      <c r="K41" t="str">
        <f t="shared" si="1"/>
        <v/>
      </c>
    </row>
    <row r="42" spans="1:11">
      <c r="A42" t="s">
        <v>74</v>
      </c>
      <c r="B42" t="s">
        <v>322</v>
      </c>
      <c r="C42">
        <v>41</v>
      </c>
      <c r="D42">
        <v>41</v>
      </c>
      <c r="E42">
        <v>41</v>
      </c>
      <c r="F42">
        <v>41</v>
      </c>
      <c r="G42">
        <v>1346</v>
      </c>
      <c r="H42" s="118" t="s">
        <v>2403</v>
      </c>
      <c r="I42" t="s">
        <v>363</v>
      </c>
      <c r="J42" t="str">
        <f t="shared" si="0"/>
        <v>INSERT INTO tbFinanceItemSeq(Report,ItemSeqID,ItemSN,ItemID) VALUES('PNLD',41,41,1346)</v>
      </c>
      <c r="K42" t="str">
        <f t="shared" si="1"/>
        <v/>
      </c>
    </row>
    <row r="43" spans="1:11">
      <c r="A43" t="s">
        <v>74</v>
      </c>
      <c r="B43" t="s">
        <v>322</v>
      </c>
      <c r="C43">
        <v>42</v>
      </c>
      <c r="D43">
        <v>42</v>
      </c>
      <c r="E43">
        <v>42</v>
      </c>
      <c r="F43">
        <v>42</v>
      </c>
      <c r="G43">
        <v>814</v>
      </c>
      <c r="H43" s="114" t="s">
        <v>2404</v>
      </c>
      <c r="I43" t="s">
        <v>364</v>
      </c>
      <c r="J43" t="str">
        <f t="shared" si="0"/>
        <v>INSERT INTO tbFinanceItemSeq(Report,ItemSeqID,ItemSN,ItemID) VALUES('PNLD',42,42,814)</v>
      </c>
      <c r="K43" t="str">
        <f t="shared" si="1"/>
        <v/>
      </c>
    </row>
    <row r="44" spans="1:11">
      <c r="A44" t="s">
        <v>74</v>
      </c>
      <c r="B44" t="s">
        <v>322</v>
      </c>
      <c r="C44">
        <v>43</v>
      </c>
      <c r="D44">
        <v>43</v>
      </c>
      <c r="E44">
        <v>43</v>
      </c>
      <c r="F44">
        <v>43</v>
      </c>
      <c r="G44">
        <v>815</v>
      </c>
      <c r="H44" s="114" t="s">
        <v>2405</v>
      </c>
      <c r="I44" t="s">
        <v>365</v>
      </c>
      <c r="J44" t="str">
        <f t="shared" si="0"/>
        <v>INSERT INTO tbFinanceItemSeq(Report,ItemSeqID,ItemSN,ItemID) VALUES('PNLD',43,43,815)</v>
      </c>
      <c r="K44" t="str">
        <f t="shared" si="1"/>
        <v/>
      </c>
    </row>
    <row r="45" spans="1:11">
      <c r="A45" t="s">
        <v>74</v>
      </c>
      <c r="B45" t="s">
        <v>322</v>
      </c>
      <c r="C45">
        <v>44</v>
      </c>
      <c r="D45">
        <v>44</v>
      </c>
      <c r="E45">
        <v>44</v>
      </c>
      <c r="F45">
        <v>44</v>
      </c>
      <c r="G45">
        <v>816</v>
      </c>
      <c r="H45" s="114" t="s">
        <v>2406</v>
      </c>
      <c r="I45" t="s">
        <v>366</v>
      </c>
      <c r="J45" t="str">
        <f t="shared" si="0"/>
        <v>INSERT INTO tbFinanceItemSeq(Report,ItemSeqID,ItemSN,ItemID) VALUES('PNLD',44,44,816)</v>
      </c>
      <c r="K45" t="str">
        <f t="shared" si="1"/>
        <v/>
      </c>
    </row>
    <row r="46" spans="1:11">
      <c r="A46" t="s">
        <v>74</v>
      </c>
      <c r="B46" t="s">
        <v>322</v>
      </c>
      <c r="C46">
        <v>45</v>
      </c>
      <c r="D46">
        <v>45</v>
      </c>
      <c r="E46">
        <v>45</v>
      </c>
      <c r="F46">
        <v>45</v>
      </c>
      <c r="G46">
        <v>817</v>
      </c>
      <c r="H46" s="114" t="s">
        <v>2407</v>
      </c>
      <c r="I46" t="s">
        <v>367</v>
      </c>
      <c r="J46" t="str">
        <f t="shared" si="0"/>
        <v>INSERT INTO tbFinanceItemSeq(Report,ItemSeqID,ItemSN,ItemID) VALUES('PNLD',45,45,817)</v>
      </c>
      <c r="K46" t="str">
        <f t="shared" si="1"/>
        <v/>
      </c>
    </row>
    <row r="47" spans="1:11">
      <c r="A47" t="s">
        <v>74</v>
      </c>
      <c r="B47" t="s">
        <v>322</v>
      </c>
      <c r="C47">
        <v>46</v>
      </c>
      <c r="D47">
        <v>46</v>
      </c>
      <c r="E47">
        <v>46</v>
      </c>
      <c r="F47">
        <v>46</v>
      </c>
      <c r="G47">
        <v>818</v>
      </c>
      <c r="H47" s="114" t="s">
        <v>2408</v>
      </c>
      <c r="I47" t="s">
        <v>368</v>
      </c>
      <c r="J47" t="str">
        <f t="shared" si="0"/>
        <v>INSERT INTO tbFinanceItemSeq(Report,ItemSeqID,ItemSN,ItemID) VALUES('PNLD',46,46,818)</v>
      </c>
      <c r="K47" t="str">
        <f t="shared" si="1"/>
        <v/>
      </c>
    </row>
    <row r="48" spans="1:11">
      <c r="A48" t="s">
        <v>74</v>
      </c>
      <c r="B48" t="s">
        <v>322</v>
      </c>
      <c r="C48">
        <v>47</v>
      </c>
      <c r="D48">
        <v>47</v>
      </c>
      <c r="E48">
        <v>47</v>
      </c>
      <c r="F48">
        <v>47</v>
      </c>
      <c r="G48">
        <v>819</v>
      </c>
      <c r="H48" s="114" t="s">
        <v>2409</v>
      </c>
      <c r="I48" t="s">
        <v>369</v>
      </c>
      <c r="J48" t="str">
        <f t="shared" si="0"/>
        <v>INSERT INTO tbFinanceItemSeq(Report,ItemSeqID,ItemSN,ItemID) VALUES('PNLD',47,47,819)</v>
      </c>
      <c r="K48" t="str">
        <f t="shared" si="1"/>
        <v/>
      </c>
    </row>
    <row r="49" spans="1:11">
      <c r="A49" t="s">
        <v>74</v>
      </c>
      <c r="B49" t="s">
        <v>322</v>
      </c>
      <c r="C49">
        <v>48</v>
      </c>
      <c r="D49">
        <v>48</v>
      </c>
      <c r="E49">
        <v>48</v>
      </c>
      <c r="F49">
        <v>48</v>
      </c>
      <c r="G49">
        <v>820</v>
      </c>
      <c r="H49" s="114" t="s">
        <v>2410</v>
      </c>
      <c r="I49" t="s">
        <v>370</v>
      </c>
      <c r="J49" t="str">
        <f t="shared" si="0"/>
        <v>INSERT INTO tbFinanceItemSeq(Report,ItemSeqID,ItemSN,ItemID) VALUES('PNLD',48,48,820)</v>
      </c>
      <c r="K49" t="str">
        <f t="shared" si="1"/>
        <v/>
      </c>
    </row>
    <row r="50" spans="1:11">
      <c r="A50" t="s">
        <v>74</v>
      </c>
      <c r="B50" t="s">
        <v>322</v>
      </c>
      <c r="C50">
        <v>49</v>
      </c>
      <c r="D50">
        <v>49</v>
      </c>
      <c r="E50">
        <v>49</v>
      </c>
      <c r="F50">
        <v>49</v>
      </c>
      <c r="G50">
        <v>1412</v>
      </c>
      <c r="H50" s="114" t="s">
        <v>2411</v>
      </c>
      <c r="I50" t="s">
        <v>371</v>
      </c>
      <c r="J50" t="str">
        <f t="shared" si="0"/>
        <v>INSERT INTO tbFinanceItemSeq(Report,ItemSeqID,ItemSN,ItemID) VALUES('PNLD',49,49,1412)</v>
      </c>
      <c r="K50" t="str">
        <f t="shared" si="1"/>
        <v/>
      </c>
    </row>
    <row r="51" spans="1:11">
      <c r="A51" t="s">
        <v>74</v>
      </c>
      <c r="B51" t="s">
        <v>322</v>
      </c>
      <c r="C51">
        <v>50</v>
      </c>
      <c r="D51">
        <v>50</v>
      </c>
      <c r="E51">
        <v>50</v>
      </c>
      <c r="F51">
        <v>50</v>
      </c>
      <c r="G51">
        <v>1347</v>
      </c>
      <c r="H51" s="118" t="s">
        <v>2412</v>
      </c>
      <c r="I51" t="s">
        <v>372</v>
      </c>
      <c r="J51" t="str">
        <f t="shared" si="0"/>
        <v>INSERT INTO tbFinanceItemSeq(Report,ItemSeqID,ItemSN,ItemID) VALUES('PNLD',50,50,1347)</v>
      </c>
      <c r="K51" t="str">
        <f t="shared" si="1"/>
        <v/>
      </c>
    </row>
    <row r="52" spans="1:11">
      <c r="A52" t="s">
        <v>74</v>
      </c>
      <c r="B52" t="s">
        <v>322</v>
      </c>
      <c r="C52">
        <v>51</v>
      </c>
      <c r="D52">
        <v>51</v>
      </c>
      <c r="E52">
        <v>51</v>
      </c>
      <c r="F52">
        <v>51</v>
      </c>
      <c r="G52">
        <v>822</v>
      </c>
      <c r="H52" s="113" t="s">
        <v>2413</v>
      </c>
      <c r="I52" t="s">
        <v>373</v>
      </c>
      <c r="J52" t="str">
        <f t="shared" si="0"/>
        <v>INSERT INTO tbFinanceItemSeq(Report,ItemSeqID,ItemSN,ItemID) VALUES('PNLD',51,51,822)</v>
      </c>
      <c r="K52" t="str">
        <f t="shared" si="1"/>
        <v/>
      </c>
    </row>
    <row r="53" spans="1:11">
      <c r="A53" t="s">
        <v>74</v>
      </c>
      <c r="B53" t="s">
        <v>322</v>
      </c>
      <c r="C53">
        <v>52</v>
      </c>
      <c r="D53">
        <v>52</v>
      </c>
      <c r="E53">
        <v>52</v>
      </c>
      <c r="F53">
        <v>52</v>
      </c>
      <c r="G53">
        <v>823</v>
      </c>
      <c r="H53" s="113" t="s">
        <v>2414</v>
      </c>
      <c r="I53" t="s">
        <v>374</v>
      </c>
      <c r="J53" t="str">
        <f t="shared" si="0"/>
        <v>INSERT INTO tbFinanceItemSeq(Report,ItemSeqID,ItemSN,ItemID) VALUES('PNLD',52,52,823)</v>
      </c>
      <c r="K53" t="str">
        <f t="shared" si="1"/>
        <v/>
      </c>
    </row>
    <row r="54" spans="1:11">
      <c r="A54" t="s">
        <v>74</v>
      </c>
      <c r="B54" t="s">
        <v>322</v>
      </c>
      <c r="C54">
        <v>53</v>
      </c>
      <c r="D54">
        <v>53</v>
      </c>
      <c r="E54">
        <v>53</v>
      </c>
      <c r="F54">
        <v>53</v>
      </c>
      <c r="G54">
        <v>824</v>
      </c>
      <c r="H54" s="113" t="s">
        <v>2415</v>
      </c>
      <c r="I54" t="s">
        <v>375</v>
      </c>
      <c r="J54" t="str">
        <f t="shared" si="0"/>
        <v>INSERT INTO tbFinanceItemSeq(Report,ItemSeqID,ItemSN,ItemID) VALUES('PNLD',53,53,824)</v>
      </c>
      <c r="K54" t="str">
        <f t="shared" si="1"/>
        <v/>
      </c>
    </row>
    <row r="55" spans="1:11">
      <c r="A55" t="s">
        <v>74</v>
      </c>
      <c r="B55" t="s">
        <v>322</v>
      </c>
      <c r="C55">
        <v>54</v>
      </c>
      <c r="D55">
        <v>54</v>
      </c>
      <c r="E55">
        <v>54</v>
      </c>
      <c r="F55">
        <v>54</v>
      </c>
      <c r="G55">
        <v>825</v>
      </c>
      <c r="H55" s="113" t="s">
        <v>2416</v>
      </c>
      <c r="I55" t="s">
        <v>376</v>
      </c>
      <c r="J55" t="str">
        <f t="shared" si="0"/>
        <v>INSERT INTO tbFinanceItemSeq(Report,ItemSeqID,ItemSN,ItemID) VALUES('PNLD',54,54,825)</v>
      </c>
      <c r="K55" t="str">
        <f t="shared" si="1"/>
        <v/>
      </c>
    </row>
    <row r="56" spans="1:11">
      <c r="A56" t="s">
        <v>74</v>
      </c>
      <c r="B56" t="s">
        <v>322</v>
      </c>
      <c r="C56">
        <v>55</v>
      </c>
      <c r="D56">
        <v>55</v>
      </c>
      <c r="E56">
        <v>55</v>
      </c>
      <c r="F56">
        <v>55</v>
      </c>
      <c r="G56">
        <v>826</v>
      </c>
      <c r="H56" s="113" t="s">
        <v>2417</v>
      </c>
      <c r="I56" t="s">
        <v>377</v>
      </c>
      <c r="J56" t="str">
        <f t="shared" si="0"/>
        <v>INSERT INTO tbFinanceItemSeq(Report,ItemSeqID,ItemSN,ItemID) VALUES('PNLD',55,55,826)</v>
      </c>
      <c r="K56" t="str">
        <f t="shared" si="1"/>
        <v/>
      </c>
    </row>
    <row r="57" spans="1:11">
      <c r="A57" t="s">
        <v>74</v>
      </c>
      <c r="B57" t="s">
        <v>322</v>
      </c>
      <c r="C57">
        <v>56</v>
      </c>
      <c r="D57">
        <v>56</v>
      </c>
      <c r="E57">
        <v>56</v>
      </c>
      <c r="F57">
        <v>56</v>
      </c>
      <c r="G57">
        <v>827</v>
      </c>
      <c r="H57" s="113" t="s">
        <v>2418</v>
      </c>
      <c r="I57" t="s">
        <v>378</v>
      </c>
      <c r="J57" t="str">
        <f t="shared" si="0"/>
        <v>INSERT INTO tbFinanceItemSeq(Report,ItemSeqID,ItemSN,ItemID) VALUES('PNLD',56,56,827)</v>
      </c>
      <c r="K57" t="str">
        <f t="shared" si="1"/>
        <v/>
      </c>
    </row>
    <row r="58" spans="1:11">
      <c r="A58" t="s">
        <v>74</v>
      </c>
      <c r="B58" t="s">
        <v>322</v>
      </c>
      <c r="C58">
        <v>57</v>
      </c>
      <c r="D58">
        <v>57</v>
      </c>
      <c r="E58">
        <v>57</v>
      </c>
      <c r="F58">
        <v>57</v>
      </c>
      <c r="G58">
        <v>828</v>
      </c>
      <c r="H58" s="113" t="s">
        <v>2419</v>
      </c>
      <c r="I58" t="s">
        <v>379</v>
      </c>
      <c r="J58" t="str">
        <f t="shared" si="0"/>
        <v>INSERT INTO tbFinanceItemSeq(Report,ItemSeqID,ItemSN,ItemID) VALUES('PNLD',57,57,828)</v>
      </c>
      <c r="K58" t="str">
        <f t="shared" si="1"/>
        <v/>
      </c>
    </row>
    <row r="59" spans="1:11">
      <c r="A59" t="s">
        <v>74</v>
      </c>
      <c r="B59" t="s">
        <v>322</v>
      </c>
      <c r="C59">
        <v>58</v>
      </c>
      <c r="D59">
        <v>58</v>
      </c>
      <c r="E59">
        <v>58</v>
      </c>
      <c r="F59">
        <v>58</v>
      </c>
      <c r="G59">
        <v>1348</v>
      </c>
      <c r="H59" s="116" t="s">
        <v>2420</v>
      </c>
      <c r="I59" t="s">
        <v>380</v>
      </c>
      <c r="J59" t="str">
        <f t="shared" si="0"/>
        <v>INSERT INTO tbFinanceItemSeq(Report,ItemSeqID,ItemSN,ItemID) VALUES('PNLD',58,58,1348)</v>
      </c>
      <c r="K59" t="str">
        <f t="shared" si="1"/>
        <v/>
      </c>
    </row>
    <row r="60" spans="1:11">
      <c r="A60" t="s">
        <v>74</v>
      </c>
      <c r="B60" t="s">
        <v>322</v>
      </c>
      <c r="C60">
        <v>59</v>
      </c>
      <c r="D60">
        <v>59</v>
      </c>
      <c r="E60">
        <v>59</v>
      </c>
      <c r="F60">
        <v>59</v>
      </c>
      <c r="G60">
        <v>829</v>
      </c>
      <c r="H60" s="113" t="s">
        <v>2421</v>
      </c>
      <c r="I60" t="s">
        <v>381</v>
      </c>
      <c r="J60" t="str">
        <f t="shared" si="0"/>
        <v>INSERT INTO tbFinanceItemSeq(Report,ItemSeqID,ItemSN,ItemID) VALUES('PNLD',59,59,829)</v>
      </c>
      <c r="K60" t="str">
        <f t="shared" si="1"/>
        <v/>
      </c>
    </row>
    <row r="61" spans="1:11">
      <c r="A61" t="s">
        <v>74</v>
      </c>
      <c r="B61" t="s">
        <v>322</v>
      </c>
      <c r="C61">
        <v>60</v>
      </c>
      <c r="D61">
        <v>60</v>
      </c>
      <c r="E61">
        <v>60</v>
      </c>
      <c r="F61">
        <v>60</v>
      </c>
      <c r="G61">
        <v>830</v>
      </c>
      <c r="H61" s="114" t="s">
        <v>2422</v>
      </c>
      <c r="I61" t="s">
        <v>382</v>
      </c>
      <c r="J61" t="str">
        <f t="shared" si="0"/>
        <v>INSERT INTO tbFinanceItemSeq(Report,ItemSeqID,ItemSN,ItemID) VALUES('PNLD',60,60,830)</v>
      </c>
      <c r="K61" t="str">
        <f t="shared" si="1"/>
        <v/>
      </c>
    </row>
    <row r="62" spans="1:11">
      <c r="A62" t="s">
        <v>74</v>
      </c>
      <c r="B62" t="s">
        <v>322</v>
      </c>
      <c r="C62">
        <v>61</v>
      </c>
      <c r="D62">
        <v>61</v>
      </c>
      <c r="E62">
        <v>61</v>
      </c>
      <c r="F62">
        <v>61</v>
      </c>
      <c r="G62">
        <v>831</v>
      </c>
      <c r="H62" s="114" t="s">
        <v>2423</v>
      </c>
      <c r="I62" t="s">
        <v>383</v>
      </c>
      <c r="J62" t="str">
        <f t="shared" si="0"/>
        <v>INSERT INTO tbFinanceItemSeq(Report,ItemSeqID,ItemSN,ItemID) VALUES('PNLD',61,61,831)</v>
      </c>
      <c r="K62" t="str">
        <f t="shared" si="1"/>
        <v/>
      </c>
    </row>
    <row r="63" spans="1:11">
      <c r="A63" t="s">
        <v>74</v>
      </c>
      <c r="B63" t="s">
        <v>322</v>
      </c>
      <c r="C63">
        <v>62</v>
      </c>
      <c r="D63">
        <v>62</v>
      </c>
      <c r="E63">
        <v>62</v>
      </c>
      <c r="F63">
        <v>62</v>
      </c>
      <c r="G63">
        <v>832</v>
      </c>
      <c r="H63" s="114" t="s">
        <v>2424</v>
      </c>
      <c r="I63" t="s">
        <v>384</v>
      </c>
      <c r="J63" t="str">
        <f t="shared" si="0"/>
        <v>INSERT INTO tbFinanceItemSeq(Report,ItemSeqID,ItemSN,ItemID) VALUES('PNLD',62,62,832)</v>
      </c>
      <c r="K63" t="str">
        <f t="shared" si="1"/>
        <v/>
      </c>
    </row>
    <row r="64" spans="1:11">
      <c r="A64" t="s">
        <v>74</v>
      </c>
      <c r="B64" t="s">
        <v>322</v>
      </c>
      <c r="C64">
        <v>63</v>
      </c>
      <c r="D64">
        <v>63</v>
      </c>
      <c r="E64">
        <v>63</v>
      </c>
      <c r="F64">
        <v>63</v>
      </c>
      <c r="G64">
        <v>833</v>
      </c>
      <c r="H64" s="114" t="s">
        <v>2425</v>
      </c>
      <c r="I64" t="s">
        <v>385</v>
      </c>
      <c r="J64" t="str">
        <f t="shared" si="0"/>
        <v>INSERT INTO tbFinanceItemSeq(Report,ItemSeqID,ItemSN,ItemID) VALUES('PNLD',63,63,833)</v>
      </c>
      <c r="K64" t="str">
        <f t="shared" si="1"/>
        <v/>
      </c>
    </row>
    <row r="65" spans="1:12">
      <c r="A65" t="s">
        <v>74</v>
      </c>
      <c r="B65" t="s">
        <v>322</v>
      </c>
      <c r="C65">
        <v>64</v>
      </c>
      <c r="D65">
        <v>64</v>
      </c>
      <c r="E65">
        <v>64</v>
      </c>
      <c r="F65">
        <v>64</v>
      </c>
      <c r="G65">
        <v>834</v>
      </c>
      <c r="H65" s="114" t="s">
        <v>2426</v>
      </c>
      <c r="I65" t="s">
        <v>386</v>
      </c>
      <c r="J65" t="str">
        <f t="shared" si="0"/>
        <v>INSERT INTO tbFinanceItemSeq(Report,ItemSeqID,ItemSN,ItemID) VALUES('PNLD',64,64,834)</v>
      </c>
      <c r="K65" t="str">
        <f t="shared" si="1"/>
        <v/>
      </c>
    </row>
    <row r="66" spans="1:12">
      <c r="A66" t="s">
        <v>74</v>
      </c>
      <c r="B66" t="s">
        <v>322</v>
      </c>
      <c r="C66">
        <v>65</v>
      </c>
      <c r="D66">
        <v>65</v>
      </c>
      <c r="E66">
        <v>65</v>
      </c>
      <c r="F66">
        <v>65</v>
      </c>
      <c r="G66">
        <v>835</v>
      </c>
      <c r="H66" s="114" t="s">
        <v>2427</v>
      </c>
      <c r="I66" t="s">
        <v>387</v>
      </c>
      <c r="J66" t="str">
        <f t="shared" si="0"/>
        <v>INSERT INTO tbFinanceItemSeq(Report,ItemSeqID,ItemSN,ItemID) VALUES('PNLD',65,65,835)</v>
      </c>
      <c r="K66" t="str">
        <f t="shared" si="1"/>
        <v/>
      </c>
    </row>
    <row r="67" spans="1:12">
      <c r="A67" t="s">
        <v>74</v>
      </c>
      <c r="B67" t="s">
        <v>322</v>
      </c>
      <c r="C67">
        <v>66</v>
      </c>
      <c r="D67">
        <v>66</v>
      </c>
      <c r="E67">
        <v>66</v>
      </c>
      <c r="F67">
        <v>66</v>
      </c>
      <c r="G67">
        <v>836</v>
      </c>
      <c r="H67" s="114" t="s">
        <v>2428</v>
      </c>
      <c r="I67" t="s">
        <v>388</v>
      </c>
      <c r="J67" t="str">
        <f t="shared" ref="J67:J152" si="2">IF(A67&lt;&gt;"Remove",CONCATENATE("INSERT INTO tbFinanceItemSeq(Report,ItemSeqID,ItemSN,ItemID) VALUES('",B67,"',",C67,",",E67,",",G67,")"),"")</f>
        <v>INSERT INTO tbFinanceItemSeq(Report,ItemSeqID,ItemSN,ItemID) VALUES('PNLD',66,66,836)</v>
      </c>
      <c r="K67" t="str">
        <f t="shared" ref="K67:K130" si="3">IF(A67&lt;&gt;"New","",CONCATENATE("INSERT INTO tbFinanceItem(ItemName) VALUES('",I67,"')"))</f>
        <v/>
      </c>
    </row>
    <row r="68" spans="1:12">
      <c r="A68" t="s">
        <v>74</v>
      </c>
      <c r="B68" t="s">
        <v>322</v>
      </c>
      <c r="C68">
        <v>67</v>
      </c>
      <c r="D68">
        <v>67</v>
      </c>
      <c r="E68">
        <v>67</v>
      </c>
      <c r="F68">
        <v>67</v>
      </c>
      <c r="G68">
        <v>837</v>
      </c>
      <c r="H68" s="116" t="s">
        <v>2429</v>
      </c>
      <c r="I68" t="s">
        <v>389</v>
      </c>
      <c r="J68" t="str">
        <f t="shared" si="2"/>
        <v>INSERT INTO tbFinanceItemSeq(Report,ItemSeqID,ItemSN,ItemID) VALUES('PNLD',67,67,837)</v>
      </c>
      <c r="K68" t="str">
        <f t="shared" si="3"/>
        <v/>
      </c>
    </row>
    <row r="69" spans="1:12" ht="15.75" thickBot="1">
      <c r="A69" t="s">
        <v>74</v>
      </c>
      <c r="B69" t="s">
        <v>322</v>
      </c>
      <c r="C69">
        <v>68</v>
      </c>
      <c r="D69">
        <v>68</v>
      </c>
      <c r="E69">
        <v>68</v>
      </c>
      <c r="F69">
        <v>68</v>
      </c>
      <c r="G69">
        <v>838</v>
      </c>
      <c r="H69" s="119" t="s">
        <v>2430</v>
      </c>
      <c r="I69" t="s">
        <v>390</v>
      </c>
      <c r="J69" t="str">
        <f t="shared" si="2"/>
        <v>INSERT INTO tbFinanceItemSeq(Report,ItemSeqID,ItemSN,ItemID) VALUES('PNLD',68,68,838)</v>
      </c>
      <c r="K69" t="str">
        <f t="shared" si="3"/>
        <v/>
      </c>
    </row>
    <row r="70" spans="1:12" ht="15.75" thickTop="1">
      <c r="A70" t="s">
        <v>74</v>
      </c>
      <c r="B70" t="s">
        <v>322</v>
      </c>
      <c r="C70">
        <v>69</v>
      </c>
      <c r="D70">
        <v>69</v>
      </c>
      <c r="E70">
        <v>69</v>
      </c>
      <c r="F70">
        <v>0</v>
      </c>
      <c r="G70">
        <v>839</v>
      </c>
      <c r="H70" s="120"/>
      <c r="I70" t="s">
        <v>391</v>
      </c>
      <c r="J70" t="str">
        <f t="shared" si="2"/>
        <v>INSERT INTO tbFinanceItemSeq(Report,ItemSeqID,ItemSN,ItemID) VALUES('PNLD',69,69,839)</v>
      </c>
      <c r="K70" t="str">
        <f t="shared" si="3"/>
        <v/>
      </c>
    </row>
    <row r="71" spans="1:12">
      <c r="A71" t="s">
        <v>74</v>
      </c>
      <c r="B71" t="s">
        <v>322</v>
      </c>
      <c r="C71">
        <v>70</v>
      </c>
      <c r="D71">
        <v>70</v>
      </c>
      <c r="E71">
        <v>70</v>
      </c>
      <c r="F71">
        <v>69</v>
      </c>
      <c r="G71">
        <v>840</v>
      </c>
      <c r="H71" s="114" t="s">
        <v>2431</v>
      </c>
      <c r="I71" t="s">
        <v>392</v>
      </c>
      <c r="J71" t="str">
        <f t="shared" si="2"/>
        <v>INSERT INTO tbFinanceItemSeq(Report,ItemSeqID,ItemSN,ItemID) VALUES('PNLD',70,70,840)</v>
      </c>
      <c r="K71" t="str">
        <f t="shared" si="3"/>
        <v/>
      </c>
      <c r="L71" s="112"/>
    </row>
    <row r="72" spans="1:12" s="2" customFormat="1">
      <c r="A72" s="2" t="s">
        <v>76</v>
      </c>
      <c r="B72" s="2" t="s">
        <v>322</v>
      </c>
      <c r="C72" s="2">
        <v>71</v>
      </c>
      <c r="D72" s="2">
        <v>71</v>
      </c>
      <c r="E72" s="2">
        <v>70</v>
      </c>
      <c r="F72" s="2">
        <v>70</v>
      </c>
      <c r="G72" s="2">
        <v>841</v>
      </c>
      <c r="H72" s="114"/>
      <c r="I72" s="2" t="s">
        <v>393</v>
      </c>
      <c r="J72" s="2" t="str">
        <f t="shared" si="2"/>
        <v/>
      </c>
      <c r="K72" s="149" t="s">
        <v>2362</v>
      </c>
    </row>
    <row r="73" spans="1:12" s="3" customFormat="1">
      <c r="A73" s="3" t="s">
        <v>75</v>
      </c>
      <c r="B73" s="3" t="s">
        <v>322</v>
      </c>
      <c r="C73" s="3">
        <v>71</v>
      </c>
      <c r="D73" s="3">
        <v>71</v>
      </c>
      <c r="E73" s="3">
        <v>71</v>
      </c>
      <c r="F73" s="3">
        <v>70</v>
      </c>
      <c r="G73" s="3">
        <v>841</v>
      </c>
      <c r="H73" s="114" t="s">
        <v>2432</v>
      </c>
      <c r="I73" s="3" t="s">
        <v>973</v>
      </c>
      <c r="J73" s="3" t="str">
        <f t="shared" si="2"/>
        <v>INSERT INTO tbFinanceItemSeq(Report,ItemSeqID,ItemSN,ItemID) VALUES('PNLD',71,71,841)</v>
      </c>
      <c r="K73" s="149"/>
    </row>
    <row r="74" spans="1:12">
      <c r="A74" t="s">
        <v>74</v>
      </c>
      <c r="B74" t="s">
        <v>322</v>
      </c>
      <c r="C74">
        <v>72</v>
      </c>
      <c r="D74">
        <v>72</v>
      </c>
      <c r="E74">
        <v>72</v>
      </c>
      <c r="F74">
        <v>71</v>
      </c>
      <c r="G74">
        <v>842</v>
      </c>
      <c r="H74" s="114" t="s">
        <v>2433</v>
      </c>
      <c r="I74" t="s">
        <v>394</v>
      </c>
      <c r="J74" t="str">
        <f t="shared" si="2"/>
        <v>INSERT INTO tbFinanceItemSeq(Report,ItemSeqID,ItemSN,ItemID) VALUES('PNLD',72,72,842)</v>
      </c>
      <c r="K74" t="str">
        <f t="shared" si="3"/>
        <v/>
      </c>
    </row>
    <row r="75" spans="1:12" s="3" customFormat="1">
      <c r="A75" s="3" t="s">
        <v>75</v>
      </c>
      <c r="B75" s="3" t="s">
        <v>322</v>
      </c>
      <c r="C75" s="3">
        <v>73</v>
      </c>
      <c r="E75" s="3">
        <v>73</v>
      </c>
      <c r="G75" s="3">
        <v>1057</v>
      </c>
      <c r="H75" s="114" t="s">
        <v>2434</v>
      </c>
      <c r="I75" s="3" t="s">
        <v>635</v>
      </c>
      <c r="J75" s="3" t="str">
        <f t="shared" si="2"/>
        <v>INSERT INTO tbFinanceItemSeq(Report,ItemSeqID,ItemSN,ItemID) VALUES('PNLD',73,73,1057)</v>
      </c>
      <c r="K75" t="str">
        <f t="shared" si="3"/>
        <v>INSERT INTO tbFinanceItem(ItemName) VALUES('(PNLD)Gain/(Loss) on Disposal of FA')</v>
      </c>
    </row>
    <row r="76" spans="1:12">
      <c r="A76" t="s">
        <v>74</v>
      </c>
      <c r="B76" t="s">
        <v>322</v>
      </c>
      <c r="C76">
        <f>D76+1</f>
        <v>74</v>
      </c>
      <c r="D76">
        <v>73</v>
      </c>
      <c r="E76">
        <v>74</v>
      </c>
      <c r="F76">
        <v>72</v>
      </c>
      <c r="G76">
        <v>843</v>
      </c>
      <c r="H76" s="114" t="s">
        <v>2435</v>
      </c>
      <c r="I76" t="s">
        <v>395</v>
      </c>
      <c r="J76" t="str">
        <f t="shared" si="2"/>
        <v>INSERT INTO tbFinanceItemSeq(Report,ItemSeqID,ItemSN,ItemID) VALUES('PNLD',74,74,843)</v>
      </c>
      <c r="K76" t="str">
        <f t="shared" si="3"/>
        <v/>
      </c>
    </row>
    <row r="77" spans="1:12" s="2" customFormat="1">
      <c r="A77" s="2" t="s">
        <v>76</v>
      </c>
      <c r="B77" s="2" t="s">
        <v>322</v>
      </c>
      <c r="C77" s="2">
        <f>D77+1</f>
        <v>75</v>
      </c>
      <c r="D77" s="2">
        <v>74</v>
      </c>
      <c r="E77" s="2">
        <f>F77+1</f>
        <v>74</v>
      </c>
      <c r="F77" s="2">
        <v>73</v>
      </c>
      <c r="G77" s="2">
        <v>844</v>
      </c>
      <c r="H77" s="114"/>
      <c r="I77" s="2" t="s">
        <v>396</v>
      </c>
      <c r="J77" t="str">
        <f t="shared" si="2"/>
        <v/>
      </c>
      <c r="K77" t="str">
        <f t="shared" si="3"/>
        <v/>
      </c>
    </row>
    <row r="78" spans="1:12" s="3" customFormat="1">
      <c r="A78" s="3" t="s">
        <v>75</v>
      </c>
      <c r="B78" s="3" t="s">
        <v>322</v>
      </c>
      <c r="C78" s="3">
        <v>75</v>
      </c>
      <c r="D78" s="3">
        <v>74</v>
      </c>
      <c r="E78" s="3">
        <v>75</v>
      </c>
      <c r="F78" s="3">
        <v>73</v>
      </c>
      <c r="G78" s="3">
        <v>844</v>
      </c>
      <c r="H78" s="114" t="s">
        <v>2436</v>
      </c>
      <c r="I78" s="3" t="s">
        <v>974</v>
      </c>
      <c r="J78" t="str">
        <f t="shared" si="2"/>
        <v>INSERT INTO tbFinanceItemSeq(Report,ItemSeqID,ItemSN,ItemID) VALUES('PNLD',75,75,844)</v>
      </c>
      <c r="K78" t="str">
        <f t="shared" si="3"/>
        <v>INSERT INTO tbFinanceItem(ItemName) VALUES('(PNLD)Insurance Claim')</v>
      </c>
    </row>
    <row r="79" spans="1:12">
      <c r="A79" t="s">
        <v>74</v>
      </c>
      <c r="B79" t="s">
        <v>322</v>
      </c>
      <c r="C79">
        <f>D79+1</f>
        <v>76</v>
      </c>
      <c r="D79">
        <v>75</v>
      </c>
      <c r="E79">
        <v>76</v>
      </c>
      <c r="F79">
        <v>74</v>
      </c>
      <c r="G79">
        <v>1388</v>
      </c>
      <c r="H79" s="115" t="s">
        <v>2437</v>
      </c>
      <c r="I79" t="s">
        <v>397</v>
      </c>
      <c r="J79" t="str">
        <f t="shared" si="2"/>
        <v>INSERT INTO tbFinanceItemSeq(Report,ItemSeqID,ItemSN,ItemID) VALUES('PNLD',76,76,1388)</v>
      </c>
      <c r="K79" t="str">
        <f t="shared" si="3"/>
        <v/>
      </c>
    </row>
    <row r="80" spans="1:12">
      <c r="A80" t="s">
        <v>74</v>
      </c>
      <c r="B80" t="s">
        <v>322</v>
      </c>
      <c r="C80">
        <f>D80+1</f>
        <v>77</v>
      </c>
      <c r="D80">
        <v>76</v>
      </c>
      <c r="E80">
        <v>77</v>
      </c>
      <c r="F80">
        <v>75</v>
      </c>
      <c r="G80">
        <v>845</v>
      </c>
      <c r="H80" s="115" t="s">
        <v>2438</v>
      </c>
      <c r="I80" t="s">
        <v>398</v>
      </c>
      <c r="J80" t="str">
        <f t="shared" si="2"/>
        <v>INSERT INTO tbFinanceItemSeq(Report,ItemSeqID,ItemSN,ItemID) VALUES('PNLD',77,77,845)</v>
      </c>
      <c r="K80" t="str">
        <f t="shared" si="3"/>
        <v/>
      </c>
    </row>
    <row r="81" spans="1:11">
      <c r="A81" t="s">
        <v>74</v>
      </c>
      <c r="B81" t="s">
        <v>322</v>
      </c>
      <c r="C81">
        <v>78</v>
      </c>
      <c r="D81">
        <v>78</v>
      </c>
      <c r="E81">
        <v>78</v>
      </c>
      <c r="F81">
        <v>77</v>
      </c>
      <c r="G81">
        <v>1050</v>
      </c>
      <c r="H81" s="117">
        <v>9001</v>
      </c>
      <c r="I81" t="s">
        <v>628</v>
      </c>
      <c r="J81" t="str">
        <f t="shared" si="2"/>
        <v>INSERT INTO tbFinanceItemSeq(Report,ItemSeqID,ItemSN,ItemID) VALUES('PNLD',78,78,1050)</v>
      </c>
      <c r="K81" t="str">
        <f t="shared" si="3"/>
        <v/>
      </c>
    </row>
    <row r="82" spans="1:11" s="2" customFormat="1">
      <c r="A82" s="2" t="s">
        <v>76</v>
      </c>
      <c r="B82" s="2" t="s">
        <v>322</v>
      </c>
      <c r="C82" s="2">
        <v>79</v>
      </c>
      <c r="D82" s="2">
        <v>79</v>
      </c>
      <c r="E82" s="2">
        <v>79</v>
      </c>
      <c r="F82" s="2">
        <v>78</v>
      </c>
      <c r="G82" s="2">
        <v>1051</v>
      </c>
      <c r="H82" s="117"/>
      <c r="I82" s="2" t="s">
        <v>629</v>
      </c>
      <c r="J82" s="2" t="str">
        <f t="shared" si="2"/>
        <v/>
      </c>
      <c r="K82" t="str">
        <f t="shared" si="3"/>
        <v/>
      </c>
    </row>
    <row r="83" spans="1:11" s="3" customFormat="1">
      <c r="A83" s="3" t="s">
        <v>75</v>
      </c>
      <c r="B83" s="3" t="s">
        <v>322</v>
      </c>
      <c r="C83" s="3">
        <v>79</v>
      </c>
      <c r="E83" s="3">
        <v>79</v>
      </c>
      <c r="G83" s="3" t="str">
        <f>CONCATENATE("(SELECT TOP 1 ItemID FROM tbFinanceItem where ItemName = '",I83,"')")</f>
        <v>(SELECT TOP 1 ItemID FROM tbFinanceItem where ItemName = '(PNLD)Share of Assoc/JV’s P&amp;L Credit')</v>
      </c>
      <c r="H83" s="117" t="s">
        <v>2439</v>
      </c>
      <c r="I83" s="3" t="s">
        <v>990</v>
      </c>
      <c r="J83" s="3" t="str">
        <f>IF(A83&lt;&gt;"Remove",CONCATENATE("INSERT INTO tbFinanceItemSeq(Report,ItemSeqID,ItemSN,ItemID) VALUES('",B83,"',",C83,",",E83,",",G83,")"),"")</f>
        <v>INSERT INTO tbFinanceItemSeq(Report,ItemSeqID,ItemSN,ItemID) VALUES('PNLD',79,79,(SELECT TOP 1 ItemID FROM tbFinanceItem where ItemName = '(PNLD)Share of Assoc/JV’s P&amp;L Credit'))</v>
      </c>
      <c r="K83" t="str">
        <f t="shared" si="3"/>
        <v>INSERT INTO tbFinanceItem(ItemName) VALUES('(PNLD)Share of Assoc/JV’s P&amp;L Credit')</v>
      </c>
    </row>
    <row r="84" spans="1:11" s="3" customFormat="1">
      <c r="A84" s="3" t="s">
        <v>75</v>
      </c>
      <c r="B84" s="3" t="s">
        <v>322</v>
      </c>
      <c r="C84" s="3">
        <v>80</v>
      </c>
      <c r="E84" s="3">
        <v>80</v>
      </c>
      <c r="G84" s="3" t="str">
        <f>CONCATENATE("(SELECT TOP 1 ItemID FROM tbFinanceItem where ItemName = '",I84,"')")</f>
        <v>(SELECT TOP 1 ItemID FROM tbFinanceItem where ItemName = '(PNLD)Gain on Disposal of Investment')</v>
      </c>
      <c r="H84" s="117" t="s">
        <v>2440</v>
      </c>
      <c r="I84" s="3" t="s">
        <v>975</v>
      </c>
      <c r="J84" s="3" t="str">
        <f t="shared" si="2"/>
        <v>INSERT INTO tbFinanceItemSeq(Report,ItemSeqID,ItemSN,ItemID) VALUES('PNLD',80,80,(SELECT TOP 1 ItemID FROM tbFinanceItem where ItemName = '(PNLD)Gain on Disposal of Investment'))</v>
      </c>
      <c r="K84" t="str">
        <f t="shared" si="3"/>
        <v>INSERT INTO tbFinanceItem(ItemName) VALUES('(PNLD)Gain on Disposal of Investment')</v>
      </c>
    </row>
    <row r="85" spans="1:11">
      <c r="A85" s="3" t="s">
        <v>75</v>
      </c>
      <c r="B85" s="3" t="s">
        <v>322</v>
      </c>
      <c r="C85" s="3">
        <v>81</v>
      </c>
      <c r="D85" s="3"/>
      <c r="E85" s="3">
        <v>81</v>
      </c>
      <c r="F85" s="3"/>
      <c r="G85" s="3" t="str">
        <f>CONCATENATE("(SELECT TOP 1 ItemID FROM tbFinanceItem where ItemName = '",I85,"')")</f>
        <v>(SELECT TOP 1 ItemID FROM tbFinanceItem where ItemName = '(PNLD)Gain on Asset Held for Sales')</v>
      </c>
      <c r="H85" s="117" t="s">
        <v>2441</v>
      </c>
      <c r="I85" s="3" t="s">
        <v>976</v>
      </c>
      <c r="J85" s="3" t="str">
        <f t="shared" si="2"/>
        <v>INSERT INTO tbFinanceItemSeq(Report,ItemSeqID,ItemSN,ItemID) VALUES('PNLD',81,81,(SELECT TOP 1 ItemID FROM tbFinanceItem where ItemName = '(PNLD)Gain on Asset Held for Sales'))</v>
      </c>
      <c r="K85" t="str">
        <f t="shared" si="3"/>
        <v>INSERT INTO tbFinanceItem(ItemName) VALUES('(PNLD)Gain on Asset Held for Sales')</v>
      </c>
    </row>
    <row r="86" spans="1:11">
      <c r="A86" t="s">
        <v>74</v>
      </c>
      <c r="B86" t="s">
        <v>322</v>
      </c>
      <c r="C86">
        <v>82</v>
      </c>
      <c r="D86">
        <v>77</v>
      </c>
      <c r="E86">
        <v>82</v>
      </c>
      <c r="F86">
        <v>76</v>
      </c>
      <c r="G86">
        <v>1349</v>
      </c>
      <c r="H86" s="116" t="s">
        <v>2442</v>
      </c>
      <c r="I86" t="s">
        <v>399</v>
      </c>
      <c r="J86" t="str">
        <f t="shared" si="2"/>
        <v>INSERT INTO tbFinanceItemSeq(Report,ItemSeqID,ItemSN,ItemID) VALUES('PNLD',82,82,1349)</v>
      </c>
      <c r="K86" t="str">
        <f t="shared" si="3"/>
        <v/>
      </c>
    </row>
    <row r="87" spans="1:11">
      <c r="A87" t="s">
        <v>74</v>
      </c>
      <c r="B87" t="s">
        <v>322</v>
      </c>
      <c r="C87">
        <v>83</v>
      </c>
      <c r="D87">
        <v>78</v>
      </c>
      <c r="E87">
        <v>83</v>
      </c>
      <c r="F87">
        <v>0</v>
      </c>
      <c r="G87">
        <v>846</v>
      </c>
      <c r="H87" s="121"/>
      <c r="I87" t="s">
        <v>400</v>
      </c>
      <c r="J87" t="str">
        <f t="shared" si="2"/>
        <v>INSERT INTO tbFinanceItemSeq(Report,ItemSeqID,ItemSN,ItemID) VALUES('PNLD',83,83,846)</v>
      </c>
      <c r="K87" t="str">
        <f t="shared" si="3"/>
        <v/>
      </c>
    </row>
    <row r="88" spans="1:11" s="3" customFormat="1">
      <c r="A88" s="3" t="s">
        <v>75</v>
      </c>
      <c r="B88" s="3" t="s">
        <v>322</v>
      </c>
      <c r="C88" s="3">
        <v>84</v>
      </c>
      <c r="E88" s="3">
        <v>84</v>
      </c>
      <c r="G88" s="3">
        <v>857</v>
      </c>
      <c r="H88" s="115" t="s">
        <v>2443</v>
      </c>
      <c r="I88" s="3" t="s">
        <v>411</v>
      </c>
      <c r="J88" s="3" t="str">
        <f t="shared" si="2"/>
        <v>INSERT INTO tbFinanceItemSeq(Report,ItemSeqID,ItemSN,ItemID) VALUES('PNLD',84,84,857)</v>
      </c>
      <c r="K88" t="str">
        <f t="shared" si="3"/>
        <v>INSERT INTO tbFinanceItem(ItemName) VALUES('(PNLD)Other Misc Expenses')</v>
      </c>
    </row>
    <row r="89" spans="1:11" s="3" customFormat="1">
      <c r="A89" s="3" t="s">
        <v>75</v>
      </c>
      <c r="B89" s="3" t="s">
        <v>322</v>
      </c>
      <c r="C89" s="3">
        <v>85</v>
      </c>
      <c r="D89" s="3">
        <v>323</v>
      </c>
      <c r="E89" s="3">
        <v>85</v>
      </c>
      <c r="F89" s="3">
        <v>321</v>
      </c>
      <c r="G89" s="3">
        <v>1067</v>
      </c>
      <c r="H89" s="114" t="s">
        <v>2444</v>
      </c>
      <c r="I89" s="3" t="s">
        <v>645</v>
      </c>
      <c r="J89" s="3" t="str">
        <f t="shared" si="2"/>
        <v>INSERT INTO tbFinanceItemSeq(Report,ItemSeqID,ItemSN,ItemID) VALUES('PNLD',85,85,1067)</v>
      </c>
      <c r="K89" t="str">
        <f t="shared" si="3"/>
        <v>INSERT INTO tbFinanceItem(ItemName) VALUES('(PNLD)Other Non-Operating Exps')</v>
      </c>
    </row>
    <row r="90" spans="1:11" s="3" customFormat="1">
      <c r="A90" s="3" t="s">
        <v>75</v>
      </c>
      <c r="B90" s="3" t="s">
        <v>322</v>
      </c>
      <c r="C90" s="3">
        <v>86</v>
      </c>
      <c r="D90" s="3">
        <v>312</v>
      </c>
      <c r="E90" s="3">
        <v>86</v>
      </c>
      <c r="F90" s="3">
        <v>310</v>
      </c>
      <c r="G90" s="3" t="str">
        <f>CONCATENATE("(SELECT TOP 1 ItemID FROM tbFinanceItem where ItemName = '",I90,"')")</f>
        <v>(SELECT TOP 1 ItemID FROM tbFinanceItem where ItemName = '(PNLD)Share of Assoc/JV’s P&amp;L Debit')</v>
      </c>
      <c r="H90" s="117" t="s">
        <v>2445</v>
      </c>
      <c r="I90" s="45" t="s">
        <v>991</v>
      </c>
      <c r="J90" s="3" t="str">
        <f t="shared" si="2"/>
        <v>INSERT INTO tbFinanceItemSeq(Report,ItemSeqID,ItemSN,ItemID) VALUES('PNLD',86,86,(SELECT TOP 1 ItemID FROM tbFinanceItem where ItemName = '(PNLD)Share of Assoc/JV’s P&amp;L Debit'))</v>
      </c>
      <c r="K90" t="str">
        <f t="shared" si="3"/>
        <v>INSERT INTO tbFinanceItem(ItemName) VALUES('(PNLD)Share of Assoc/JV’s P&amp;L Debit')</v>
      </c>
    </row>
    <row r="91" spans="1:11" s="3" customFormat="1">
      <c r="A91" s="3" t="s">
        <v>75</v>
      </c>
      <c r="B91" s="3" t="s">
        <v>322</v>
      </c>
      <c r="C91" s="3">
        <v>87</v>
      </c>
      <c r="D91" s="3">
        <v>314</v>
      </c>
      <c r="E91" s="3">
        <v>87</v>
      </c>
      <c r="F91" s="3">
        <v>312</v>
      </c>
      <c r="G91" s="3" t="str">
        <f>CONCATENATE("(SELECT TOP 1 ItemID FROM tbFinanceItem where ItemName = '",I91,"')")</f>
        <v>(SELECT TOP 1 ItemID FROM tbFinanceItem where ItemName = '(PNLD)Loss on Disposal of Investment')</v>
      </c>
      <c r="H91" s="117" t="s">
        <v>2446</v>
      </c>
      <c r="I91" s="3" t="s">
        <v>981</v>
      </c>
      <c r="J91" s="3" t="str">
        <f t="shared" si="2"/>
        <v>INSERT INTO tbFinanceItemSeq(Report,ItemSeqID,ItemSN,ItemID) VALUES('PNLD',87,87,(SELECT TOP 1 ItemID FROM tbFinanceItem where ItemName = '(PNLD)Loss on Disposal of Investment'))</v>
      </c>
      <c r="K91" t="str">
        <f t="shared" si="3"/>
        <v>INSERT INTO tbFinanceItem(ItemName) VALUES('(PNLD)Loss on Disposal of Investment')</v>
      </c>
    </row>
    <row r="92" spans="1:11" s="3" customFormat="1">
      <c r="A92" s="3" t="s">
        <v>75</v>
      </c>
      <c r="B92" s="3" t="s">
        <v>322</v>
      </c>
      <c r="C92" s="3">
        <v>88</v>
      </c>
      <c r="D92" s="3">
        <v>315</v>
      </c>
      <c r="E92" s="3">
        <v>88</v>
      </c>
      <c r="F92" s="3">
        <v>313</v>
      </c>
      <c r="G92" s="3" t="str">
        <f>CONCATENATE("(SELECT TOP 1 ItemID FROM tbFinanceItem where ItemName = '",I92,"')")</f>
        <v>(SELECT TOP 1 ItemID FROM tbFinanceItem where ItemName = '(PNLD)Loss on Asset Held for Sales')</v>
      </c>
      <c r="H92" s="117" t="s">
        <v>2447</v>
      </c>
      <c r="I92" s="3" t="s">
        <v>982</v>
      </c>
      <c r="J92" s="3" t="str">
        <f t="shared" si="2"/>
        <v>INSERT INTO tbFinanceItemSeq(Report,ItemSeqID,ItemSN,ItemID) VALUES('PNLD',88,88,(SELECT TOP 1 ItemID FROM tbFinanceItem where ItemName = '(PNLD)Loss on Asset Held for Sales'))</v>
      </c>
      <c r="K92" t="str">
        <f t="shared" si="3"/>
        <v>INSERT INTO tbFinanceItem(ItemName) VALUES('(PNLD)Loss on Asset Held for Sales')</v>
      </c>
    </row>
    <row r="93" spans="1:11" s="3" customFormat="1">
      <c r="A93" s="3" t="s">
        <v>75</v>
      </c>
      <c r="B93" s="3" t="s">
        <v>322</v>
      </c>
      <c r="C93" s="3">
        <v>89</v>
      </c>
      <c r="D93" s="3">
        <v>316</v>
      </c>
      <c r="E93" s="3">
        <v>89</v>
      </c>
      <c r="F93" s="3">
        <v>314</v>
      </c>
      <c r="G93" s="3">
        <v>1060</v>
      </c>
      <c r="H93" s="117">
        <v>9111</v>
      </c>
      <c r="I93" s="3" t="s">
        <v>638</v>
      </c>
      <c r="J93" s="3" t="str">
        <f t="shared" si="2"/>
        <v>INSERT INTO tbFinanceItemSeq(Report,ItemSeqID,ItemSN,ItemID) VALUES('PNLD',89,89,1060)</v>
      </c>
      <c r="K93" t="str">
        <f t="shared" si="3"/>
        <v>INSERT INTO tbFinanceItem(ItemName) VALUES('(PNLD)Impairm Loss on Subsidiaries')</v>
      </c>
    </row>
    <row r="94" spans="1:11" s="3" customFormat="1">
      <c r="A94" s="3" t="s">
        <v>75</v>
      </c>
      <c r="B94" s="3" t="s">
        <v>322</v>
      </c>
      <c r="C94" s="3">
        <v>90</v>
      </c>
      <c r="D94" s="3">
        <v>317</v>
      </c>
      <c r="E94" s="3">
        <v>90</v>
      </c>
      <c r="F94" s="3">
        <v>315</v>
      </c>
      <c r="G94" s="3">
        <v>1061</v>
      </c>
      <c r="H94" s="117">
        <v>9112</v>
      </c>
      <c r="I94" s="3" t="s">
        <v>639</v>
      </c>
      <c r="J94" s="3" t="str">
        <f t="shared" si="2"/>
        <v>INSERT INTO tbFinanceItemSeq(Report,ItemSeqID,ItemSN,ItemID) VALUES('PNLD',90,90,1061)</v>
      </c>
      <c r="K94" t="str">
        <f t="shared" si="3"/>
        <v>INSERT INTO tbFinanceItem(ItemName) VALUES('(PNLD)Impairm Loss on Assoc/JV/Rel Co')</v>
      </c>
    </row>
    <row r="95" spans="1:11" s="3" customFormat="1">
      <c r="A95" s="3" t="s">
        <v>75</v>
      </c>
      <c r="B95" s="3" t="s">
        <v>322</v>
      </c>
      <c r="C95" s="3">
        <v>91</v>
      </c>
      <c r="D95" s="3">
        <v>318</v>
      </c>
      <c r="E95" s="3">
        <v>91</v>
      </c>
      <c r="F95" s="3">
        <v>316</v>
      </c>
      <c r="G95" s="3">
        <v>1062</v>
      </c>
      <c r="H95" s="117">
        <v>9113</v>
      </c>
      <c r="I95" s="3" t="s">
        <v>640</v>
      </c>
      <c r="J95" s="3" t="str">
        <f t="shared" si="2"/>
        <v>INSERT INTO tbFinanceItemSeq(Report,ItemSeqID,ItemSN,ItemID) VALUES('PNLD',91,91,1062)</v>
      </c>
      <c r="K95" t="str">
        <f t="shared" si="3"/>
        <v>INSERT INTO tbFinanceItem(ItemName) VALUES('(PNLD)Impairm Loss-Property')</v>
      </c>
    </row>
    <row r="96" spans="1:11" s="3" customFormat="1">
      <c r="A96" s="3" t="s">
        <v>75</v>
      </c>
      <c r="B96" s="3" t="s">
        <v>322</v>
      </c>
      <c r="C96" s="3">
        <v>92</v>
      </c>
      <c r="D96" s="3">
        <v>319</v>
      </c>
      <c r="E96" s="3">
        <v>92</v>
      </c>
      <c r="F96" s="3">
        <v>317</v>
      </c>
      <c r="G96" s="3">
        <v>1063</v>
      </c>
      <c r="H96" s="117">
        <v>9114</v>
      </c>
      <c r="I96" s="3" t="s">
        <v>641</v>
      </c>
      <c r="J96" s="3" t="str">
        <f t="shared" si="2"/>
        <v>INSERT INTO tbFinanceItemSeq(Report,ItemSeqID,ItemSN,ItemID) VALUES('PNLD',92,92,1063)</v>
      </c>
      <c r="K96" t="str">
        <f t="shared" si="3"/>
        <v>INSERT INTO tbFinanceItem(ItemName) VALUES('(PNLD)Impairm Loss-Plant &amp; Equip')</v>
      </c>
    </row>
    <row r="97" spans="1:11" s="3" customFormat="1">
      <c r="A97" s="3" t="s">
        <v>75</v>
      </c>
      <c r="B97" s="3" t="s">
        <v>322</v>
      </c>
      <c r="C97" s="3">
        <v>93</v>
      </c>
      <c r="D97" s="3">
        <v>320</v>
      </c>
      <c r="E97" s="3">
        <v>93</v>
      </c>
      <c r="F97" s="3">
        <v>318</v>
      </c>
      <c r="G97" s="3">
        <v>1064</v>
      </c>
      <c r="H97" s="117">
        <v>9115</v>
      </c>
      <c r="I97" s="3" t="s">
        <v>642</v>
      </c>
      <c r="J97" s="3" t="str">
        <f t="shared" si="2"/>
        <v>INSERT INTO tbFinanceItemSeq(Report,ItemSeqID,ItemSN,ItemID) VALUES('PNLD',93,93,1064)</v>
      </c>
      <c r="K97" t="str">
        <f t="shared" si="3"/>
        <v>INSERT INTO tbFinanceItem(ItemName) VALUES('(PNLD)Impairm Loss-Investment')</v>
      </c>
    </row>
    <row r="98" spans="1:11" s="3" customFormat="1">
      <c r="A98" s="3" t="s">
        <v>75</v>
      </c>
      <c r="B98" s="3" t="s">
        <v>322</v>
      </c>
      <c r="C98" s="3">
        <v>94</v>
      </c>
      <c r="D98" s="3">
        <v>322</v>
      </c>
      <c r="E98" s="3">
        <v>94</v>
      </c>
      <c r="F98" s="3">
        <v>320</v>
      </c>
      <c r="G98" s="3">
        <v>1066</v>
      </c>
      <c r="H98" s="117">
        <v>9117</v>
      </c>
      <c r="I98" s="45" t="s">
        <v>644</v>
      </c>
      <c r="J98" s="3" t="str">
        <f t="shared" si="2"/>
        <v>INSERT INTO tbFinanceItemSeq(Report,ItemSeqID,ItemSN,ItemID) VALUES('PNLD',94,94,1066)</v>
      </c>
      <c r="K98" t="str">
        <f t="shared" si="3"/>
        <v>INSERT INTO tbFinanceItem(ItemName) VALUES('(PNLD)Impairm Loss-Others')</v>
      </c>
    </row>
    <row r="99" spans="1:11" s="3" customFormat="1">
      <c r="A99" s="3" t="s">
        <v>75</v>
      </c>
      <c r="B99" s="3" t="s">
        <v>322</v>
      </c>
      <c r="C99" s="3">
        <v>95</v>
      </c>
      <c r="D99" s="3">
        <v>324</v>
      </c>
      <c r="E99" s="3">
        <v>95</v>
      </c>
      <c r="F99" s="3">
        <v>322</v>
      </c>
      <c r="G99" s="3">
        <v>1068</v>
      </c>
      <c r="H99" s="117">
        <v>9121</v>
      </c>
      <c r="I99" s="3" t="s">
        <v>646</v>
      </c>
      <c r="J99" s="3" t="str">
        <f t="shared" si="2"/>
        <v>INSERT INTO tbFinanceItemSeq(Report,ItemSeqID,ItemSN,ItemID) VALUES('PNLD',95,95,1068)</v>
      </c>
      <c r="K99" t="str">
        <f t="shared" si="3"/>
        <v>INSERT INTO tbFinanceItem(ItemName) VALUES('(PNLD)Real Property Gain Tax')</v>
      </c>
    </row>
    <row r="100" spans="1:11" s="3" customFormat="1">
      <c r="A100" s="3" t="s">
        <v>75</v>
      </c>
      <c r="B100" s="3" t="s">
        <v>322</v>
      </c>
      <c r="C100" s="3">
        <v>96</v>
      </c>
      <c r="D100" s="3">
        <v>325</v>
      </c>
      <c r="E100" s="3">
        <v>96</v>
      </c>
      <c r="F100" s="3">
        <v>323</v>
      </c>
      <c r="G100" s="3">
        <v>1069</v>
      </c>
      <c r="H100" s="117">
        <v>9122</v>
      </c>
      <c r="I100" s="3" t="s">
        <v>647</v>
      </c>
      <c r="J100" s="3" t="str">
        <f t="shared" si="2"/>
        <v>INSERT INTO tbFinanceItemSeq(Report,ItemSeqID,ItemSN,ItemID) VALUES('PNLD',96,96,1069)</v>
      </c>
      <c r="K100" t="str">
        <f t="shared" si="3"/>
        <v>INSERT INTO tbFinanceItem(ItemName) VALUES('(PNLD)Foreign Withholding Tax')</v>
      </c>
    </row>
    <row r="101" spans="1:11" s="2" customFormat="1">
      <c r="A101" s="2" t="s">
        <v>76</v>
      </c>
      <c r="B101" s="2" t="s">
        <v>322</v>
      </c>
      <c r="C101" s="2">
        <v>85</v>
      </c>
      <c r="D101" s="2">
        <v>79</v>
      </c>
      <c r="E101" s="2">
        <v>85</v>
      </c>
      <c r="F101" s="2">
        <v>77</v>
      </c>
      <c r="G101" s="2">
        <v>847</v>
      </c>
      <c r="H101" s="117"/>
      <c r="I101" s="2" t="s">
        <v>401</v>
      </c>
      <c r="J101" s="2" t="str">
        <f t="shared" si="2"/>
        <v/>
      </c>
      <c r="K101" t="str">
        <f t="shared" si="3"/>
        <v/>
      </c>
    </row>
    <row r="102" spans="1:11" s="2" customFormat="1">
      <c r="A102" s="2" t="s">
        <v>76</v>
      </c>
      <c r="B102" s="2" t="s">
        <v>322</v>
      </c>
      <c r="C102" s="2">
        <v>86</v>
      </c>
      <c r="D102" s="2">
        <v>80</v>
      </c>
      <c r="E102" s="2">
        <v>86</v>
      </c>
      <c r="F102" s="2">
        <v>78</v>
      </c>
      <c r="G102" s="2">
        <v>848</v>
      </c>
      <c r="H102" s="117"/>
      <c r="I102" s="2" t="s">
        <v>402</v>
      </c>
      <c r="J102" s="2" t="str">
        <f t="shared" si="2"/>
        <v/>
      </c>
      <c r="K102" t="str">
        <f t="shared" si="3"/>
        <v/>
      </c>
    </row>
    <row r="103" spans="1:11" s="2" customFormat="1">
      <c r="A103" s="2" t="s">
        <v>76</v>
      </c>
      <c r="B103" s="2" t="s">
        <v>322</v>
      </c>
      <c r="C103" s="2">
        <v>87</v>
      </c>
      <c r="D103" s="2">
        <v>81</v>
      </c>
      <c r="E103" s="2">
        <v>87</v>
      </c>
      <c r="F103" s="2">
        <v>79</v>
      </c>
      <c r="G103" s="2">
        <v>849</v>
      </c>
      <c r="H103" s="117"/>
      <c r="I103" s="2" t="s">
        <v>403</v>
      </c>
      <c r="J103" s="2" t="str">
        <f t="shared" si="2"/>
        <v/>
      </c>
      <c r="K103" t="str">
        <f t="shared" si="3"/>
        <v/>
      </c>
    </row>
    <row r="104" spans="1:11">
      <c r="A104" t="s">
        <v>74</v>
      </c>
      <c r="B104" t="s">
        <v>322</v>
      </c>
      <c r="C104">
        <v>97</v>
      </c>
      <c r="D104">
        <v>82</v>
      </c>
      <c r="E104">
        <v>97</v>
      </c>
      <c r="F104">
        <v>80</v>
      </c>
      <c r="G104">
        <v>850</v>
      </c>
      <c r="H104" s="117">
        <v>9131</v>
      </c>
      <c r="I104" t="s">
        <v>404</v>
      </c>
      <c r="J104" t="str">
        <f t="shared" si="2"/>
        <v>INSERT INTO tbFinanceItemSeq(Report,ItemSeqID,ItemSN,ItemID) VALUES('PNLD',97,97,850)</v>
      </c>
      <c r="K104" t="str">
        <f t="shared" si="3"/>
        <v/>
      </c>
    </row>
    <row r="105" spans="1:11">
      <c r="A105" t="s">
        <v>74</v>
      </c>
      <c r="B105" t="s">
        <v>322</v>
      </c>
      <c r="C105">
        <v>98</v>
      </c>
      <c r="D105">
        <v>83</v>
      </c>
      <c r="E105">
        <v>98</v>
      </c>
      <c r="F105">
        <v>81</v>
      </c>
      <c r="G105">
        <v>851</v>
      </c>
      <c r="H105" s="117">
        <v>9132</v>
      </c>
      <c r="I105" t="s">
        <v>405</v>
      </c>
      <c r="J105" t="str">
        <f t="shared" si="2"/>
        <v>INSERT INTO tbFinanceItemSeq(Report,ItemSeqID,ItemSN,ItemID) VALUES('PNLD',98,98,851)</v>
      </c>
      <c r="K105" t="str">
        <f t="shared" si="3"/>
        <v/>
      </c>
    </row>
    <row r="106" spans="1:11">
      <c r="A106" t="s">
        <v>74</v>
      </c>
      <c r="B106" t="s">
        <v>322</v>
      </c>
      <c r="C106">
        <v>99</v>
      </c>
      <c r="D106">
        <v>80</v>
      </c>
      <c r="E106">
        <v>99</v>
      </c>
      <c r="F106">
        <v>78</v>
      </c>
      <c r="G106">
        <v>849</v>
      </c>
      <c r="H106">
        <v>9133</v>
      </c>
      <c r="I106" t="s">
        <v>403</v>
      </c>
      <c r="J106" t="str">
        <f t="shared" si="2"/>
        <v>INSERT INTO tbFinanceItemSeq(Report,ItemSeqID,ItemSN,ItemID) VALUES('PNLD',99,99,849)</v>
      </c>
      <c r="K106" t="str">
        <f t="shared" si="3"/>
        <v/>
      </c>
    </row>
    <row r="107" spans="1:11" s="2" customFormat="1">
      <c r="A107" s="2" t="s">
        <v>76</v>
      </c>
      <c r="B107" s="2" t="s">
        <v>322</v>
      </c>
      <c r="C107" s="2">
        <v>90</v>
      </c>
      <c r="D107" s="2">
        <v>84</v>
      </c>
      <c r="E107" s="2">
        <v>90</v>
      </c>
      <c r="F107" s="2">
        <v>82</v>
      </c>
      <c r="G107" s="2">
        <v>852</v>
      </c>
      <c r="H107" s="117"/>
      <c r="I107" s="2" t="s">
        <v>406</v>
      </c>
      <c r="J107" s="2" t="str">
        <f t="shared" si="2"/>
        <v/>
      </c>
      <c r="K107" t="str">
        <f t="shared" si="3"/>
        <v/>
      </c>
    </row>
    <row r="108" spans="1:11" s="2" customFormat="1">
      <c r="A108" s="2" t="s">
        <v>76</v>
      </c>
      <c r="B108" s="2" t="s">
        <v>322</v>
      </c>
      <c r="C108" s="2">
        <v>91</v>
      </c>
      <c r="D108" s="2">
        <v>85</v>
      </c>
      <c r="E108" s="2">
        <v>91</v>
      </c>
      <c r="F108" s="2">
        <v>83</v>
      </c>
      <c r="G108" s="2">
        <v>853</v>
      </c>
      <c r="H108" s="117"/>
      <c r="I108" s="2" t="s">
        <v>407</v>
      </c>
      <c r="J108" s="2" t="str">
        <f t="shared" si="2"/>
        <v/>
      </c>
      <c r="K108" t="str">
        <f t="shared" si="3"/>
        <v/>
      </c>
    </row>
    <row r="109" spans="1:11" s="2" customFormat="1">
      <c r="A109" s="2" t="s">
        <v>76</v>
      </c>
      <c r="B109" s="2" t="s">
        <v>322</v>
      </c>
      <c r="C109" s="2">
        <v>92</v>
      </c>
      <c r="D109" s="2">
        <v>86</v>
      </c>
      <c r="E109" s="2">
        <v>92</v>
      </c>
      <c r="F109" s="2">
        <v>84</v>
      </c>
      <c r="G109" s="2">
        <v>854</v>
      </c>
      <c r="H109" s="117"/>
      <c r="I109" s="2" t="s">
        <v>408</v>
      </c>
      <c r="J109" s="2" t="str">
        <f t="shared" si="2"/>
        <v/>
      </c>
      <c r="K109" t="str">
        <f t="shared" si="3"/>
        <v/>
      </c>
    </row>
    <row r="110" spans="1:11" s="2" customFormat="1">
      <c r="A110" s="2" t="s">
        <v>76</v>
      </c>
      <c r="B110" s="2" t="s">
        <v>322</v>
      </c>
      <c r="C110" s="2">
        <v>93</v>
      </c>
      <c r="D110" s="2">
        <v>87</v>
      </c>
      <c r="E110" s="2">
        <v>93</v>
      </c>
      <c r="F110" s="2">
        <v>85</v>
      </c>
      <c r="G110" s="2">
        <v>855</v>
      </c>
      <c r="H110" s="117"/>
      <c r="I110" s="2" t="s">
        <v>409</v>
      </c>
      <c r="J110" s="2" t="str">
        <f t="shared" si="2"/>
        <v/>
      </c>
      <c r="K110" t="str">
        <f t="shared" si="3"/>
        <v/>
      </c>
    </row>
    <row r="111" spans="1:11" s="2" customFormat="1">
      <c r="A111" s="2" t="s">
        <v>76</v>
      </c>
      <c r="B111" s="2" t="s">
        <v>322</v>
      </c>
      <c r="C111" s="2">
        <v>94</v>
      </c>
      <c r="D111" s="2">
        <v>88</v>
      </c>
      <c r="E111" s="2">
        <v>94</v>
      </c>
      <c r="F111" s="2">
        <v>86</v>
      </c>
      <c r="G111" s="2">
        <v>856</v>
      </c>
      <c r="H111" s="117"/>
      <c r="I111" s="2" t="s">
        <v>410</v>
      </c>
      <c r="J111" s="2" t="str">
        <f t="shared" si="2"/>
        <v/>
      </c>
      <c r="K111" t="str">
        <f t="shared" si="3"/>
        <v/>
      </c>
    </row>
    <row r="112" spans="1:11" s="2" customFormat="1">
      <c r="A112" s="2" t="s">
        <v>76</v>
      </c>
      <c r="B112" s="2" t="s">
        <v>322</v>
      </c>
      <c r="C112" s="2">
        <v>95</v>
      </c>
      <c r="D112" s="2">
        <v>89</v>
      </c>
      <c r="E112" s="2">
        <v>95</v>
      </c>
      <c r="F112" s="2">
        <v>87</v>
      </c>
      <c r="G112" s="2">
        <v>857</v>
      </c>
      <c r="H112" s="117"/>
      <c r="I112" s="2" t="s">
        <v>411</v>
      </c>
      <c r="J112" s="2" t="str">
        <f t="shared" si="2"/>
        <v/>
      </c>
      <c r="K112" t="str">
        <f t="shared" si="3"/>
        <v/>
      </c>
    </row>
    <row r="113" spans="1:11">
      <c r="A113" t="s">
        <v>74</v>
      </c>
      <c r="B113" t="s">
        <v>322</v>
      </c>
      <c r="C113">
        <v>100</v>
      </c>
      <c r="D113">
        <v>90</v>
      </c>
      <c r="E113">
        <v>100</v>
      </c>
      <c r="F113">
        <v>88</v>
      </c>
      <c r="G113">
        <v>1350</v>
      </c>
      <c r="H113" s="116" t="s">
        <v>2448</v>
      </c>
      <c r="I113" t="s">
        <v>412</v>
      </c>
      <c r="J113" t="str">
        <f t="shared" si="2"/>
        <v>INSERT INTO tbFinanceItemSeq(Report,ItemSeqID,ItemSN,ItemID) VALUES('PNLD',100,100,1350)</v>
      </c>
      <c r="K113" t="str">
        <f t="shared" si="3"/>
        <v/>
      </c>
    </row>
    <row r="114" spans="1:11">
      <c r="A114" t="s">
        <v>74</v>
      </c>
      <c r="B114" t="s">
        <v>322</v>
      </c>
      <c r="C114">
        <v>101</v>
      </c>
      <c r="D114">
        <v>91</v>
      </c>
      <c r="E114">
        <v>101</v>
      </c>
      <c r="F114">
        <v>89</v>
      </c>
      <c r="G114">
        <v>858</v>
      </c>
      <c r="H114" s="116" t="s">
        <v>2449</v>
      </c>
      <c r="I114" t="s">
        <v>413</v>
      </c>
      <c r="J114" t="str">
        <f t="shared" si="2"/>
        <v>INSERT INTO tbFinanceItemSeq(Report,ItemSeqID,ItemSN,ItemID) VALUES('PNLD',101,101,858)</v>
      </c>
      <c r="K114" t="str">
        <f t="shared" si="3"/>
        <v/>
      </c>
    </row>
    <row r="115" spans="1:11">
      <c r="A115" t="s">
        <v>74</v>
      </c>
      <c r="B115" t="s">
        <v>322</v>
      </c>
      <c r="C115">
        <v>102</v>
      </c>
      <c r="D115">
        <v>92</v>
      </c>
      <c r="E115">
        <v>102</v>
      </c>
      <c r="F115">
        <v>90</v>
      </c>
      <c r="G115">
        <v>860</v>
      </c>
      <c r="H115" s="114" t="s">
        <v>2450</v>
      </c>
      <c r="I115" t="s">
        <v>414</v>
      </c>
      <c r="J115" t="str">
        <f t="shared" si="2"/>
        <v>INSERT INTO tbFinanceItemSeq(Report,ItemSeqID,ItemSN,ItemID) VALUES('PNLD',102,102,860)</v>
      </c>
      <c r="K115" t="str">
        <f t="shared" si="3"/>
        <v/>
      </c>
    </row>
    <row r="116" spans="1:11">
      <c r="A116" t="s">
        <v>74</v>
      </c>
      <c r="B116" t="s">
        <v>322</v>
      </c>
      <c r="C116">
        <v>103</v>
      </c>
      <c r="D116">
        <v>93</v>
      </c>
      <c r="E116">
        <v>103</v>
      </c>
      <c r="F116">
        <v>91</v>
      </c>
      <c r="G116">
        <v>861</v>
      </c>
      <c r="H116" s="114" t="s">
        <v>2451</v>
      </c>
      <c r="I116" t="s">
        <v>415</v>
      </c>
      <c r="J116" t="str">
        <f t="shared" si="2"/>
        <v>INSERT INTO tbFinanceItemSeq(Report,ItemSeqID,ItemSN,ItemID) VALUES('PNLD',103,103,861)</v>
      </c>
      <c r="K116" t="str">
        <f t="shared" si="3"/>
        <v/>
      </c>
    </row>
    <row r="117" spans="1:11">
      <c r="A117" t="s">
        <v>74</v>
      </c>
      <c r="B117" t="s">
        <v>322</v>
      </c>
      <c r="C117">
        <v>104</v>
      </c>
      <c r="D117">
        <v>94</v>
      </c>
      <c r="E117">
        <v>104</v>
      </c>
      <c r="F117">
        <v>92</v>
      </c>
      <c r="G117">
        <v>862</v>
      </c>
      <c r="H117" s="114" t="s">
        <v>2452</v>
      </c>
      <c r="I117" t="s">
        <v>416</v>
      </c>
      <c r="J117" t="str">
        <f t="shared" si="2"/>
        <v>INSERT INTO tbFinanceItemSeq(Report,ItemSeqID,ItemSN,ItemID) VALUES('PNLD',104,104,862)</v>
      </c>
      <c r="K117" t="str">
        <f t="shared" si="3"/>
        <v/>
      </c>
    </row>
    <row r="118" spans="1:11">
      <c r="A118" t="s">
        <v>74</v>
      </c>
      <c r="B118" t="s">
        <v>322</v>
      </c>
      <c r="C118">
        <v>105</v>
      </c>
      <c r="D118">
        <v>95</v>
      </c>
      <c r="E118">
        <v>105</v>
      </c>
      <c r="F118">
        <v>93</v>
      </c>
      <c r="G118">
        <v>863</v>
      </c>
      <c r="H118" s="114" t="s">
        <v>2453</v>
      </c>
      <c r="I118" t="s">
        <v>417</v>
      </c>
      <c r="J118" t="str">
        <f t="shared" si="2"/>
        <v>INSERT INTO tbFinanceItemSeq(Report,ItemSeqID,ItemSN,ItemID) VALUES('PNLD',105,105,863)</v>
      </c>
      <c r="K118" t="str">
        <f t="shared" si="3"/>
        <v/>
      </c>
    </row>
    <row r="119" spans="1:11">
      <c r="A119" t="s">
        <v>74</v>
      </c>
      <c r="B119" t="s">
        <v>322</v>
      </c>
      <c r="C119">
        <v>106</v>
      </c>
      <c r="D119">
        <v>96</v>
      </c>
      <c r="E119">
        <v>106</v>
      </c>
      <c r="F119">
        <v>94</v>
      </c>
      <c r="G119">
        <v>864</v>
      </c>
      <c r="H119" s="114" t="s">
        <v>2454</v>
      </c>
      <c r="I119" t="s">
        <v>418</v>
      </c>
      <c r="J119" t="str">
        <f t="shared" si="2"/>
        <v>INSERT INTO tbFinanceItemSeq(Report,ItemSeqID,ItemSN,ItemID) VALUES('PNLD',106,106,864)</v>
      </c>
      <c r="K119" t="str">
        <f t="shared" si="3"/>
        <v/>
      </c>
    </row>
    <row r="120" spans="1:11">
      <c r="A120" t="s">
        <v>74</v>
      </c>
      <c r="B120" t="s">
        <v>322</v>
      </c>
      <c r="C120">
        <v>107</v>
      </c>
      <c r="D120">
        <v>97</v>
      </c>
      <c r="E120">
        <v>107</v>
      </c>
      <c r="F120">
        <v>95</v>
      </c>
      <c r="G120">
        <v>865</v>
      </c>
      <c r="H120" s="114" t="s">
        <v>2455</v>
      </c>
      <c r="I120" t="s">
        <v>419</v>
      </c>
      <c r="J120" t="str">
        <f t="shared" si="2"/>
        <v>INSERT INTO tbFinanceItemSeq(Report,ItemSeqID,ItemSN,ItemID) VALUES('PNLD',107,107,865)</v>
      </c>
      <c r="K120" t="str">
        <f t="shared" si="3"/>
        <v/>
      </c>
    </row>
    <row r="121" spans="1:11">
      <c r="A121" t="s">
        <v>74</v>
      </c>
      <c r="B121" t="s">
        <v>322</v>
      </c>
      <c r="C121">
        <v>108</v>
      </c>
      <c r="D121">
        <v>98</v>
      </c>
      <c r="E121">
        <v>108</v>
      </c>
      <c r="F121">
        <v>96</v>
      </c>
      <c r="G121">
        <v>866</v>
      </c>
      <c r="H121" s="114" t="s">
        <v>2456</v>
      </c>
      <c r="I121" t="s">
        <v>420</v>
      </c>
      <c r="J121" t="str">
        <f t="shared" si="2"/>
        <v>INSERT INTO tbFinanceItemSeq(Report,ItemSeqID,ItemSN,ItemID) VALUES('PNLD',108,108,866)</v>
      </c>
      <c r="K121" t="str">
        <f t="shared" si="3"/>
        <v/>
      </c>
    </row>
    <row r="122" spans="1:11">
      <c r="A122" t="s">
        <v>74</v>
      </c>
      <c r="B122" t="s">
        <v>322</v>
      </c>
      <c r="C122">
        <v>109</v>
      </c>
      <c r="D122">
        <v>99</v>
      </c>
      <c r="E122">
        <v>109</v>
      </c>
      <c r="F122">
        <v>97</v>
      </c>
      <c r="G122">
        <v>867</v>
      </c>
      <c r="H122" s="114" t="s">
        <v>2457</v>
      </c>
      <c r="I122" t="s">
        <v>421</v>
      </c>
      <c r="J122" t="str">
        <f t="shared" si="2"/>
        <v>INSERT INTO tbFinanceItemSeq(Report,ItemSeqID,ItemSN,ItemID) VALUES('PNLD',109,109,867)</v>
      </c>
      <c r="K122" t="str">
        <f t="shared" si="3"/>
        <v/>
      </c>
    </row>
    <row r="123" spans="1:11">
      <c r="A123" t="s">
        <v>74</v>
      </c>
      <c r="B123" t="s">
        <v>322</v>
      </c>
      <c r="C123">
        <v>110</v>
      </c>
      <c r="D123">
        <v>100</v>
      </c>
      <c r="E123">
        <v>110</v>
      </c>
      <c r="F123">
        <v>98</v>
      </c>
      <c r="G123">
        <v>868</v>
      </c>
      <c r="H123" s="114" t="s">
        <v>2458</v>
      </c>
      <c r="I123" t="s">
        <v>422</v>
      </c>
      <c r="J123" t="str">
        <f t="shared" si="2"/>
        <v>INSERT INTO tbFinanceItemSeq(Report,ItemSeqID,ItemSN,ItemID) VALUES('PNLD',110,110,868)</v>
      </c>
      <c r="K123" t="str">
        <f t="shared" si="3"/>
        <v/>
      </c>
    </row>
    <row r="124" spans="1:11">
      <c r="A124" t="s">
        <v>74</v>
      </c>
      <c r="B124" t="s">
        <v>322</v>
      </c>
      <c r="C124">
        <v>111</v>
      </c>
      <c r="D124">
        <v>101</v>
      </c>
      <c r="E124">
        <v>111</v>
      </c>
      <c r="F124">
        <v>99</v>
      </c>
      <c r="G124">
        <v>869</v>
      </c>
      <c r="H124" s="114" t="s">
        <v>2459</v>
      </c>
      <c r="I124" t="s">
        <v>423</v>
      </c>
      <c r="J124" t="str">
        <f t="shared" si="2"/>
        <v>INSERT INTO tbFinanceItemSeq(Report,ItemSeqID,ItemSN,ItemID) VALUES('PNLD',111,111,869)</v>
      </c>
      <c r="K124" t="str">
        <f t="shared" si="3"/>
        <v/>
      </c>
    </row>
    <row r="125" spans="1:11">
      <c r="A125" t="s">
        <v>74</v>
      </c>
      <c r="B125" t="s">
        <v>322</v>
      </c>
      <c r="C125">
        <v>112</v>
      </c>
      <c r="D125">
        <v>102</v>
      </c>
      <c r="E125">
        <v>112</v>
      </c>
      <c r="F125">
        <v>100</v>
      </c>
      <c r="G125">
        <v>870</v>
      </c>
      <c r="H125" s="114" t="s">
        <v>2460</v>
      </c>
      <c r="I125" t="s">
        <v>424</v>
      </c>
      <c r="J125" t="str">
        <f t="shared" si="2"/>
        <v>INSERT INTO tbFinanceItemSeq(Report,ItemSeqID,ItemSN,ItemID) VALUES('PNLD',112,112,870)</v>
      </c>
      <c r="K125" t="str">
        <f t="shared" si="3"/>
        <v/>
      </c>
    </row>
    <row r="126" spans="1:11">
      <c r="A126" t="s">
        <v>74</v>
      </c>
      <c r="B126" t="s">
        <v>322</v>
      </c>
      <c r="C126">
        <v>113</v>
      </c>
      <c r="D126">
        <v>103</v>
      </c>
      <c r="E126">
        <v>113</v>
      </c>
      <c r="F126">
        <v>101</v>
      </c>
      <c r="G126">
        <v>871</v>
      </c>
      <c r="H126" s="114" t="s">
        <v>2461</v>
      </c>
      <c r="I126" t="s">
        <v>425</v>
      </c>
      <c r="J126" t="str">
        <f t="shared" si="2"/>
        <v>INSERT INTO tbFinanceItemSeq(Report,ItemSeqID,ItemSN,ItemID) VALUES('PNLD',113,113,871)</v>
      </c>
      <c r="K126" t="str">
        <f t="shared" si="3"/>
        <v/>
      </c>
    </row>
    <row r="127" spans="1:11">
      <c r="A127" t="s">
        <v>74</v>
      </c>
      <c r="B127" t="s">
        <v>322</v>
      </c>
      <c r="C127">
        <v>114</v>
      </c>
      <c r="D127">
        <v>104</v>
      </c>
      <c r="E127">
        <v>114</v>
      </c>
      <c r="F127">
        <v>102</v>
      </c>
      <c r="G127">
        <v>872</v>
      </c>
      <c r="H127" s="114" t="s">
        <v>2462</v>
      </c>
      <c r="I127" t="s">
        <v>426</v>
      </c>
      <c r="J127" t="str">
        <f t="shared" si="2"/>
        <v>INSERT INTO tbFinanceItemSeq(Report,ItemSeqID,ItemSN,ItemID) VALUES('PNLD',114,114,872)</v>
      </c>
      <c r="K127" t="str">
        <f t="shared" si="3"/>
        <v/>
      </c>
    </row>
    <row r="128" spans="1:11">
      <c r="A128" t="s">
        <v>74</v>
      </c>
      <c r="B128" t="s">
        <v>322</v>
      </c>
      <c r="C128">
        <v>115</v>
      </c>
      <c r="D128">
        <v>105</v>
      </c>
      <c r="E128">
        <v>115</v>
      </c>
      <c r="F128">
        <v>103</v>
      </c>
      <c r="G128">
        <v>873</v>
      </c>
      <c r="H128" s="114" t="s">
        <v>2463</v>
      </c>
      <c r="I128" t="s">
        <v>427</v>
      </c>
      <c r="J128" t="str">
        <f t="shared" si="2"/>
        <v>INSERT INTO tbFinanceItemSeq(Report,ItemSeqID,ItemSN,ItemID) VALUES('PNLD',115,115,873)</v>
      </c>
      <c r="K128" t="str">
        <f t="shared" si="3"/>
        <v/>
      </c>
    </row>
    <row r="129" spans="1:11">
      <c r="A129" t="s">
        <v>74</v>
      </c>
      <c r="B129" t="s">
        <v>322</v>
      </c>
      <c r="C129">
        <v>116</v>
      </c>
      <c r="D129">
        <v>106</v>
      </c>
      <c r="E129">
        <v>116</v>
      </c>
      <c r="F129">
        <v>104</v>
      </c>
      <c r="G129">
        <v>874</v>
      </c>
      <c r="H129" s="114" t="s">
        <v>2464</v>
      </c>
      <c r="I129" t="s">
        <v>428</v>
      </c>
      <c r="J129" t="str">
        <f t="shared" si="2"/>
        <v>INSERT INTO tbFinanceItemSeq(Report,ItemSeqID,ItemSN,ItemID) VALUES('PNLD',116,116,874)</v>
      </c>
      <c r="K129" t="str">
        <f t="shared" si="3"/>
        <v/>
      </c>
    </row>
    <row r="130" spans="1:11">
      <c r="A130" t="s">
        <v>74</v>
      </c>
      <c r="B130" t="s">
        <v>322</v>
      </c>
      <c r="C130">
        <v>117</v>
      </c>
      <c r="D130">
        <v>107</v>
      </c>
      <c r="E130">
        <v>117</v>
      </c>
      <c r="F130">
        <v>105</v>
      </c>
      <c r="G130">
        <v>875</v>
      </c>
      <c r="H130" s="114" t="s">
        <v>2465</v>
      </c>
      <c r="I130" t="s">
        <v>429</v>
      </c>
      <c r="J130" t="str">
        <f t="shared" si="2"/>
        <v>INSERT INTO tbFinanceItemSeq(Report,ItemSeqID,ItemSN,ItemID) VALUES('PNLD',117,117,875)</v>
      </c>
      <c r="K130" t="str">
        <f t="shared" si="3"/>
        <v/>
      </c>
    </row>
    <row r="131" spans="1:11">
      <c r="A131" t="s">
        <v>74</v>
      </c>
      <c r="B131" t="s">
        <v>322</v>
      </c>
      <c r="C131">
        <v>118</v>
      </c>
      <c r="D131">
        <v>108</v>
      </c>
      <c r="E131">
        <v>118</v>
      </c>
      <c r="F131">
        <v>106</v>
      </c>
      <c r="G131">
        <v>876</v>
      </c>
      <c r="H131" s="114" t="s">
        <v>2466</v>
      </c>
      <c r="I131" t="s">
        <v>430</v>
      </c>
      <c r="J131" t="str">
        <f t="shared" si="2"/>
        <v>INSERT INTO tbFinanceItemSeq(Report,ItemSeqID,ItemSN,ItemID) VALUES('PNLD',118,118,876)</v>
      </c>
      <c r="K131" t="str">
        <f t="shared" ref="K131:K194" si="4">IF(A131&lt;&gt;"New","",CONCATENATE("INSERT INTO tbFinanceItem(ItemName) VALUES('",I131,"')"))</f>
        <v/>
      </c>
    </row>
    <row r="132" spans="1:11">
      <c r="A132" t="s">
        <v>74</v>
      </c>
      <c r="B132" t="s">
        <v>322</v>
      </c>
      <c r="C132">
        <v>119</v>
      </c>
      <c r="D132">
        <v>109</v>
      </c>
      <c r="E132">
        <v>119</v>
      </c>
      <c r="F132">
        <v>107</v>
      </c>
      <c r="G132">
        <v>877</v>
      </c>
      <c r="H132" s="114" t="s">
        <v>2467</v>
      </c>
      <c r="I132" t="s">
        <v>431</v>
      </c>
      <c r="J132" t="str">
        <f t="shared" si="2"/>
        <v>INSERT INTO tbFinanceItemSeq(Report,ItemSeqID,ItemSN,ItemID) VALUES('PNLD',119,119,877)</v>
      </c>
      <c r="K132" t="str">
        <f t="shared" si="4"/>
        <v/>
      </c>
    </row>
    <row r="133" spans="1:11">
      <c r="A133" t="s">
        <v>74</v>
      </c>
      <c r="B133" t="s">
        <v>322</v>
      </c>
      <c r="C133">
        <v>120</v>
      </c>
      <c r="D133">
        <v>110</v>
      </c>
      <c r="E133">
        <v>120</v>
      </c>
      <c r="F133">
        <v>108</v>
      </c>
      <c r="G133">
        <v>878</v>
      </c>
      <c r="H133" s="114" t="s">
        <v>2468</v>
      </c>
      <c r="I133" t="s">
        <v>432</v>
      </c>
      <c r="J133" t="str">
        <f t="shared" si="2"/>
        <v>INSERT INTO tbFinanceItemSeq(Report,ItemSeqID,ItemSN,ItemID) VALUES('PNLD',120,120,878)</v>
      </c>
      <c r="K133" t="str">
        <f t="shared" si="4"/>
        <v/>
      </c>
    </row>
    <row r="134" spans="1:11">
      <c r="A134" t="s">
        <v>74</v>
      </c>
      <c r="B134" t="s">
        <v>322</v>
      </c>
      <c r="C134">
        <v>121</v>
      </c>
      <c r="D134">
        <v>111</v>
      </c>
      <c r="E134">
        <v>121</v>
      </c>
      <c r="F134">
        <v>109</v>
      </c>
      <c r="G134">
        <v>879</v>
      </c>
      <c r="H134" s="114" t="s">
        <v>2469</v>
      </c>
      <c r="I134" t="s">
        <v>433</v>
      </c>
      <c r="J134" t="str">
        <f t="shared" si="2"/>
        <v>INSERT INTO tbFinanceItemSeq(Report,ItemSeqID,ItemSN,ItemID) VALUES('PNLD',121,121,879)</v>
      </c>
      <c r="K134" t="str">
        <f t="shared" si="4"/>
        <v/>
      </c>
    </row>
    <row r="135" spans="1:11">
      <c r="A135" t="s">
        <v>74</v>
      </c>
      <c r="B135" t="s">
        <v>322</v>
      </c>
      <c r="C135">
        <v>122</v>
      </c>
      <c r="D135">
        <v>112</v>
      </c>
      <c r="E135">
        <v>122</v>
      </c>
      <c r="F135">
        <v>110</v>
      </c>
      <c r="G135">
        <v>880</v>
      </c>
      <c r="H135" s="114" t="s">
        <v>2470</v>
      </c>
      <c r="I135" t="s">
        <v>434</v>
      </c>
      <c r="J135" t="str">
        <f t="shared" si="2"/>
        <v>INSERT INTO tbFinanceItemSeq(Report,ItemSeqID,ItemSN,ItemID) VALUES('PNLD',122,122,880)</v>
      </c>
      <c r="K135" t="str">
        <f t="shared" si="4"/>
        <v/>
      </c>
    </row>
    <row r="136" spans="1:11">
      <c r="A136" t="s">
        <v>74</v>
      </c>
      <c r="B136" t="s">
        <v>322</v>
      </c>
      <c r="C136">
        <v>123</v>
      </c>
      <c r="D136">
        <v>113</v>
      </c>
      <c r="E136">
        <v>123</v>
      </c>
      <c r="F136">
        <v>111</v>
      </c>
      <c r="G136">
        <v>881</v>
      </c>
      <c r="H136" s="122" t="s">
        <v>2471</v>
      </c>
      <c r="I136" t="s">
        <v>435</v>
      </c>
      <c r="J136" t="str">
        <f t="shared" si="2"/>
        <v>INSERT INTO tbFinanceItemSeq(Report,ItemSeqID,ItemSN,ItemID) VALUES('PNLD',123,123,881)</v>
      </c>
      <c r="K136" t="str">
        <f t="shared" si="4"/>
        <v/>
      </c>
    </row>
    <row r="137" spans="1:11">
      <c r="A137" t="s">
        <v>74</v>
      </c>
      <c r="B137" t="s">
        <v>322</v>
      </c>
      <c r="C137">
        <v>124</v>
      </c>
      <c r="D137">
        <v>114</v>
      </c>
      <c r="E137">
        <v>124</v>
      </c>
      <c r="F137">
        <v>112</v>
      </c>
      <c r="G137">
        <v>882</v>
      </c>
      <c r="H137" s="122" t="s">
        <v>2472</v>
      </c>
      <c r="I137" t="s">
        <v>436</v>
      </c>
      <c r="J137" t="str">
        <f t="shared" si="2"/>
        <v>INSERT INTO tbFinanceItemSeq(Report,ItemSeqID,ItemSN,ItemID) VALUES('PNLD',124,124,882)</v>
      </c>
      <c r="K137" t="str">
        <f t="shared" si="4"/>
        <v/>
      </c>
    </row>
    <row r="138" spans="1:11">
      <c r="A138" t="s">
        <v>74</v>
      </c>
      <c r="B138" t="s">
        <v>322</v>
      </c>
      <c r="C138">
        <v>125</v>
      </c>
      <c r="D138">
        <v>115</v>
      </c>
      <c r="E138">
        <v>125</v>
      </c>
      <c r="F138">
        <v>113</v>
      </c>
      <c r="G138">
        <v>883</v>
      </c>
      <c r="H138" s="122" t="s">
        <v>2473</v>
      </c>
      <c r="I138" t="s">
        <v>437</v>
      </c>
      <c r="J138" t="str">
        <f t="shared" si="2"/>
        <v>INSERT INTO tbFinanceItemSeq(Report,ItemSeqID,ItemSN,ItemID) VALUES('PNLD',125,125,883)</v>
      </c>
      <c r="K138" t="str">
        <f t="shared" si="4"/>
        <v/>
      </c>
    </row>
    <row r="139" spans="1:11">
      <c r="A139" t="s">
        <v>74</v>
      </c>
      <c r="B139" t="s">
        <v>322</v>
      </c>
      <c r="C139">
        <v>126</v>
      </c>
      <c r="D139">
        <v>116</v>
      </c>
      <c r="E139">
        <v>126</v>
      </c>
      <c r="F139">
        <v>114</v>
      </c>
      <c r="G139">
        <v>884</v>
      </c>
      <c r="H139" s="122" t="s">
        <v>2474</v>
      </c>
      <c r="I139" t="s">
        <v>438</v>
      </c>
      <c r="J139" t="str">
        <f t="shared" si="2"/>
        <v>INSERT INTO tbFinanceItemSeq(Report,ItemSeqID,ItemSN,ItemID) VALUES('PNLD',126,126,884)</v>
      </c>
      <c r="K139" t="str">
        <f t="shared" si="4"/>
        <v/>
      </c>
    </row>
    <row r="140" spans="1:11">
      <c r="A140" t="s">
        <v>74</v>
      </c>
      <c r="B140" t="s">
        <v>322</v>
      </c>
      <c r="C140">
        <v>127</v>
      </c>
      <c r="D140">
        <v>117</v>
      </c>
      <c r="E140">
        <v>127</v>
      </c>
      <c r="F140">
        <v>115</v>
      </c>
      <c r="G140">
        <v>885</v>
      </c>
      <c r="H140" s="122" t="s">
        <v>2475</v>
      </c>
      <c r="I140" t="s">
        <v>439</v>
      </c>
      <c r="J140" t="str">
        <f t="shared" si="2"/>
        <v>INSERT INTO tbFinanceItemSeq(Report,ItemSeqID,ItemSN,ItemID) VALUES('PNLD',127,127,885)</v>
      </c>
      <c r="K140" t="str">
        <f t="shared" si="4"/>
        <v/>
      </c>
    </row>
    <row r="141" spans="1:11">
      <c r="A141" t="s">
        <v>74</v>
      </c>
      <c r="B141" t="s">
        <v>322</v>
      </c>
      <c r="C141">
        <v>128</v>
      </c>
      <c r="D141">
        <v>118</v>
      </c>
      <c r="E141">
        <v>128</v>
      </c>
      <c r="F141">
        <v>116</v>
      </c>
      <c r="G141">
        <v>886</v>
      </c>
      <c r="H141" s="123" t="s">
        <v>2476</v>
      </c>
      <c r="I141" t="s">
        <v>440</v>
      </c>
      <c r="J141" t="str">
        <f t="shared" si="2"/>
        <v>INSERT INTO tbFinanceItemSeq(Report,ItemSeqID,ItemSN,ItemID) VALUES('PNLD',128,128,886)</v>
      </c>
      <c r="K141" t="str">
        <f t="shared" si="4"/>
        <v/>
      </c>
    </row>
    <row r="142" spans="1:11">
      <c r="A142" t="s">
        <v>74</v>
      </c>
      <c r="B142" t="s">
        <v>322</v>
      </c>
      <c r="C142">
        <v>129</v>
      </c>
      <c r="D142">
        <v>119</v>
      </c>
      <c r="E142">
        <v>129</v>
      </c>
      <c r="F142">
        <v>117</v>
      </c>
      <c r="G142">
        <v>1351</v>
      </c>
      <c r="H142" s="124" t="s">
        <v>2477</v>
      </c>
      <c r="I142" t="s">
        <v>441</v>
      </c>
      <c r="J142" t="str">
        <f t="shared" si="2"/>
        <v>INSERT INTO tbFinanceItemSeq(Report,ItemSeqID,ItemSN,ItemID) VALUES('PNLD',129,129,1351)</v>
      </c>
      <c r="K142" t="str">
        <f t="shared" si="4"/>
        <v/>
      </c>
    </row>
    <row r="143" spans="1:11">
      <c r="A143" t="s">
        <v>74</v>
      </c>
      <c r="B143" t="s">
        <v>322</v>
      </c>
      <c r="C143">
        <v>130</v>
      </c>
      <c r="D143">
        <v>120</v>
      </c>
      <c r="E143">
        <v>130</v>
      </c>
      <c r="F143">
        <v>118</v>
      </c>
      <c r="G143">
        <v>887</v>
      </c>
      <c r="H143" s="125" t="s">
        <v>2478</v>
      </c>
      <c r="I143" t="s">
        <v>442</v>
      </c>
      <c r="J143" t="str">
        <f t="shared" si="2"/>
        <v>INSERT INTO tbFinanceItemSeq(Report,ItemSeqID,ItemSN,ItemID) VALUES('PNLD',130,130,887)</v>
      </c>
      <c r="K143" t="str">
        <f t="shared" si="4"/>
        <v/>
      </c>
    </row>
    <row r="144" spans="1:11">
      <c r="A144" t="s">
        <v>74</v>
      </c>
      <c r="B144" t="s">
        <v>322</v>
      </c>
      <c r="C144">
        <v>131</v>
      </c>
      <c r="D144">
        <v>121</v>
      </c>
      <c r="E144">
        <v>131</v>
      </c>
      <c r="F144">
        <v>119</v>
      </c>
      <c r="G144">
        <v>888</v>
      </c>
      <c r="H144" s="122" t="s">
        <v>2479</v>
      </c>
      <c r="I144" t="s">
        <v>443</v>
      </c>
      <c r="J144" t="str">
        <f t="shared" si="2"/>
        <v>INSERT INTO tbFinanceItemSeq(Report,ItemSeqID,ItemSN,ItemID) VALUES('PNLD',131,131,888)</v>
      </c>
      <c r="K144" t="str">
        <f t="shared" si="4"/>
        <v/>
      </c>
    </row>
    <row r="145" spans="1:11">
      <c r="A145" t="s">
        <v>74</v>
      </c>
      <c r="B145" t="s">
        <v>322</v>
      </c>
      <c r="C145">
        <v>132</v>
      </c>
      <c r="D145">
        <v>122</v>
      </c>
      <c r="E145">
        <v>132</v>
      </c>
      <c r="F145">
        <v>120</v>
      </c>
      <c r="G145">
        <v>889</v>
      </c>
      <c r="H145" s="122" t="s">
        <v>2480</v>
      </c>
      <c r="I145" t="s">
        <v>444</v>
      </c>
      <c r="J145" t="str">
        <f t="shared" si="2"/>
        <v>INSERT INTO tbFinanceItemSeq(Report,ItemSeqID,ItemSN,ItemID) VALUES('PNLD',132,132,889)</v>
      </c>
      <c r="K145" t="str">
        <f t="shared" si="4"/>
        <v/>
      </c>
    </row>
    <row r="146" spans="1:11">
      <c r="A146" t="s">
        <v>74</v>
      </c>
      <c r="B146" t="s">
        <v>322</v>
      </c>
      <c r="C146">
        <v>133</v>
      </c>
      <c r="D146">
        <v>123</v>
      </c>
      <c r="E146">
        <v>133</v>
      </c>
      <c r="F146">
        <v>121</v>
      </c>
      <c r="G146">
        <v>890</v>
      </c>
      <c r="H146" s="122" t="s">
        <v>2481</v>
      </c>
      <c r="I146" t="s">
        <v>445</v>
      </c>
      <c r="J146" t="str">
        <f t="shared" si="2"/>
        <v>INSERT INTO tbFinanceItemSeq(Report,ItemSeqID,ItemSN,ItemID) VALUES('PNLD',133,133,890)</v>
      </c>
      <c r="K146" t="str">
        <f t="shared" si="4"/>
        <v/>
      </c>
    </row>
    <row r="147" spans="1:11">
      <c r="A147" t="s">
        <v>74</v>
      </c>
      <c r="B147" t="s">
        <v>322</v>
      </c>
      <c r="C147">
        <v>134</v>
      </c>
      <c r="D147">
        <v>124</v>
      </c>
      <c r="E147">
        <v>134</v>
      </c>
      <c r="F147">
        <v>122</v>
      </c>
      <c r="G147">
        <v>891</v>
      </c>
      <c r="H147" s="122" t="s">
        <v>2482</v>
      </c>
      <c r="I147" t="s">
        <v>446</v>
      </c>
      <c r="J147" t="str">
        <f t="shared" si="2"/>
        <v>INSERT INTO tbFinanceItemSeq(Report,ItemSeqID,ItemSN,ItemID) VALUES('PNLD',134,134,891)</v>
      </c>
      <c r="K147" t="str">
        <f t="shared" si="4"/>
        <v/>
      </c>
    </row>
    <row r="148" spans="1:11">
      <c r="A148" t="s">
        <v>74</v>
      </c>
      <c r="B148" t="s">
        <v>322</v>
      </c>
      <c r="C148">
        <v>135</v>
      </c>
      <c r="D148">
        <v>125</v>
      </c>
      <c r="E148">
        <v>135</v>
      </c>
      <c r="F148">
        <v>123</v>
      </c>
      <c r="G148">
        <v>892</v>
      </c>
      <c r="H148" s="122" t="s">
        <v>2483</v>
      </c>
      <c r="I148" t="s">
        <v>447</v>
      </c>
      <c r="J148" t="str">
        <f t="shared" si="2"/>
        <v>INSERT INTO tbFinanceItemSeq(Report,ItemSeqID,ItemSN,ItemID) VALUES('PNLD',135,135,892)</v>
      </c>
      <c r="K148" t="str">
        <f t="shared" si="4"/>
        <v/>
      </c>
    </row>
    <row r="149" spans="1:11">
      <c r="A149" t="s">
        <v>74</v>
      </c>
      <c r="B149" t="s">
        <v>322</v>
      </c>
      <c r="C149">
        <v>136</v>
      </c>
      <c r="D149">
        <v>126</v>
      </c>
      <c r="E149">
        <v>136</v>
      </c>
      <c r="F149">
        <v>124</v>
      </c>
      <c r="G149">
        <v>893</v>
      </c>
      <c r="H149" s="122" t="s">
        <v>2484</v>
      </c>
      <c r="I149" t="s">
        <v>448</v>
      </c>
      <c r="J149" t="str">
        <f t="shared" si="2"/>
        <v>INSERT INTO tbFinanceItemSeq(Report,ItemSeqID,ItemSN,ItemID) VALUES('PNLD',136,136,893)</v>
      </c>
      <c r="K149" t="str">
        <f t="shared" si="4"/>
        <v/>
      </c>
    </row>
    <row r="150" spans="1:11">
      <c r="A150" t="s">
        <v>74</v>
      </c>
      <c r="B150" t="s">
        <v>322</v>
      </c>
      <c r="C150">
        <v>137</v>
      </c>
      <c r="D150">
        <v>127</v>
      </c>
      <c r="E150">
        <v>137</v>
      </c>
      <c r="F150">
        <v>125</v>
      </c>
      <c r="G150">
        <v>894</v>
      </c>
      <c r="H150" s="123" t="s">
        <v>2485</v>
      </c>
      <c r="I150" t="s">
        <v>449</v>
      </c>
      <c r="J150" t="str">
        <f t="shared" si="2"/>
        <v>INSERT INTO tbFinanceItemSeq(Report,ItemSeqID,ItemSN,ItemID) VALUES('PNLD',137,137,894)</v>
      </c>
      <c r="K150" t="str">
        <f t="shared" si="4"/>
        <v/>
      </c>
    </row>
    <row r="151" spans="1:11">
      <c r="A151" t="s">
        <v>74</v>
      </c>
      <c r="B151" t="s">
        <v>322</v>
      </c>
      <c r="C151">
        <v>138</v>
      </c>
      <c r="D151">
        <v>128</v>
      </c>
      <c r="E151">
        <v>138</v>
      </c>
      <c r="F151">
        <v>126</v>
      </c>
      <c r="G151">
        <v>1352</v>
      </c>
      <c r="H151" s="124" t="s">
        <v>2486</v>
      </c>
      <c r="I151" t="s">
        <v>450</v>
      </c>
      <c r="J151" t="str">
        <f t="shared" si="2"/>
        <v>INSERT INTO tbFinanceItemSeq(Report,ItemSeqID,ItemSN,ItemID) VALUES('PNLD',138,138,1352)</v>
      </c>
      <c r="K151" t="str">
        <f t="shared" si="4"/>
        <v/>
      </c>
    </row>
    <row r="152" spans="1:11">
      <c r="A152" t="s">
        <v>74</v>
      </c>
      <c r="B152" t="s">
        <v>322</v>
      </c>
      <c r="C152">
        <v>139</v>
      </c>
      <c r="D152">
        <v>129</v>
      </c>
      <c r="E152">
        <v>139</v>
      </c>
      <c r="F152">
        <v>127</v>
      </c>
      <c r="G152">
        <v>895</v>
      </c>
      <c r="H152" s="125" t="s">
        <v>2487</v>
      </c>
      <c r="I152" t="s">
        <v>451</v>
      </c>
      <c r="J152" t="str">
        <f t="shared" si="2"/>
        <v>INSERT INTO tbFinanceItemSeq(Report,ItemSeqID,ItemSN,ItemID) VALUES('PNLD',139,139,895)</v>
      </c>
      <c r="K152" t="str">
        <f t="shared" si="4"/>
        <v/>
      </c>
    </row>
    <row r="153" spans="1:11" s="3" customFormat="1">
      <c r="A153" s="3" t="s">
        <v>75</v>
      </c>
      <c r="B153" s="3" t="s">
        <v>322</v>
      </c>
      <c r="C153" s="3">
        <v>140</v>
      </c>
      <c r="D153" s="3">
        <v>181</v>
      </c>
      <c r="E153" s="3">
        <v>140</v>
      </c>
      <c r="F153" s="3">
        <v>179</v>
      </c>
      <c r="G153" s="3">
        <v>1369</v>
      </c>
      <c r="H153" s="122" t="s">
        <v>2488</v>
      </c>
      <c r="I153" s="3" t="s">
        <v>503</v>
      </c>
      <c r="J153" s="3" t="str">
        <f>IF(A153&lt;&gt;"Remove",CONCATENATE("INSERT INTO tbFinanceItemSeq(Report,ItemSeqID,ItemSN,ItemID) VALUES('",B153,"',",C153,",",E153,",",G153,")"),"")</f>
        <v>INSERT INTO tbFinanceItemSeq(Report,ItemSeqID,ItemSN,ItemID) VALUES('PNLD',140,140,1369)</v>
      </c>
      <c r="K153" t="str">
        <f t="shared" si="4"/>
        <v>INSERT INTO tbFinanceItem(ItemName) VALUES('(PNLD)S&amp;D A&amp;P Marcom Exps')</v>
      </c>
    </row>
    <row r="154" spans="1:11">
      <c r="A154" t="s">
        <v>74</v>
      </c>
      <c r="B154" t="s">
        <v>322</v>
      </c>
      <c r="C154">
        <v>141</v>
      </c>
      <c r="D154">
        <v>130</v>
      </c>
      <c r="E154">
        <v>141</v>
      </c>
      <c r="F154">
        <v>128</v>
      </c>
      <c r="G154">
        <v>896</v>
      </c>
      <c r="H154" s="122" t="s">
        <v>2489</v>
      </c>
      <c r="I154" t="s">
        <v>452</v>
      </c>
      <c r="J154" t="str">
        <f t="shared" ref="J154:J222" si="5">IF(A154&lt;&gt;"Remove",CONCATENATE("INSERT INTO tbFinanceItemSeq(Report,ItemSeqID,ItemSN,ItemID) VALUES('",B154,"',",C154,",",E154,",",G154,")"),"")</f>
        <v>INSERT INTO tbFinanceItemSeq(Report,ItemSeqID,ItemSN,ItemID) VALUES('PNLD',141,141,896)</v>
      </c>
      <c r="K154" t="str">
        <f t="shared" si="4"/>
        <v/>
      </c>
    </row>
    <row r="155" spans="1:11">
      <c r="A155" t="s">
        <v>74</v>
      </c>
      <c r="B155" t="s">
        <v>322</v>
      </c>
      <c r="C155">
        <v>142</v>
      </c>
      <c r="D155">
        <v>131</v>
      </c>
      <c r="E155">
        <v>142</v>
      </c>
      <c r="F155">
        <v>129</v>
      </c>
      <c r="G155">
        <v>897</v>
      </c>
      <c r="H155" s="122" t="s">
        <v>2490</v>
      </c>
      <c r="I155" t="s">
        <v>453</v>
      </c>
      <c r="J155" t="str">
        <f t="shared" si="5"/>
        <v>INSERT INTO tbFinanceItemSeq(Report,ItemSeqID,ItemSN,ItemID) VALUES('PNLD',142,142,897)</v>
      </c>
      <c r="K155" t="str">
        <f t="shared" si="4"/>
        <v/>
      </c>
    </row>
    <row r="156" spans="1:11">
      <c r="A156" t="s">
        <v>74</v>
      </c>
      <c r="B156" t="s">
        <v>322</v>
      </c>
      <c r="C156">
        <v>143</v>
      </c>
      <c r="D156">
        <v>132</v>
      </c>
      <c r="E156">
        <v>143</v>
      </c>
      <c r="F156">
        <v>130</v>
      </c>
      <c r="G156">
        <v>898</v>
      </c>
      <c r="H156" s="123" t="s">
        <v>2491</v>
      </c>
      <c r="I156" t="s">
        <v>454</v>
      </c>
      <c r="J156" t="str">
        <f t="shared" si="5"/>
        <v>INSERT INTO tbFinanceItemSeq(Report,ItemSeqID,ItemSN,ItemID) VALUES('PNLD',143,143,898)</v>
      </c>
      <c r="K156" t="str">
        <f t="shared" si="4"/>
        <v/>
      </c>
    </row>
    <row r="157" spans="1:11">
      <c r="A157" t="s">
        <v>74</v>
      </c>
      <c r="B157" t="s">
        <v>322</v>
      </c>
      <c r="C157">
        <v>144</v>
      </c>
      <c r="D157">
        <v>133</v>
      </c>
      <c r="E157">
        <v>144</v>
      </c>
      <c r="F157">
        <v>131</v>
      </c>
      <c r="G157">
        <v>1375</v>
      </c>
      <c r="H157" s="124" t="s">
        <v>2492</v>
      </c>
      <c r="I157" t="s">
        <v>455</v>
      </c>
      <c r="J157" t="str">
        <f t="shared" si="5"/>
        <v>INSERT INTO tbFinanceItemSeq(Report,ItemSeqID,ItemSN,ItemID) VALUES('PNLD',144,144,1375)</v>
      </c>
      <c r="K157" t="str">
        <f t="shared" si="4"/>
        <v/>
      </c>
    </row>
    <row r="158" spans="1:11">
      <c r="A158" t="s">
        <v>74</v>
      </c>
      <c r="B158" t="s">
        <v>322</v>
      </c>
      <c r="C158">
        <v>145</v>
      </c>
      <c r="D158">
        <v>134</v>
      </c>
      <c r="E158">
        <v>145</v>
      </c>
      <c r="F158">
        <v>132</v>
      </c>
      <c r="G158">
        <v>899</v>
      </c>
      <c r="H158" s="125" t="s">
        <v>2493</v>
      </c>
      <c r="I158" t="s">
        <v>456</v>
      </c>
      <c r="J158" t="str">
        <f t="shared" si="5"/>
        <v>INSERT INTO tbFinanceItemSeq(Report,ItemSeqID,ItemSN,ItemID) VALUES('PNLD',145,145,899)</v>
      </c>
      <c r="K158" t="str">
        <f t="shared" si="4"/>
        <v/>
      </c>
    </row>
    <row r="159" spans="1:11">
      <c r="A159" t="s">
        <v>74</v>
      </c>
      <c r="B159" t="s">
        <v>322</v>
      </c>
      <c r="C159">
        <v>146</v>
      </c>
      <c r="D159">
        <v>135</v>
      </c>
      <c r="E159">
        <v>146</v>
      </c>
      <c r="F159">
        <v>133</v>
      </c>
      <c r="G159">
        <v>900</v>
      </c>
      <c r="H159" s="123" t="s">
        <v>2494</v>
      </c>
      <c r="I159" t="s">
        <v>457</v>
      </c>
      <c r="J159" t="str">
        <f t="shared" si="5"/>
        <v>INSERT INTO tbFinanceItemSeq(Report,ItemSeqID,ItemSN,ItemID) VALUES('PNLD',146,146,900)</v>
      </c>
      <c r="K159" t="str">
        <f t="shared" si="4"/>
        <v/>
      </c>
    </row>
    <row r="160" spans="1:11">
      <c r="A160" t="s">
        <v>74</v>
      </c>
      <c r="B160" t="s">
        <v>322</v>
      </c>
      <c r="C160">
        <v>147</v>
      </c>
      <c r="D160">
        <v>136</v>
      </c>
      <c r="E160">
        <v>147</v>
      </c>
      <c r="F160">
        <v>134</v>
      </c>
      <c r="G160">
        <v>1353</v>
      </c>
      <c r="H160" s="124" t="s">
        <v>2495</v>
      </c>
      <c r="I160" t="s">
        <v>458</v>
      </c>
      <c r="J160" t="str">
        <f t="shared" si="5"/>
        <v>INSERT INTO tbFinanceItemSeq(Report,ItemSeqID,ItemSN,ItemID) VALUES('PNLD',147,147,1353)</v>
      </c>
      <c r="K160" t="str">
        <f t="shared" si="4"/>
        <v/>
      </c>
    </row>
    <row r="161" spans="1:11">
      <c r="A161" t="s">
        <v>74</v>
      </c>
      <c r="B161" t="s">
        <v>322</v>
      </c>
      <c r="C161">
        <v>148</v>
      </c>
      <c r="D161">
        <v>137</v>
      </c>
      <c r="E161">
        <v>148</v>
      </c>
      <c r="F161">
        <v>135</v>
      </c>
      <c r="G161">
        <v>901</v>
      </c>
      <c r="H161" s="125" t="s">
        <v>2496</v>
      </c>
      <c r="I161" t="s">
        <v>459</v>
      </c>
      <c r="J161" t="str">
        <f t="shared" si="5"/>
        <v>INSERT INTO tbFinanceItemSeq(Report,ItemSeqID,ItemSN,ItemID) VALUES('PNLD',148,148,901)</v>
      </c>
      <c r="K161" t="str">
        <f t="shared" si="4"/>
        <v/>
      </c>
    </row>
    <row r="162" spans="1:11">
      <c r="A162" t="s">
        <v>74</v>
      </c>
      <c r="B162" t="s">
        <v>322</v>
      </c>
      <c r="C162">
        <v>149</v>
      </c>
      <c r="D162">
        <v>138</v>
      </c>
      <c r="E162">
        <v>149</v>
      </c>
      <c r="F162">
        <v>136</v>
      </c>
      <c r="G162">
        <v>902</v>
      </c>
      <c r="H162" s="122" t="s">
        <v>2497</v>
      </c>
      <c r="I162" t="s">
        <v>460</v>
      </c>
      <c r="J162" t="str">
        <f t="shared" si="5"/>
        <v>INSERT INTO tbFinanceItemSeq(Report,ItemSeqID,ItemSN,ItemID) VALUES('PNLD',149,149,902)</v>
      </c>
      <c r="K162" t="str">
        <f t="shared" si="4"/>
        <v/>
      </c>
    </row>
    <row r="163" spans="1:11">
      <c r="A163" t="s">
        <v>74</v>
      </c>
      <c r="B163" t="s">
        <v>322</v>
      </c>
      <c r="C163">
        <v>150</v>
      </c>
      <c r="D163">
        <v>139</v>
      </c>
      <c r="E163">
        <v>150</v>
      </c>
      <c r="F163">
        <v>137</v>
      </c>
      <c r="G163">
        <v>903</v>
      </c>
      <c r="H163" s="122" t="s">
        <v>2498</v>
      </c>
      <c r="I163" t="s">
        <v>461</v>
      </c>
      <c r="J163" t="str">
        <f t="shared" si="5"/>
        <v>INSERT INTO tbFinanceItemSeq(Report,ItemSeqID,ItemSN,ItemID) VALUES('PNLD',150,150,903)</v>
      </c>
      <c r="K163" t="str">
        <f t="shared" si="4"/>
        <v/>
      </c>
    </row>
    <row r="164" spans="1:11">
      <c r="A164" t="s">
        <v>74</v>
      </c>
      <c r="B164" t="s">
        <v>322</v>
      </c>
      <c r="C164">
        <v>151</v>
      </c>
      <c r="D164">
        <v>140</v>
      </c>
      <c r="E164">
        <v>151</v>
      </c>
      <c r="F164">
        <v>138</v>
      </c>
      <c r="G164">
        <v>904</v>
      </c>
      <c r="H164" s="122" t="s">
        <v>2499</v>
      </c>
      <c r="I164" t="s">
        <v>462</v>
      </c>
      <c r="J164" t="str">
        <f t="shared" si="5"/>
        <v>INSERT INTO tbFinanceItemSeq(Report,ItemSeqID,ItemSN,ItemID) VALUES('PNLD',151,151,904)</v>
      </c>
      <c r="K164" t="str">
        <f t="shared" si="4"/>
        <v/>
      </c>
    </row>
    <row r="165" spans="1:11">
      <c r="A165" t="s">
        <v>74</v>
      </c>
      <c r="B165" t="s">
        <v>322</v>
      </c>
      <c r="C165">
        <v>152</v>
      </c>
      <c r="D165">
        <v>141</v>
      </c>
      <c r="E165">
        <v>152</v>
      </c>
      <c r="F165">
        <v>139</v>
      </c>
      <c r="G165">
        <v>905</v>
      </c>
      <c r="H165" s="122" t="s">
        <v>2500</v>
      </c>
      <c r="I165" t="s">
        <v>463</v>
      </c>
      <c r="J165" t="str">
        <f t="shared" si="5"/>
        <v>INSERT INTO tbFinanceItemSeq(Report,ItemSeqID,ItemSN,ItemID) VALUES('PNLD',152,152,905)</v>
      </c>
      <c r="K165" t="str">
        <f t="shared" si="4"/>
        <v/>
      </c>
    </row>
    <row r="166" spans="1:11">
      <c r="A166" t="s">
        <v>74</v>
      </c>
      <c r="B166" t="s">
        <v>322</v>
      </c>
      <c r="C166">
        <v>153</v>
      </c>
      <c r="D166">
        <v>142</v>
      </c>
      <c r="E166">
        <v>153</v>
      </c>
      <c r="F166">
        <v>140</v>
      </c>
      <c r="G166">
        <v>906</v>
      </c>
      <c r="H166" s="122" t="s">
        <v>2501</v>
      </c>
      <c r="I166" t="s">
        <v>464</v>
      </c>
      <c r="J166" t="str">
        <f t="shared" si="5"/>
        <v>INSERT INTO tbFinanceItemSeq(Report,ItemSeqID,ItemSN,ItemID) VALUES('PNLD',153,153,906)</v>
      </c>
      <c r="K166" t="str">
        <f t="shared" si="4"/>
        <v/>
      </c>
    </row>
    <row r="167" spans="1:11">
      <c r="A167" t="s">
        <v>74</v>
      </c>
      <c r="B167" t="s">
        <v>322</v>
      </c>
      <c r="C167">
        <v>154</v>
      </c>
      <c r="D167">
        <v>143</v>
      </c>
      <c r="E167">
        <v>154</v>
      </c>
      <c r="F167">
        <v>141</v>
      </c>
      <c r="G167">
        <v>907</v>
      </c>
      <c r="H167" s="122" t="s">
        <v>2502</v>
      </c>
      <c r="I167" t="s">
        <v>465</v>
      </c>
      <c r="J167" t="str">
        <f t="shared" si="5"/>
        <v>INSERT INTO tbFinanceItemSeq(Report,ItemSeqID,ItemSN,ItemID) VALUES('PNLD',154,154,907)</v>
      </c>
      <c r="K167" t="str">
        <f t="shared" si="4"/>
        <v/>
      </c>
    </row>
    <row r="168" spans="1:11">
      <c r="A168" t="s">
        <v>74</v>
      </c>
      <c r="B168" t="s">
        <v>322</v>
      </c>
      <c r="C168">
        <v>155</v>
      </c>
      <c r="D168">
        <v>144</v>
      </c>
      <c r="E168">
        <v>155</v>
      </c>
      <c r="F168">
        <v>142</v>
      </c>
      <c r="G168">
        <v>908</v>
      </c>
      <c r="H168" s="122" t="s">
        <v>2503</v>
      </c>
      <c r="I168" t="s">
        <v>466</v>
      </c>
      <c r="J168" t="str">
        <f t="shared" si="5"/>
        <v>INSERT INTO tbFinanceItemSeq(Report,ItemSeqID,ItemSN,ItemID) VALUES('PNLD',155,155,908)</v>
      </c>
      <c r="K168" t="str">
        <f t="shared" si="4"/>
        <v/>
      </c>
    </row>
    <row r="169" spans="1:11">
      <c r="A169" t="s">
        <v>74</v>
      </c>
      <c r="B169" t="s">
        <v>322</v>
      </c>
      <c r="C169">
        <v>156</v>
      </c>
      <c r="D169">
        <v>145</v>
      </c>
      <c r="E169">
        <v>156</v>
      </c>
      <c r="F169">
        <v>143</v>
      </c>
      <c r="G169">
        <v>909</v>
      </c>
      <c r="H169" s="122" t="s">
        <v>2504</v>
      </c>
      <c r="I169" t="s">
        <v>467</v>
      </c>
      <c r="J169" t="str">
        <f t="shared" si="5"/>
        <v>INSERT INTO tbFinanceItemSeq(Report,ItemSeqID,ItemSN,ItemID) VALUES('PNLD',156,156,909)</v>
      </c>
      <c r="K169" t="str">
        <f t="shared" si="4"/>
        <v/>
      </c>
    </row>
    <row r="170" spans="1:11">
      <c r="A170" t="s">
        <v>74</v>
      </c>
      <c r="B170" t="s">
        <v>322</v>
      </c>
      <c r="C170">
        <v>157</v>
      </c>
      <c r="D170">
        <v>146</v>
      </c>
      <c r="E170">
        <v>157</v>
      </c>
      <c r="F170">
        <v>144</v>
      </c>
      <c r="G170">
        <v>910</v>
      </c>
      <c r="H170" s="123" t="s">
        <v>2505</v>
      </c>
      <c r="I170" t="s">
        <v>468</v>
      </c>
      <c r="J170" t="str">
        <f t="shared" si="5"/>
        <v>INSERT INTO tbFinanceItemSeq(Report,ItemSeqID,ItemSN,ItemID) VALUES('PNLD',157,157,910)</v>
      </c>
      <c r="K170" t="str">
        <f t="shared" si="4"/>
        <v/>
      </c>
    </row>
    <row r="171" spans="1:11">
      <c r="A171" t="s">
        <v>74</v>
      </c>
      <c r="B171" s="3" t="s">
        <v>322</v>
      </c>
      <c r="C171" s="3">
        <v>158</v>
      </c>
      <c r="D171" s="3"/>
      <c r="E171" s="3">
        <v>158</v>
      </c>
      <c r="F171" s="3"/>
      <c r="G171" s="3" t="str">
        <f>CONCATENATE("(SELECT ItemID FROM tbFinanceItem where ItemName = '",I171,"')")</f>
        <v>(SELECT ItemID FROM tbFinanceItem where ItemName = '(PNLD)S&amp;D Upkeep-Machinery')</v>
      </c>
      <c r="H171" s="126">
        <v>7411</v>
      </c>
      <c r="I171" s="3" t="s">
        <v>985</v>
      </c>
      <c r="J171" s="3" t="str">
        <f t="shared" si="5"/>
        <v>INSERT INTO tbFinanceItemSeq(Report,ItemSeqID,ItemSN,ItemID) VALUES('PNLD',158,158,(SELECT ItemID FROM tbFinanceItem where ItemName = '(PNLD)S&amp;D Upkeep-Machinery'))</v>
      </c>
      <c r="K171" t="str">
        <f t="shared" si="4"/>
        <v/>
      </c>
    </row>
    <row r="172" spans="1:11">
      <c r="A172" t="s">
        <v>74</v>
      </c>
      <c r="B172" s="3" t="s">
        <v>322</v>
      </c>
      <c r="C172" s="3">
        <v>159</v>
      </c>
      <c r="D172" s="3"/>
      <c r="E172" s="3">
        <v>159</v>
      </c>
      <c r="F172" s="3"/>
      <c r="G172" s="3" t="str">
        <f>CONCATENATE("(SELECT ItemID FROM tbFinanceItem where ItemName = '",I172,"')")</f>
        <v>(SELECT ItemID FROM tbFinanceItem where ItemName = '(PNLD)S&amp;D Upkeep-Equipment')</v>
      </c>
      <c r="H172" s="126">
        <v>7412</v>
      </c>
      <c r="I172" s="3" t="s">
        <v>984</v>
      </c>
      <c r="J172" s="3" t="str">
        <f t="shared" si="5"/>
        <v>INSERT INTO tbFinanceItemSeq(Report,ItemSeqID,ItemSN,ItemID) VALUES('PNLD',159,159,(SELECT ItemID FROM tbFinanceItem where ItemName = '(PNLD)S&amp;D Upkeep-Equipment'))</v>
      </c>
      <c r="K172" t="str">
        <f t="shared" si="4"/>
        <v/>
      </c>
    </row>
    <row r="173" spans="1:11">
      <c r="A173" t="s">
        <v>74</v>
      </c>
      <c r="B173" s="3" t="s">
        <v>322</v>
      </c>
      <c r="C173" s="3">
        <v>160</v>
      </c>
      <c r="D173" s="3"/>
      <c r="E173" s="3">
        <v>160</v>
      </c>
      <c r="F173" s="3"/>
      <c r="G173" s="3" t="str">
        <f>CONCATENATE("(SELECT ItemID FROM tbFinanceItem where ItemName = '",I173,"')")</f>
        <v>(SELECT ItemID FROM tbFinanceItem where ItemName = '(PNLD)S&amp;D Upkeep-Furniture &amp; Fitting')</v>
      </c>
      <c r="H173" s="126">
        <v>7413</v>
      </c>
      <c r="I173" s="3" t="s">
        <v>983</v>
      </c>
      <c r="J173" s="3" t="str">
        <f t="shared" si="5"/>
        <v>INSERT INTO tbFinanceItemSeq(Report,ItemSeqID,ItemSN,ItemID) VALUES('PNLD',160,160,(SELECT ItemID FROM tbFinanceItem where ItemName = '(PNLD)S&amp;D Upkeep-Furniture &amp; Fitting'))</v>
      </c>
      <c r="K173" t="str">
        <f t="shared" si="4"/>
        <v/>
      </c>
    </row>
    <row r="174" spans="1:11">
      <c r="A174" t="s">
        <v>74</v>
      </c>
      <c r="B174" s="3" t="s">
        <v>322</v>
      </c>
      <c r="C174" s="3">
        <v>161</v>
      </c>
      <c r="D174" s="3"/>
      <c r="E174" s="3">
        <v>161</v>
      </c>
      <c r="F174" s="3"/>
      <c r="G174" s="3" t="str">
        <f>CONCATENATE("(SELECT ItemID FROM tbFinanceItem where ItemName = '",I174,"')")</f>
        <v>(SELECT ItemID FROM tbFinanceItem where ItemName = '(PNLD)S&amp;D Upkeep-Office Equip')</v>
      </c>
      <c r="H174" s="126">
        <v>7414</v>
      </c>
      <c r="I174" s="3" t="s">
        <v>986</v>
      </c>
      <c r="J174" s="3" t="str">
        <f t="shared" si="5"/>
        <v>INSERT INTO tbFinanceItemSeq(Report,ItemSeqID,ItemSN,ItemID) VALUES('PNLD',161,161,(SELECT ItemID FROM tbFinanceItem where ItemName = '(PNLD)S&amp;D Upkeep-Office Equip'))</v>
      </c>
      <c r="K174" t="str">
        <f t="shared" si="4"/>
        <v/>
      </c>
    </row>
    <row r="175" spans="1:11">
      <c r="A175" t="s">
        <v>74</v>
      </c>
      <c r="B175" s="3" t="s">
        <v>322</v>
      </c>
      <c r="C175" s="3">
        <v>162</v>
      </c>
      <c r="D175" s="3"/>
      <c r="E175" s="3">
        <v>162</v>
      </c>
      <c r="F175" s="3"/>
      <c r="G175" s="3" t="str">
        <f>CONCATENATE("(SELECT ItemID FROM tbFinanceItem where ItemName = '",I175,"')")</f>
        <v>(SELECT ItemID FROM tbFinanceItem where ItemName = '(PNLD)S&amp;D Upkeep-Computers')</v>
      </c>
      <c r="H175" s="126">
        <v>7415</v>
      </c>
      <c r="I175" s="3" t="s">
        <v>987</v>
      </c>
      <c r="J175" s="3" t="str">
        <f t="shared" si="5"/>
        <v>INSERT INTO tbFinanceItemSeq(Report,ItemSeqID,ItemSN,ItemID) VALUES('PNLD',162,162,(SELECT ItemID FROM tbFinanceItem where ItemName = '(PNLD)S&amp;D Upkeep-Computers'))</v>
      </c>
      <c r="K175" t="str">
        <f t="shared" si="4"/>
        <v/>
      </c>
    </row>
    <row r="176" spans="1:11">
      <c r="A176" t="s">
        <v>74</v>
      </c>
      <c r="B176" t="s">
        <v>322</v>
      </c>
      <c r="C176">
        <v>163</v>
      </c>
      <c r="D176">
        <v>147</v>
      </c>
      <c r="E176">
        <v>163</v>
      </c>
      <c r="F176">
        <v>145</v>
      </c>
      <c r="G176">
        <v>1354</v>
      </c>
      <c r="H176" s="124" t="s">
        <v>2506</v>
      </c>
      <c r="I176" t="s">
        <v>469</v>
      </c>
      <c r="J176" t="str">
        <f t="shared" si="5"/>
        <v>INSERT INTO tbFinanceItemSeq(Report,ItemSeqID,ItemSN,ItemID) VALUES('PNLD',163,163,1354)</v>
      </c>
      <c r="K176" t="str">
        <f t="shared" si="4"/>
        <v/>
      </c>
    </row>
    <row r="177" spans="1:11">
      <c r="A177" t="s">
        <v>74</v>
      </c>
      <c r="B177" t="s">
        <v>322</v>
      </c>
      <c r="C177">
        <v>164</v>
      </c>
      <c r="D177">
        <v>148</v>
      </c>
      <c r="E177">
        <v>164</v>
      </c>
      <c r="F177">
        <v>146</v>
      </c>
      <c r="G177">
        <v>911</v>
      </c>
      <c r="H177" s="125" t="s">
        <v>2507</v>
      </c>
      <c r="I177" t="s">
        <v>470</v>
      </c>
      <c r="J177" t="str">
        <f t="shared" si="5"/>
        <v>INSERT INTO tbFinanceItemSeq(Report,ItemSeqID,ItemSN,ItemID) VALUES('PNLD',164,164,911)</v>
      </c>
      <c r="K177" t="str">
        <f t="shared" si="4"/>
        <v/>
      </c>
    </row>
    <row r="178" spans="1:11">
      <c r="A178" t="s">
        <v>74</v>
      </c>
      <c r="B178" t="s">
        <v>322</v>
      </c>
      <c r="C178">
        <v>165</v>
      </c>
      <c r="D178">
        <v>149</v>
      </c>
      <c r="E178">
        <v>165</v>
      </c>
      <c r="F178">
        <v>147</v>
      </c>
      <c r="G178">
        <v>912</v>
      </c>
      <c r="H178" s="122" t="s">
        <v>2508</v>
      </c>
      <c r="I178" t="s">
        <v>471</v>
      </c>
      <c r="J178" t="str">
        <f t="shared" si="5"/>
        <v>INSERT INTO tbFinanceItemSeq(Report,ItemSeqID,ItemSN,ItemID) VALUES('PNLD',165,165,912)</v>
      </c>
      <c r="K178" t="str">
        <f t="shared" si="4"/>
        <v/>
      </c>
    </row>
    <row r="179" spans="1:11">
      <c r="A179" t="s">
        <v>74</v>
      </c>
      <c r="B179" t="s">
        <v>322</v>
      </c>
      <c r="C179">
        <v>166</v>
      </c>
      <c r="D179">
        <v>150</v>
      </c>
      <c r="E179">
        <v>166</v>
      </c>
      <c r="F179">
        <v>148</v>
      </c>
      <c r="G179">
        <v>913</v>
      </c>
      <c r="H179" s="122" t="s">
        <v>2509</v>
      </c>
      <c r="I179" t="s">
        <v>472</v>
      </c>
      <c r="J179" t="str">
        <f t="shared" si="5"/>
        <v>INSERT INTO tbFinanceItemSeq(Report,ItemSeqID,ItemSN,ItemID) VALUES('PNLD',166,166,913)</v>
      </c>
      <c r="K179" t="str">
        <f t="shared" si="4"/>
        <v/>
      </c>
    </row>
    <row r="180" spans="1:11">
      <c r="A180" t="s">
        <v>74</v>
      </c>
      <c r="B180" t="s">
        <v>322</v>
      </c>
      <c r="C180">
        <v>167</v>
      </c>
      <c r="D180">
        <v>151</v>
      </c>
      <c r="E180">
        <v>167</v>
      </c>
      <c r="F180">
        <v>149</v>
      </c>
      <c r="G180">
        <v>914</v>
      </c>
      <c r="H180" s="122" t="s">
        <v>2510</v>
      </c>
      <c r="I180" t="s">
        <v>473</v>
      </c>
      <c r="J180" t="str">
        <f t="shared" si="5"/>
        <v>INSERT INTO tbFinanceItemSeq(Report,ItemSeqID,ItemSN,ItemID) VALUES('PNLD',167,167,914)</v>
      </c>
      <c r="K180" t="str">
        <f t="shared" si="4"/>
        <v/>
      </c>
    </row>
    <row r="181" spans="1:11">
      <c r="A181" t="s">
        <v>74</v>
      </c>
      <c r="B181" t="s">
        <v>322</v>
      </c>
      <c r="C181">
        <v>168</v>
      </c>
      <c r="D181">
        <v>152</v>
      </c>
      <c r="E181">
        <v>168</v>
      </c>
      <c r="F181">
        <v>150</v>
      </c>
      <c r="G181">
        <v>915</v>
      </c>
      <c r="H181" s="122" t="s">
        <v>2511</v>
      </c>
      <c r="I181" t="s">
        <v>474</v>
      </c>
      <c r="J181" t="str">
        <f t="shared" si="5"/>
        <v>INSERT INTO tbFinanceItemSeq(Report,ItemSeqID,ItemSN,ItemID) VALUES('PNLD',168,168,915)</v>
      </c>
      <c r="K181" t="str">
        <f t="shared" si="4"/>
        <v/>
      </c>
    </row>
    <row r="182" spans="1:11">
      <c r="A182" t="s">
        <v>74</v>
      </c>
      <c r="B182" t="s">
        <v>322</v>
      </c>
      <c r="C182">
        <v>169</v>
      </c>
      <c r="D182">
        <v>153</v>
      </c>
      <c r="E182">
        <v>169</v>
      </c>
      <c r="F182">
        <v>151</v>
      </c>
      <c r="G182">
        <v>916</v>
      </c>
      <c r="H182" s="122" t="s">
        <v>2512</v>
      </c>
      <c r="I182" t="s">
        <v>475</v>
      </c>
      <c r="J182" t="str">
        <f t="shared" si="5"/>
        <v>INSERT INTO tbFinanceItemSeq(Report,ItemSeqID,ItemSN,ItemID) VALUES('PNLD',169,169,916)</v>
      </c>
      <c r="K182" t="str">
        <f t="shared" si="4"/>
        <v/>
      </c>
    </row>
    <row r="183" spans="1:11">
      <c r="A183" t="s">
        <v>74</v>
      </c>
      <c r="B183" t="s">
        <v>322</v>
      </c>
      <c r="C183">
        <v>170</v>
      </c>
      <c r="D183">
        <v>154</v>
      </c>
      <c r="E183">
        <v>170</v>
      </c>
      <c r="F183">
        <v>152</v>
      </c>
      <c r="G183">
        <v>917</v>
      </c>
      <c r="H183" s="122" t="s">
        <v>2513</v>
      </c>
      <c r="I183" t="s">
        <v>476</v>
      </c>
      <c r="J183" t="str">
        <f t="shared" si="5"/>
        <v>INSERT INTO tbFinanceItemSeq(Report,ItemSeqID,ItemSN,ItemID) VALUES('PNLD',170,170,917)</v>
      </c>
      <c r="K183" t="str">
        <f t="shared" si="4"/>
        <v/>
      </c>
    </row>
    <row r="184" spans="1:11">
      <c r="A184" t="s">
        <v>74</v>
      </c>
      <c r="B184" t="s">
        <v>322</v>
      </c>
      <c r="C184">
        <v>171</v>
      </c>
      <c r="D184">
        <v>155</v>
      </c>
      <c r="E184">
        <v>171</v>
      </c>
      <c r="F184">
        <v>153</v>
      </c>
      <c r="G184">
        <v>918</v>
      </c>
      <c r="H184" s="122" t="s">
        <v>2514</v>
      </c>
      <c r="I184" t="s">
        <v>477</v>
      </c>
      <c r="J184" t="str">
        <f t="shared" si="5"/>
        <v>INSERT INTO tbFinanceItemSeq(Report,ItemSeqID,ItemSN,ItemID) VALUES('PNLD',171,171,918)</v>
      </c>
      <c r="K184" t="str">
        <f t="shared" si="4"/>
        <v/>
      </c>
    </row>
    <row r="185" spans="1:11">
      <c r="A185" t="s">
        <v>74</v>
      </c>
      <c r="B185" t="s">
        <v>322</v>
      </c>
      <c r="C185">
        <v>172</v>
      </c>
      <c r="D185">
        <v>156</v>
      </c>
      <c r="E185">
        <v>172</v>
      </c>
      <c r="F185">
        <v>154</v>
      </c>
      <c r="G185">
        <v>919</v>
      </c>
      <c r="H185" s="123" t="s">
        <v>2515</v>
      </c>
      <c r="I185" t="s">
        <v>478</v>
      </c>
      <c r="J185" t="str">
        <f t="shared" si="5"/>
        <v>INSERT INTO tbFinanceItemSeq(Report,ItemSeqID,ItemSN,ItemID) VALUES('PNLD',172,172,919)</v>
      </c>
      <c r="K185" t="str">
        <f t="shared" si="4"/>
        <v/>
      </c>
    </row>
    <row r="186" spans="1:11">
      <c r="A186" t="s">
        <v>74</v>
      </c>
      <c r="B186" t="s">
        <v>322</v>
      </c>
      <c r="C186">
        <v>173</v>
      </c>
      <c r="D186">
        <v>157</v>
      </c>
      <c r="E186">
        <v>173</v>
      </c>
      <c r="F186">
        <v>155</v>
      </c>
      <c r="G186">
        <v>1355</v>
      </c>
      <c r="H186" s="124" t="s">
        <v>2516</v>
      </c>
      <c r="I186" t="s">
        <v>479</v>
      </c>
      <c r="J186" t="str">
        <f t="shared" si="5"/>
        <v>INSERT INTO tbFinanceItemSeq(Report,ItemSeqID,ItemSN,ItemID) VALUES('PNLD',173,173,1355)</v>
      </c>
      <c r="K186" t="str">
        <f t="shared" si="4"/>
        <v/>
      </c>
    </row>
    <row r="187" spans="1:11">
      <c r="A187" t="s">
        <v>74</v>
      </c>
      <c r="B187" t="s">
        <v>322</v>
      </c>
      <c r="C187">
        <v>174</v>
      </c>
      <c r="D187">
        <v>158</v>
      </c>
      <c r="E187">
        <v>174</v>
      </c>
      <c r="F187">
        <v>156</v>
      </c>
      <c r="G187">
        <v>920</v>
      </c>
      <c r="H187" s="125" t="s">
        <v>2517</v>
      </c>
      <c r="I187" t="s">
        <v>480</v>
      </c>
      <c r="J187" t="str">
        <f t="shared" si="5"/>
        <v>INSERT INTO tbFinanceItemSeq(Report,ItemSeqID,ItemSN,ItemID) VALUES('PNLD',174,174,920)</v>
      </c>
      <c r="K187" t="str">
        <f t="shared" si="4"/>
        <v/>
      </c>
    </row>
    <row r="188" spans="1:11">
      <c r="A188" t="s">
        <v>74</v>
      </c>
      <c r="B188" t="s">
        <v>322</v>
      </c>
      <c r="C188">
        <v>175</v>
      </c>
      <c r="D188">
        <v>159</v>
      </c>
      <c r="E188">
        <v>175</v>
      </c>
      <c r="F188">
        <v>157</v>
      </c>
      <c r="G188">
        <v>921</v>
      </c>
      <c r="H188" s="122" t="s">
        <v>2518</v>
      </c>
      <c r="I188" t="s">
        <v>481</v>
      </c>
      <c r="J188" t="str">
        <f t="shared" si="5"/>
        <v>INSERT INTO tbFinanceItemSeq(Report,ItemSeqID,ItemSN,ItemID) VALUES('PNLD',175,175,921)</v>
      </c>
      <c r="K188" t="str">
        <f t="shared" si="4"/>
        <v/>
      </c>
    </row>
    <row r="189" spans="1:11">
      <c r="A189" t="s">
        <v>74</v>
      </c>
      <c r="B189" t="s">
        <v>322</v>
      </c>
      <c r="C189">
        <v>176</v>
      </c>
      <c r="D189">
        <v>160</v>
      </c>
      <c r="E189">
        <v>176</v>
      </c>
      <c r="F189">
        <v>158</v>
      </c>
      <c r="G189">
        <v>922</v>
      </c>
      <c r="H189" s="122" t="s">
        <v>2519</v>
      </c>
      <c r="I189" t="s">
        <v>482</v>
      </c>
      <c r="J189" t="str">
        <f t="shared" si="5"/>
        <v>INSERT INTO tbFinanceItemSeq(Report,ItemSeqID,ItemSN,ItemID) VALUES('PNLD',176,176,922)</v>
      </c>
      <c r="K189" t="str">
        <f t="shared" si="4"/>
        <v/>
      </c>
    </row>
    <row r="190" spans="1:11">
      <c r="A190" t="s">
        <v>74</v>
      </c>
      <c r="B190" t="s">
        <v>322</v>
      </c>
      <c r="C190">
        <v>177</v>
      </c>
      <c r="D190">
        <v>161</v>
      </c>
      <c r="E190">
        <v>177</v>
      </c>
      <c r="F190">
        <v>159</v>
      </c>
      <c r="G190">
        <v>923</v>
      </c>
      <c r="H190" s="122" t="s">
        <v>2520</v>
      </c>
      <c r="I190" t="s">
        <v>483</v>
      </c>
      <c r="J190" t="str">
        <f t="shared" si="5"/>
        <v>INSERT INTO tbFinanceItemSeq(Report,ItemSeqID,ItemSN,ItemID) VALUES('PNLD',177,177,923)</v>
      </c>
      <c r="K190" t="str">
        <f t="shared" si="4"/>
        <v/>
      </c>
    </row>
    <row r="191" spans="1:11">
      <c r="A191" t="s">
        <v>74</v>
      </c>
      <c r="B191" t="s">
        <v>322</v>
      </c>
      <c r="C191">
        <v>178</v>
      </c>
      <c r="D191">
        <v>162</v>
      </c>
      <c r="E191">
        <v>178</v>
      </c>
      <c r="F191">
        <v>160</v>
      </c>
      <c r="G191">
        <v>924</v>
      </c>
      <c r="H191" s="122" t="s">
        <v>2521</v>
      </c>
      <c r="I191" t="s">
        <v>484</v>
      </c>
      <c r="J191" t="str">
        <f t="shared" si="5"/>
        <v>INSERT INTO tbFinanceItemSeq(Report,ItemSeqID,ItemSN,ItemID) VALUES('PNLD',178,178,924)</v>
      </c>
      <c r="K191" t="str">
        <f t="shared" si="4"/>
        <v/>
      </c>
    </row>
    <row r="192" spans="1:11">
      <c r="A192" t="s">
        <v>74</v>
      </c>
      <c r="B192" t="s">
        <v>322</v>
      </c>
      <c r="C192">
        <v>179</v>
      </c>
      <c r="D192">
        <v>163</v>
      </c>
      <c r="E192">
        <v>179</v>
      </c>
      <c r="F192">
        <v>161</v>
      </c>
      <c r="G192">
        <v>925</v>
      </c>
      <c r="H192" s="122" t="s">
        <v>2522</v>
      </c>
      <c r="I192" t="s">
        <v>485</v>
      </c>
      <c r="J192" t="str">
        <f t="shared" si="5"/>
        <v>INSERT INTO tbFinanceItemSeq(Report,ItemSeqID,ItemSN,ItemID) VALUES('PNLD',179,179,925)</v>
      </c>
      <c r="K192" t="str">
        <f t="shared" si="4"/>
        <v/>
      </c>
    </row>
    <row r="193" spans="1:11">
      <c r="A193" t="s">
        <v>74</v>
      </c>
      <c r="B193" t="s">
        <v>322</v>
      </c>
      <c r="C193">
        <v>180</v>
      </c>
      <c r="D193">
        <v>164</v>
      </c>
      <c r="E193">
        <v>180</v>
      </c>
      <c r="F193">
        <v>162</v>
      </c>
      <c r="G193">
        <v>926</v>
      </c>
      <c r="H193" s="122" t="s">
        <v>2523</v>
      </c>
      <c r="I193" t="s">
        <v>486</v>
      </c>
      <c r="J193" t="str">
        <f t="shared" si="5"/>
        <v>INSERT INTO tbFinanceItemSeq(Report,ItemSeqID,ItemSN,ItemID) VALUES('PNLD',180,180,926)</v>
      </c>
      <c r="K193" t="str">
        <f t="shared" si="4"/>
        <v/>
      </c>
    </row>
    <row r="194" spans="1:11">
      <c r="A194" t="s">
        <v>74</v>
      </c>
      <c r="B194" t="s">
        <v>322</v>
      </c>
      <c r="C194">
        <v>181</v>
      </c>
      <c r="D194">
        <v>165</v>
      </c>
      <c r="E194">
        <v>181</v>
      </c>
      <c r="F194">
        <v>163</v>
      </c>
      <c r="G194">
        <v>927</v>
      </c>
      <c r="H194" s="122" t="s">
        <v>2524</v>
      </c>
      <c r="I194" t="s">
        <v>487</v>
      </c>
      <c r="J194" t="str">
        <f t="shared" si="5"/>
        <v>INSERT INTO tbFinanceItemSeq(Report,ItemSeqID,ItemSN,ItemID) VALUES('PNLD',181,181,927)</v>
      </c>
      <c r="K194" t="str">
        <f t="shared" si="4"/>
        <v/>
      </c>
    </row>
    <row r="195" spans="1:11">
      <c r="A195" t="s">
        <v>74</v>
      </c>
      <c r="B195" t="s">
        <v>322</v>
      </c>
      <c r="C195">
        <v>182</v>
      </c>
      <c r="D195">
        <v>166</v>
      </c>
      <c r="E195">
        <v>182</v>
      </c>
      <c r="F195">
        <v>164</v>
      </c>
      <c r="G195">
        <v>928</v>
      </c>
      <c r="H195" s="122" t="s">
        <v>2525</v>
      </c>
      <c r="I195" t="s">
        <v>488</v>
      </c>
      <c r="J195" t="str">
        <f t="shared" si="5"/>
        <v>INSERT INTO tbFinanceItemSeq(Report,ItemSeqID,ItemSN,ItemID) VALUES('PNLD',182,182,928)</v>
      </c>
      <c r="K195" t="str">
        <f t="shared" ref="K195:K258" si="6">IF(A195&lt;&gt;"New","",CONCATENATE("INSERT INTO tbFinanceItem(ItemName) VALUES('",I195,"')"))</f>
        <v/>
      </c>
    </row>
    <row r="196" spans="1:11">
      <c r="A196" t="s">
        <v>74</v>
      </c>
      <c r="B196" t="s">
        <v>322</v>
      </c>
      <c r="C196">
        <v>183</v>
      </c>
      <c r="D196">
        <v>167</v>
      </c>
      <c r="E196">
        <v>183</v>
      </c>
      <c r="F196">
        <v>165</v>
      </c>
      <c r="G196">
        <v>929</v>
      </c>
      <c r="H196" s="122" t="s">
        <v>2526</v>
      </c>
      <c r="I196" t="s">
        <v>489</v>
      </c>
      <c r="J196" t="str">
        <f t="shared" si="5"/>
        <v>INSERT INTO tbFinanceItemSeq(Report,ItemSeqID,ItemSN,ItemID) VALUES('PNLD',183,183,929)</v>
      </c>
      <c r="K196" t="str">
        <f t="shared" si="6"/>
        <v/>
      </c>
    </row>
    <row r="197" spans="1:11">
      <c r="A197" t="s">
        <v>74</v>
      </c>
      <c r="B197" t="s">
        <v>322</v>
      </c>
      <c r="C197">
        <v>184</v>
      </c>
      <c r="D197">
        <v>168</v>
      </c>
      <c r="E197">
        <v>184</v>
      </c>
      <c r="F197">
        <v>166</v>
      </c>
      <c r="G197">
        <v>930</v>
      </c>
      <c r="H197" s="122" t="s">
        <v>2527</v>
      </c>
      <c r="I197" t="s">
        <v>490</v>
      </c>
      <c r="J197" t="str">
        <f t="shared" si="5"/>
        <v>INSERT INTO tbFinanceItemSeq(Report,ItemSeqID,ItemSN,ItemID) VALUES('PNLD',184,184,930)</v>
      </c>
      <c r="K197" t="str">
        <f t="shared" si="6"/>
        <v/>
      </c>
    </row>
    <row r="198" spans="1:11">
      <c r="A198" t="s">
        <v>74</v>
      </c>
      <c r="B198" t="s">
        <v>322</v>
      </c>
      <c r="C198">
        <v>185</v>
      </c>
      <c r="D198">
        <v>169</v>
      </c>
      <c r="E198">
        <v>185</v>
      </c>
      <c r="F198">
        <v>167</v>
      </c>
      <c r="G198">
        <v>931</v>
      </c>
      <c r="H198" s="122" t="s">
        <v>2528</v>
      </c>
      <c r="I198" t="s">
        <v>491</v>
      </c>
      <c r="J198" t="str">
        <f t="shared" si="5"/>
        <v>INSERT INTO tbFinanceItemSeq(Report,ItemSeqID,ItemSN,ItemID) VALUES('PNLD',185,185,931)</v>
      </c>
      <c r="K198" t="str">
        <f t="shared" si="6"/>
        <v/>
      </c>
    </row>
    <row r="199" spans="1:11">
      <c r="A199" t="s">
        <v>74</v>
      </c>
      <c r="B199" t="s">
        <v>322</v>
      </c>
      <c r="C199">
        <v>186</v>
      </c>
      <c r="D199">
        <v>170</v>
      </c>
      <c r="E199">
        <v>186</v>
      </c>
      <c r="F199">
        <v>168</v>
      </c>
      <c r="G199">
        <v>932</v>
      </c>
      <c r="H199" s="123" t="s">
        <v>2529</v>
      </c>
      <c r="I199" t="s">
        <v>492</v>
      </c>
      <c r="J199" t="str">
        <f t="shared" si="5"/>
        <v>INSERT INTO tbFinanceItemSeq(Report,ItemSeqID,ItemSN,ItemID) VALUES('PNLD',186,186,932)</v>
      </c>
      <c r="K199" t="str">
        <f t="shared" si="6"/>
        <v/>
      </c>
    </row>
    <row r="200" spans="1:11">
      <c r="A200" t="s">
        <v>74</v>
      </c>
      <c r="B200" t="s">
        <v>322</v>
      </c>
      <c r="C200">
        <v>187</v>
      </c>
      <c r="D200">
        <v>171</v>
      </c>
      <c r="E200">
        <v>187</v>
      </c>
      <c r="F200">
        <v>169</v>
      </c>
      <c r="G200">
        <v>1356</v>
      </c>
      <c r="H200" s="124" t="s">
        <v>2530</v>
      </c>
      <c r="I200" t="s">
        <v>493</v>
      </c>
      <c r="J200" t="str">
        <f t="shared" si="5"/>
        <v>INSERT INTO tbFinanceItemSeq(Report,ItemSeqID,ItemSN,ItemID) VALUES('PNLD',187,187,1356)</v>
      </c>
      <c r="K200" t="str">
        <f t="shared" si="6"/>
        <v/>
      </c>
    </row>
    <row r="201" spans="1:11">
      <c r="A201" t="s">
        <v>74</v>
      </c>
      <c r="B201" t="s">
        <v>322</v>
      </c>
      <c r="C201">
        <v>188</v>
      </c>
      <c r="D201">
        <v>172</v>
      </c>
      <c r="E201">
        <v>188</v>
      </c>
      <c r="F201">
        <v>170</v>
      </c>
      <c r="G201">
        <v>933</v>
      </c>
      <c r="H201" s="125" t="s">
        <v>2531</v>
      </c>
      <c r="I201" t="s">
        <v>494</v>
      </c>
      <c r="J201" t="str">
        <f t="shared" si="5"/>
        <v>INSERT INTO tbFinanceItemSeq(Report,ItemSeqID,ItemSN,ItemID) VALUES('PNLD',188,188,933)</v>
      </c>
      <c r="K201" t="str">
        <f t="shared" si="6"/>
        <v/>
      </c>
    </row>
    <row r="202" spans="1:11">
      <c r="A202" t="s">
        <v>74</v>
      </c>
      <c r="B202" t="s">
        <v>322</v>
      </c>
      <c r="C202">
        <v>189</v>
      </c>
      <c r="D202">
        <v>173</v>
      </c>
      <c r="E202">
        <v>189</v>
      </c>
      <c r="F202">
        <v>171</v>
      </c>
      <c r="G202">
        <v>934</v>
      </c>
      <c r="H202" s="122" t="s">
        <v>2532</v>
      </c>
      <c r="I202" t="s">
        <v>495</v>
      </c>
      <c r="J202" t="str">
        <f t="shared" si="5"/>
        <v>INSERT INTO tbFinanceItemSeq(Report,ItemSeqID,ItemSN,ItemID) VALUES('PNLD',189,189,934)</v>
      </c>
      <c r="K202" t="str">
        <f t="shared" si="6"/>
        <v/>
      </c>
    </row>
    <row r="203" spans="1:11">
      <c r="A203" t="s">
        <v>74</v>
      </c>
      <c r="B203" t="s">
        <v>322</v>
      </c>
      <c r="C203">
        <v>190</v>
      </c>
      <c r="D203">
        <v>174</v>
      </c>
      <c r="E203">
        <v>190</v>
      </c>
      <c r="F203">
        <v>172</v>
      </c>
      <c r="G203">
        <v>935</v>
      </c>
      <c r="H203" s="122" t="s">
        <v>2533</v>
      </c>
      <c r="I203" t="s">
        <v>496</v>
      </c>
      <c r="J203" t="str">
        <f t="shared" si="5"/>
        <v>INSERT INTO tbFinanceItemSeq(Report,ItemSeqID,ItemSN,ItemID) VALUES('PNLD',190,190,935)</v>
      </c>
      <c r="K203" t="str">
        <f t="shared" si="6"/>
        <v/>
      </c>
    </row>
    <row r="204" spans="1:11">
      <c r="A204" t="s">
        <v>74</v>
      </c>
      <c r="B204" t="s">
        <v>322</v>
      </c>
      <c r="C204">
        <v>191</v>
      </c>
      <c r="D204">
        <v>175</v>
      </c>
      <c r="E204">
        <v>191</v>
      </c>
      <c r="F204">
        <v>173</v>
      </c>
      <c r="G204">
        <v>936</v>
      </c>
      <c r="H204" s="122" t="s">
        <v>2534</v>
      </c>
      <c r="I204" t="s">
        <v>497</v>
      </c>
      <c r="J204" t="str">
        <f t="shared" si="5"/>
        <v>INSERT INTO tbFinanceItemSeq(Report,ItemSeqID,ItemSN,ItemID) VALUES('PNLD',191,191,936)</v>
      </c>
      <c r="K204" t="str">
        <f t="shared" si="6"/>
        <v/>
      </c>
    </row>
    <row r="205" spans="1:11">
      <c r="A205" t="s">
        <v>74</v>
      </c>
      <c r="B205" t="s">
        <v>322</v>
      </c>
      <c r="C205">
        <v>192</v>
      </c>
      <c r="D205">
        <v>176</v>
      </c>
      <c r="E205">
        <v>192</v>
      </c>
      <c r="F205">
        <v>174</v>
      </c>
      <c r="G205">
        <v>937</v>
      </c>
      <c r="H205" s="123" t="s">
        <v>2535</v>
      </c>
      <c r="I205" t="s">
        <v>498</v>
      </c>
      <c r="J205" t="str">
        <f t="shared" si="5"/>
        <v>INSERT INTO tbFinanceItemSeq(Report,ItemSeqID,ItemSN,ItemID) VALUES('PNLD',192,192,937)</v>
      </c>
      <c r="K205" t="str">
        <f t="shared" si="6"/>
        <v/>
      </c>
    </row>
    <row r="206" spans="1:11">
      <c r="A206" t="s">
        <v>74</v>
      </c>
      <c r="B206" t="s">
        <v>322</v>
      </c>
      <c r="C206">
        <v>193</v>
      </c>
      <c r="D206">
        <v>177</v>
      </c>
      <c r="E206">
        <v>193</v>
      </c>
      <c r="F206">
        <v>175</v>
      </c>
      <c r="G206">
        <v>1357</v>
      </c>
      <c r="H206" s="124" t="s">
        <v>2536</v>
      </c>
      <c r="I206" t="s">
        <v>499</v>
      </c>
      <c r="J206" t="str">
        <f t="shared" si="5"/>
        <v>INSERT INTO tbFinanceItemSeq(Report,ItemSeqID,ItemSN,ItemID) VALUES('PNLD',193,193,1357)</v>
      </c>
      <c r="K206" t="str">
        <f t="shared" si="6"/>
        <v/>
      </c>
    </row>
    <row r="207" spans="1:11">
      <c r="A207" t="s">
        <v>74</v>
      </c>
      <c r="B207" t="s">
        <v>322</v>
      </c>
      <c r="C207">
        <v>194</v>
      </c>
      <c r="D207">
        <v>178</v>
      </c>
      <c r="E207">
        <v>194</v>
      </c>
      <c r="F207">
        <v>176</v>
      </c>
      <c r="G207">
        <v>938</v>
      </c>
      <c r="H207" s="125" t="s">
        <v>2537</v>
      </c>
      <c r="I207" t="s">
        <v>500</v>
      </c>
      <c r="J207" t="str">
        <f t="shared" si="5"/>
        <v>INSERT INTO tbFinanceItemSeq(Report,ItemSeqID,ItemSN,ItemID) VALUES('PNLD',194,194,938)</v>
      </c>
      <c r="K207" t="str">
        <f t="shared" si="6"/>
        <v/>
      </c>
    </row>
    <row r="208" spans="1:11">
      <c r="A208" t="s">
        <v>74</v>
      </c>
      <c r="B208" t="s">
        <v>322</v>
      </c>
      <c r="C208">
        <v>195</v>
      </c>
      <c r="D208">
        <v>179</v>
      </c>
      <c r="E208">
        <v>195</v>
      </c>
      <c r="F208">
        <v>177</v>
      </c>
      <c r="G208">
        <v>939</v>
      </c>
      <c r="H208" s="122" t="s">
        <v>2538</v>
      </c>
      <c r="I208" t="s">
        <v>501</v>
      </c>
      <c r="J208" t="str">
        <f t="shared" si="5"/>
        <v>INSERT INTO tbFinanceItemSeq(Report,ItemSeqID,ItemSN,ItemID) VALUES('PNLD',195,195,939)</v>
      </c>
      <c r="K208" t="str">
        <f t="shared" si="6"/>
        <v/>
      </c>
    </row>
    <row r="209" spans="1:11">
      <c r="A209" t="s">
        <v>74</v>
      </c>
      <c r="B209" t="s">
        <v>322</v>
      </c>
      <c r="C209">
        <v>196</v>
      </c>
      <c r="D209">
        <v>180</v>
      </c>
      <c r="E209">
        <v>196</v>
      </c>
      <c r="F209">
        <v>178</v>
      </c>
      <c r="G209">
        <v>940</v>
      </c>
      <c r="H209" s="122" t="s">
        <v>2539</v>
      </c>
      <c r="I209" t="s">
        <v>502</v>
      </c>
      <c r="J209" t="str">
        <f t="shared" si="5"/>
        <v>INSERT INTO tbFinanceItemSeq(Report,ItemSeqID,ItemSN,ItemID) VALUES('PNLD',196,196,940)</v>
      </c>
      <c r="K209" t="str">
        <f t="shared" si="6"/>
        <v/>
      </c>
    </row>
    <row r="210" spans="1:11" s="2" customFormat="1">
      <c r="A210" s="2" t="s">
        <v>76</v>
      </c>
      <c r="B210" s="2" t="s">
        <v>322</v>
      </c>
      <c r="D210" s="2">
        <v>181</v>
      </c>
      <c r="F210" s="2">
        <v>179</v>
      </c>
      <c r="G210" s="2">
        <v>1369</v>
      </c>
      <c r="H210" s="122"/>
      <c r="I210" s="2" t="s">
        <v>503</v>
      </c>
      <c r="J210" s="2" t="str">
        <f t="shared" si="5"/>
        <v/>
      </c>
      <c r="K210" t="str">
        <f t="shared" si="6"/>
        <v/>
      </c>
    </row>
    <row r="211" spans="1:11">
      <c r="A211" t="s">
        <v>74</v>
      </c>
      <c r="B211" t="s">
        <v>322</v>
      </c>
      <c r="C211">
        <v>197</v>
      </c>
      <c r="D211">
        <v>182</v>
      </c>
      <c r="E211">
        <v>197</v>
      </c>
      <c r="F211">
        <v>180</v>
      </c>
      <c r="G211">
        <v>1370</v>
      </c>
      <c r="H211" s="122" t="s">
        <v>2540</v>
      </c>
      <c r="I211" t="s">
        <v>504</v>
      </c>
      <c r="J211" t="str">
        <f t="shared" si="5"/>
        <v>INSERT INTO tbFinanceItemSeq(Report,ItemSeqID,ItemSN,ItemID) VALUES('PNLD',197,197,1370)</v>
      </c>
      <c r="K211" t="str">
        <f t="shared" si="6"/>
        <v/>
      </c>
    </row>
    <row r="212" spans="1:11">
      <c r="A212" t="s">
        <v>74</v>
      </c>
      <c r="B212" t="s">
        <v>322</v>
      </c>
      <c r="C212">
        <v>198</v>
      </c>
      <c r="D212">
        <v>183</v>
      </c>
      <c r="E212">
        <v>198</v>
      </c>
      <c r="F212">
        <v>181</v>
      </c>
      <c r="G212">
        <v>1371</v>
      </c>
      <c r="H212" s="122" t="s">
        <v>2541</v>
      </c>
      <c r="I212" t="s">
        <v>505</v>
      </c>
      <c r="J212" t="str">
        <f t="shared" si="5"/>
        <v>INSERT INTO tbFinanceItemSeq(Report,ItemSeqID,ItemSN,ItemID) VALUES('PNLD',198,198,1371)</v>
      </c>
      <c r="K212" t="str">
        <f t="shared" si="6"/>
        <v/>
      </c>
    </row>
    <row r="213" spans="1:11">
      <c r="A213" t="s">
        <v>74</v>
      </c>
      <c r="B213" t="s">
        <v>322</v>
      </c>
      <c r="C213">
        <v>199</v>
      </c>
      <c r="D213">
        <v>184</v>
      </c>
      <c r="E213">
        <v>199</v>
      </c>
      <c r="F213">
        <v>182</v>
      </c>
      <c r="G213">
        <v>1372</v>
      </c>
      <c r="H213" s="122" t="s">
        <v>2542</v>
      </c>
      <c r="I213" t="s">
        <v>506</v>
      </c>
      <c r="J213" t="str">
        <f t="shared" si="5"/>
        <v>INSERT INTO tbFinanceItemSeq(Report,ItemSeqID,ItemSN,ItemID) VALUES('PNLD',199,199,1372)</v>
      </c>
      <c r="K213" t="str">
        <f t="shared" si="6"/>
        <v/>
      </c>
    </row>
    <row r="214" spans="1:11">
      <c r="A214" t="s">
        <v>74</v>
      </c>
      <c r="B214" t="s">
        <v>322</v>
      </c>
      <c r="C214">
        <v>200</v>
      </c>
      <c r="D214">
        <v>185</v>
      </c>
      <c r="E214">
        <v>200</v>
      </c>
      <c r="F214">
        <v>183</v>
      </c>
      <c r="G214">
        <v>941</v>
      </c>
      <c r="H214" s="122" t="s">
        <v>2543</v>
      </c>
      <c r="I214" t="s">
        <v>507</v>
      </c>
      <c r="J214" t="str">
        <f t="shared" si="5"/>
        <v>INSERT INTO tbFinanceItemSeq(Report,ItemSeqID,ItemSN,ItemID) VALUES('PNLD',200,200,941)</v>
      </c>
      <c r="K214" t="str">
        <f t="shared" si="6"/>
        <v/>
      </c>
    </row>
    <row r="215" spans="1:11">
      <c r="A215" t="s">
        <v>74</v>
      </c>
      <c r="B215" t="s">
        <v>322</v>
      </c>
      <c r="C215">
        <v>201</v>
      </c>
      <c r="D215">
        <v>186</v>
      </c>
      <c r="E215">
        <v>201</v>
      </c>
      <c r="F215">
        <v>184</v>
      </c>
      <c r="G215">
        <v>942</v>
      </c>
      <c r="H215" s="122" t="s">
        <v>2544</v>
      </c>
      <c r="I215" t="s">
        <v>508</v>
      </c>
      <c r="J215" t="str">
        <f t="shared" si="5"/>
        <v>INSERT INTO tbFinanceItemSeq(Report,ItemSeqID,ItemSN,ItemID) VALUES('PNLD',201,201,942)</v>
      </c>
      <c r="K215" t="str">
        <f t="shared" si="6"/>
        <v/>
      </c>
    </row>
    <row r="216" spans="1:11" s="2" customFormat="1">
      <c r="A216" s="2" t="s">
        <v>76</v>
      </c>
      <c r="B216" s="2" t="s">
        <v>322</v>
      </c>
      <c r="C216" s="2">
        <v>203</v>
      </c>
      <c r="D216" s="2">
        <v>187</v>
      </c>
      <c r="E216" s="2">
        <v>203</v>
      </c>
      <c r="F216" s="2">
        <v>185</v>
      </c>
      <c r="G216" s="2">
        <v>1358</v>
      </c>
      <c r="H216" s="126"/>
      <c r="I216" s="2" t="s">
        <v>509</v>
      </c>
      <c r="J216" s="2" t="str">
        <f t="shared" si="5"/>
        <v/>
      </c>
      <c r="K216" t="str">
        <f t="shared" si="6"/>
        <v/>
      </c>
    </row>
    <row r="217" spans="1:11">
      <c r="A217" t="s">
        <v>74</v>
      </c>
      <c r="B217" t="s">
        <v>322</v>
      </c>
      <c r="C217">
        <v>202</v>
      </c>
      <c r="D217">
        <v>188</v>
      </c>
      <c r="E217">
        <v>202</v>
      </c>
      <c r="F217">
        <v>186</v>
      </c>
      <c r="G217">
        <v>943</v>
      </c>
      <c r="H217" s="124" t="s">
        <v>2545</v>
      </c>
      <c r="I217" t="s">
        <v>510</v>
      </c>
      <c r="J217" t="str">
        <f t="shared" si="5"/>
        <v>INSERT INTO tbFinanceItemSeq(Report,ItemSeqID,ItemSN,ItemID) VALUES('PNLD',202,202,943)</v>
      </c>
      <c r="K217" t="str">
        <f t="shared" si="6"/>
        <v/>
      </c>
    </row>
    <row r="218" spans="1:11">
      <c r="A218" t="s">
        <v>74</v>
      </c>
      <c r="B218" t="s">
        <v>322</v>
      </c>
      <c r="C218">
        <v>203</v>
      </c>
      <c r="D218">
        <v>189</v>
      </c>
      <c r="E218">
        <v>203</v>
      </c>
      <c r="F218">
        <v>187</v>
      </c>
      <c r="G218">
        <v>945</v>
      </c>
      <c r="H218" s="122" t="s">
        <v>2546</v>
      </c>
      <c r="I218" t="s">
        <v>511</v>
      </c>
      <c r="J218" t="str">
        <f t="shared" si="5"/>
        <v>INSERT INTO tbFinanceItemSeq(Report,ItemSeqID,ItemSN,ItemID) VALUES('PNLD',203,203,945)</v>
      </c>
      <c r="K218" t="str">
        <f t="shared" si="6"/>
        <v/>
      </c>
    </row>
    <row r="219" spans="1:11">
      <c r="A219" t="s">
        <v>74</v>
      </c>
      <c r="B219" t="s">
        <v>322</v>
      </c>
      <c r="C219">
        <v>204</v>
      </c>
      <c r="D219">
        <v>190</v>
      </c>
      <c r="E219">
        <v>204</v>
      </c>
      <c r="F219">
        <v>188</v>
      </c>
      <c r="G219">
        <v>946</v>
      </c>
      <c r="H219" s="122" t="s">
        <v>2547</v>
      </c>
      <c r="I219" t="s">
        <v>512</v>
      </c>
      <c r="J219" t="str">
        <f t="shared" si="5"/>
        <v>INSERT INTO tbFinanceItemSeq(Report,ItemSeqID,ItemSN,ItemID) VALUES('PNLD',204,204,946)</v>
      </c>
      <c r="K219" t="str">
        <f t="shared" si="6"/>
        <v/>
      </c>
    </row>
    <row r="220" spans="1:11">
      <c r="A220" t="s">
        <v>74</v>
      </c>
      <c r="B220" t="s">
        <v>322</v>
      </c>
      <c r="C220">
        <v>205</v>
      </c>
      <c r="D220">
        <v>191</v>
      </c>
      <c r="E220">
        <v>205</v>
      </c>
      <c r="F220">
        <v>189</v>
      </c>
      <c r="G220">
        <v>947</v>
      </c>
      <c r="H220" s="122" t="s">
        <v>2548</v>
      </c>
      <c r="I220" t="s">
        <v>513</v>
      </c>
      <c r="J220" t="str">
        <f t="shared" si="5"/>
        <v>INSERT INTO tbFinanceItemSeq(Report,ItemSeqID,ItemSN,ItemID) VALUES('PNLD',205,205,947)</v>
      </c>
      <c r="K220" t="str">
        <f t="shared" si="6"/>
        <v/>
      </c>
    </row>
    <row r="221" spans="1:11">
      <c r="A221" t="s">
        <v>74</v>
      </c>
      <c r="B221" t="s">
        <v>322</v>
      </c>
      <c r="C221">
        <v>206</v>
      </c>
      <c r="D221">
        <v>192</v>
      </c>
      <c r="E221">
        <v>206</v>
      </c>
      <c r="F221">
        <v>190</v>
      </c>
      <c r="G221">
        <v>948</v>
      </c>
      <c r="H221" s="122" t="s">
        <v>2549</v>
      </c>
      <c r="I221" t="s">
        <v>514</v>
      </c>
      <c r="J221" t="str">
        <f t="shared" si="5"/>
        <v>INSERT INTO tbFinanceItemSeq(Report,ItemSeqID,ItemSN,ItemID) VALUES('PNLD',206,206,948)</v>
      </c>
      <c r="K221" t="str">
        <f t="shared" si="6"/>
        <v/>
      </c>
    </row>
    <row r="222" spans="1:11">
      <c r="A222" t="s">
        <v>74</v>
      </c>
      <c r="B222" t="s">
        <v>322</v>
      </c>
      <c r="C222">
        <v>207</v>
      </c>
      <c r="D222">
        <v>193</v>
      </c>
      <c r="E222">
        <v>207</v>
      </c>
      <c r="F222">
        <v>191</v>
      </c>
      <c r="G222">
        <v>949</v>
      </c>
      <c r="H222" s="122" t="s">
        <v>2550</v>
      </c>
      <c r="I222" t="s">
        <v>515</v>
      </c>
      <c r="J222" t="str">
        <f t="shared" si="5"/>
        <v>INSERT INTO tbFinanceItemSeq(Report,ItemSeqID,ItemSN,ItemID) VALUES('PNLD',207,207,949)</v>
      </c>
      <c r="K222" t="str">
        <f t="shared" si="6"/>
        <v/>
      </c>
    </row>
    <row r="223" spans="1:11">
      <c r="A223" t="s">
        <v>74</v>
      </c>
      <c r="B223" t="s">
        <v>322</v>
      </c>
      <c r="C223">
        <v>208</v>
      </c>
      <c r="D223">
        <v>194</v>
      </c>
      <c r="E223">
        <v>208</v>
      </c>
      <c r="F223">
        <v>192</v>
      </c>
      <c r="G223">
        <v>950</v>
      </c>
      <c r="H223" s="122" t="s">
        <v>2551</v>
      </c>
      <c r="I223" t="s">
        <v>516</v>
      </c>
      <c r="J223" t="str">
        <f t="shared" ref="J223:J290" si="7">IF(A223&lt;&gt;"Remove",CONCATENATE("INSERT INTO tbFinanceItemSeq(Report,ItemSeqID,ItemSN,ItemID) VALUES('",B223,"',",C223,",",E223,",",G223,")"),"")</f>
        <v>INSERT INTO tbFinanceItemSeq(Report,ItemSeqID,ItemSN,ItemID) VALUES('PNLD',208,208,950)</v>
      </c>
      <c r="K223" t="str">
        <f t="shared" si="6"/>
        <v/>
      </c>
    </row>
    <row r="224" spans="1:11">
      <c r="A224" t="s">
        <v>74</v>
      </c>
      <c r="B224" t="s">
        <v>322</v>
      </c>
      <c r="C224">
        <v>209</v>
      </c>
      <c r="D224">
        <v>195</v>
      </c>
      <c r="E224">
        <v>209</v>
      </c>
      <c r="F224">
        <v>193</v>
      </c>
      <c r="G224">
        <v>951</v>
      </c>
      <c r="H224" s="122" t="s">
        <v>2552</v>
      </c>
      <c r="I224" t="s">
        <v>517</v>
      </c>
      <c r="J224" t="str">
        <f t="shared" si="7"/>
        <v>INSERT INTO tbFinanceItemSeq(Report,ItemSeqID,ItemSN,ItemID) VALUES('PNLD',209,209,951)</v>
      </c>
      <c r="K224" t="str">
        <f t="shared" si="6"/>
        <v/>
      </c>
    </row>
    <row r="225" spans="1:11">
      <c r="A225" t="s">
        <v>74</v>
      </c>
      <c r="B225" t="s">
        <v>322</v>
      </c>
      <c r="C225">
        <v>210</v>
      </c>
      <c r="D225">
        <v>196</v>
      </c>
      <c r="E225">
        <v>210</v>
      </c>
      <c r="F225">
        <v>194</v>
      </c>
      <c r="G225">
        <v>952</v>
      </c>
      <c r="H225" s="122" t="s">
        <v>2553</v>
      </c>
      <c r="I225" t="s">
        <v>518</v>
      </c>
      <c r="J225" t="str">
        <f t="shared" si="7"/>
        <v>INSERT INTO tbFinanceItemSeq(Report,ItemSeqID,ItemSN,ItemID) VALUES('PNLD',210,210,952)</v>
      </c>
      <c r="K225" t="str">
        <f t="shared" si="6"/>
        <v/>
      </c>
    </row>
    <row r="226" spans="1:11">
      <c r="A226" t="s">
        <v>74</v>
      </c>
      <c r="B226" t="s">
        <v>322</v>
      </c>
      <c r="C226">
        <v>211</v>
      </c>
      <c r="D226">
        <v>197</v>
      </c>
      <c r="E226">
        <v>211</v>
      </c>
      <c r="F226">
        <v>195</v>
      </c>
      <c r="G226">
        <v>953</v>
      </c>
      <c r="H226" s="122" t="s">
        <v>2554</v>
      </c>
      <c r="I226" t="s">
        <v>519</v>
      </c>
      <c r="J226" t="str">
        <f t="shared" si="7"/>
        <v>INSERT INTO tbFinanceItemSeq(Report,ItemSeqID,ItemSN,ItemID) VALUES('PNLD',211,211,953)</v>
      </c>
      <c r="K226" t="str">
        <f t="shared" si="6"/>
        <v/>
      </c>
    </row>
    <row r="227" spans="1:11">
      <c r="A227" t="s">
        <v>74</v>
      </c>
      <c r="B227" t="s">
        <v>322</v>
      </c>
      <c r="C227">
        <v>212</v>
      </c>
      <c r="D227">
        <v>198</v>
      </c>
      <c r="E227">
        <v>212</v>
      </c>
      <c r="F227">
        <v>196</v>
      </c>
      <c r="G227">
        <v>954</v>
      </c>
      <c r="H227" s="122" t="s">
        <v>2555</v>
      </c>
      <c r="I227" t="s">
        <v>520</v>
      </c>
      <c r="J227" t="str">
        <f t="shared" si="7"/>
        <v>INSERT INTO tbFinanceItemSeq(Report,ItemSeqID,ItemSN,ItemID) VALUES('PNLD',212,212,954)</v>
      </c>
      <c r="K227" t="str">
        <f t="shared" si="6"/>
        <v/>
      </c>
    </row>
    <row r="228" spans="1:11">
      <c r="A228" t="s">
        <v>74</v>
      </c>
      <c r="B228" t="s">
        <v>322</v>
      </c>
      <c r="C228">
        <v>213</v>
      </c>
      <c r="D228">
        <v>199</v>
      </c>
      <c r="E228">
        <v>213</v>
      </c>
      <c r="F228">
        <v>197</v>
      </c>
      <c r="G228">
        <v>955</v>
      </c>
      <c r="H228" s="122" t="s">
        <v>2556</v>
      </c>
      <c r="I228" t="s">
        <v>521</v>
      </c>
      <c r="J228" t="str">
        <f t="shared" si="7"/>
        <v>INSERT INTO tbFinanceItemSeq(Report,ItemSeqID,ItemSN,ItemID) VALUES('PNLD',213,213,955)</v>
      </c>
      <c r="K228" t="str">
        <f t="shared" si="6"/>
        <v/>
      </c>
    </row>
    <row r="229" spans="1:11">
      <c r="A229" t="s">
        <v>74</v>
      </c>
      <c r="B229" t="s">
        <v>322</v>
      </c>
      <c r="C229">
        <v>214</v>
      </c>
      <c r="D229">
        <v>200</v>
      </c>
      <c r="E229">
        <v>214</v>
      </c>
      <c r="F229">
        <v>198</v>
      </c>
      <c r="G229">
        <v>956</v>
      </c>
      <c r="H229" s="122" t="s">
        <v>2557</v>
      </c>
      <c r="I229" t="s">
        <v>522</v>
      </c>
      <c r="J229" t="str">
        <f t="shared" si="7"/>
        <v>INSERT INTO tbFinanceItemSeq(Report,ItemSeqID,ItemSN,ItemID) VALUES('PNLD',214,214,956)</v>
      </c>
      <c r="K229" t="str">
        <f t="shared" si="6"/>
        <v/>
      </c>
    </row>
    <row r="230" spans="1:11">
      <c r="A230" t="s">
        <v>74</v>
      </c>
      <c r="B230" t="s">
        <v>322</v>
      </c>
      <c r="C230">
        <v>215</v>
      </c>
      <c r="D230">
        <v>201</v>
      </c>
      <c r="E230">
        <v>215</v>
      </c>
      <c r="F230">
        <v>199</v>
      </c>
      <c r="G230">
        <v>957</v>
      </c>
      <c r="H230" s="122" t="s">
        <v>2558</v>
      </c>
      <c r="I230" t="s">
        <v>523</v>
      </c>
      <c r="J230" t="str">
        <f t="shared" si="7"/>
        <v>INSERT INTO tbFinanceItemSeq(Report,ItemSeqID,ItemSN,ItemID) VALUES('PNLD',215,215,957)</v>
      </c>
      <c r="K230" t="str">
        <f t="shared" si="6"/>
        <v/>
      </c>
    </row>
    <row r="231" spans="1:11">
      <c r="A231" t="s">
        <v>74</v>
      </c>
      <c r="B231" t="s">
        <v>322</v>
      </c>
      <c r="C231">
        <v>216</v>
      </c>
      <c r="D231">
        <v>202</v>
      </c>
      <c r="E231">
        <v>216</v>
      </c>
      <c r="F231">
        <v>200</v>
      </c>
      <c r="G231">
        <v>958</v>
      </c>
      <c r="H231" s="122" t="s">
        <v>2559</v>
      </c>
      <c r="I231" t="s">
        <v>524</v>
      </c>
      <c r="J231" t="str">
        <f t="shared" si="7"/>
        <v>INSERT INTO tbFinanceItemSeq(Report,ItemSeqID,ItemSN,ItemID) VALUES('PNLD',216,216,958)</v>
      </c>
      <c r="K231" t="str">
        <f t="shared" si="6"/>
        <v/>
      </c>
    </row>
    <row r="232" spans="1:11">
      <c r="A232" t="s">
        <v>74</v>
      </c>
      <c r="B232" t="s">
        <v>322</v>
      </c>
      <c r="C232">
        <v>217</v>
      </c>
      <c r="D232">
        <v>203</v>
      </c>
      <c r="E232">
        <v>217</v>
      </c>
      <c r="F232">
        <v>201</v>
      </c>
      <c r="G232">
        <v>959</v>
      </c>
      <c r="H232" s="122" t="s">
        <v>2560</v>
      </c>
      <c r="I232" t="s">
        <v>525</v>
      </c>
      <c r="J232" t="str">
        <f t="shared" si="7"/>
        <v>INSERT INTO tbFinanceItemSeq(Report,ItemSeqID,ItemSN,ItemID) VALUES('PNLD',217,217,959)</v>
      </c>
      <c r="K232" t="str">
        <f t="shared" si="6"/>
        <v/>
      </c>
    </row>
    <row r="233" spans="1:11">
      <c r="A233" t="s">
        <v>74</v>
      </c>
      <c r="B233" t="s">
        <v>322</v>
      </c>
      <c r="C233">
        <v>218</v>
      </c>
      <c r="D233">
        <v>204</v>
      </c>
      <c r="E233">
        <v>218</v>
      </c>
      <c r="F233">
        <v>202</v>
      </c>
      <c r="G233">
        <v>960</v>
      </c>
      <c r="H233" s="122" t="s">
        <v>2561</v>
      </c>
      <c r="I233" t="s">
        <v>526</v>
      </c>
      <c r="J233" t="str">
        <f t="shared" si="7"/>
        <v>INSERT INTO tbFinanceItemSeq(Report,ItemSeqID,ItemSN,ItemID) VALUES('PNLD',218,218,960)</v>
      </c>
      <c r="K233" t="str">
        <f t="shared" si="6"/>
        <v/>
      </c>
    </row>
    <row r="234" spans="1:11">
      <c r="A234" t="s">
        <v>74</v>
      </c>
      <c r="B234" t="s">
        <v>322</v>
      </c>
      <c r="C234">
        <v>219</v>
      </c>
      <c r="D234">
        <v>205</v>
      </c>
      <c r="E234">
        <v>219</v>
      </c>
      <c r="F234">
        <v>203</v>
      </c>
      <c r="G234">
        <v>961</v>
      </c>
      <c r="H234" s="122" t="s">
        <v>2562</v>
      </c>
      <c r="I234" t="s">
        <v>527</v>
      </c>
      <c r="J234" t="str">
        <f t="shared" si="7"/>
        <v>INSERT INTO tbFinanceItemSeq(Report,ItemSeqID,ItemSN,ItemID) VALUES('PNLD',219,219,961)</v>
      </c>
      <c r="K234" t="str">
        <f t="shared" si="6"/>
        <v/>
      </c>
    </row>
    <row r="235" spans="1:11">
      <c r="A235" t="s">
        <v>74</v>
      </c>
      <c r="B235" t="s">
        <v>322</v>
      </c>
      <c r="C235">
        <v>220</v>
      </c>
      <c r="D235">
        <v>206</v>
      </c>
      <c r="E235">
        <v>220</v>
      </c>
      <c r="F235">
        <v>204</v>
      </c>
      <c r="G235">
        <v>962</v>
      </c>
      <c r="H235" s="122" t="s">
        <v>2563</v>
      </c>
      <c r="I235" t="s">
        <v>528</v>
      </c>
      <c r="J235" t="str">
        <f t="shared" si="7"/>
        <v>INSERT INTO tbFinanceItemSeq(Report,ItemSeqID,ItemSN,ItemID) VALUES('PNLD',220,220,962)</v>
      </c>
      <c r="K235" t="str">
        <f t="shared" si="6"/>
        <v/>
      </c>
    </row>
    <row r="236" spans="1:11">
      <c r="A236" t="s">
        <v>74</v>
      </c>
      <c r="B236" t="s">
        <v>322</v>
      </c>
      <c r="C236">
        <v>221</v>
      </c>
      <c r="D236">
        <v>207</v>
      </c>
      <c r="E236">
        <v>221</v>
      </c>
      <c r="F236">
        <v>205</v>
      </c>
      <c r="G236">
        <v>963</v>
      </c>
      <c r="H236" s="122" t="s">
        <v>2564</v>
      </c>
      <c r="I236" t="s">
        <v>529</v>
      </c>
      <c r="J236" t="str">
        <f t="shared" si="7"/>
        <v>INSERT INTO tbFinanceItemSeq(Report,ItemSeqID,ItemSN,ItemID) VALUES('PNLD',221,221,963)</v>
      </c>
      <c r="K236" t="str">
        <f t="shared" si="6"/>
        <v/>
      </c>
    </row>
    <row r="237" spans="1:11">
      <c r="A237" t="s">
        <v>74</v>
      </c>
      <c r="B237" t="s">
        <v>322</v>
      </c>
      <c r="C237">
        <v>222</v>
      </c>
      <c r="D237">
        <v>208</v>
      </c>
      <c r="E237">
        <v>222</v>
      </c>
      <c r="F237">
        <v>206</v>
      </c>
      <c r="G237">
        <v>964</v>
      </c>
      <c r="H237" s="122" t="s">
        <v>2565</v>
      </c>
      <c r="I237" t="s">
        <v>530</v>
      </c>
      <c r="J237" t="str">
        <f t="shared" si="7"/>
        <v>INSERT INTO tbFinanceItemSeq(Report,ItemSeqID,ItemSN,ItemID) VALUES('PNLD',222,222,964)</v>
      </c>
      <c r="K237" t="str">
        <f t="shared" si="6"/>
        <v/>
      </c>
    </row>
    <row r="238" spans="1:11">
      <c r="A238" t="s">
        <v>74</v>
      </c>
      <c r="B238" t="s">
        <v>322</v>
      </c>
      <c r="C238">
        <v>223</v>
      </c>
      <c r="D238">
        <v>209</v>
      </c>
      <c r="E238">
        <v>223</v>
      </c>
      <c r="F238">
        <v>207</v>
      </c>
      <c r="G238">
        <v>965</v>
      </c>
      <c r="H238" s="122" t="s">
        <v>2566</v>
      </c>
      <c r="I238" t="s">
        <v>531</v>
      </c>
      <c r="J238" t="str">
        <f t="shared" si="7"/>
        <v>INSERT INTO tbFinanceItemSeq(Report,ItemSeqID,ItemSN,ItemID) VALUES('PNLD',223,223,965)</v>
      </c>
      <c r="K238" t="str">
        <f t="shared" si="6"/>
        <v/>
      </c>
    </row>
    <row r="239" spans="1:11">
      <c r="A239" t="s">
        <v>74</v>
      </c>
      <c r="B239" t="s">
        <v>322</v>
      </c>
      <c r="C239">
        <v>224</v>
      </c>
      <c r="D239">
        <v>210</v>
      </c>
      <c r="E239">
        <v>224</v>
      </c>
      <c r="F239">
        <v>208</v>
      </c>
      <c r="G239">
        <v>966</v>
      </c>
      <c r="H239" s="122" t="s">
        <v>2567</v>
      </c>
      <c r="I239" t="s">
        <v>532</v>
      </c>
      <c r="J239" t="str">
        <f t="shared" si="7"/>
        <v>INSERT INTO tbFinanceItemSeq(Report,ItemSeqID,ItemSN,ItemID) VALUES('PNLD',224,224,966)</v>
      </c>
      <c r="K239" t="str">
        <f t="shared" si="6"/>
        <v/>
      </c>
    </row>
    <row r="240" spans="1:11">
      <c r="A240" t="s">
        <v>74</v>
      </c>
      <c r="B240" t="s">
        <v>322</v>
      </c>
      <c r="C240">
        <v>225</v>
      </c>
      <c r="D240">
        <v>211</v>
      </c>
      <c r="E240">
        <v>225</v>
      </c>
      <c r="F240">
        <v>209</v>
      </c>
      <c r="G240">
        <v>967</v>
      </c>
      <c r="H240" s="122" t="s">
        <v>2568</v>
      </c>
      <c r="I240" t="s">
        <v>533</v>
      </c>
      <c r="J240" t="str">
        <f t="shared" si="7"/>
        <v>INSERT INTO tbFinanceItemSeq(Report,ItemSeqID,ItemSN,ItemID) VALUES('PNLD',225,225,967)</v>
      </c>
      <c r="K240" t="str">
        <f t="shared" si="6"/>
        <v/>
      </c>
    </row>
    <row r="241" spans="1:11">
      <c r="A241" t="s">
        <v>74</v>
      </c>
      <c r="B241" t="s">
        <v>322</v>
      </c>
      <c r="C241">
        <v>226</v>
      </c>
      <c r="D241">
        <v>212</v>
      </c>
      <c r="E241">
        <v>226</v>
      </c>
      <c r="F241">
        <v>210</v>
      </c>
      <c r="G241">
        <v>968</v>
      </c>
      <c r="H241" s="122" t="s">
        <v>2569</v>
      </c>
      <c r="I241" t="s">
        <v>534</v>
      </c>
      <c r="J241" t="str">
        <f t="shared" si="7"/>
        <v>INSERT INTO tbFinanceItemSeq(Report,ItemSeqID,ItemSN,ItemID) VALUES('PNLD',226,226,968)</v>
      </c>
      <c r="K241" t="str">
        <f t="shared" si="6"/>
        <v/>
      </c>
    </row>
    <row r="242" spans="1:11">
      <c r="A242" t="s">
        <v>74</v>
      </c>
      <c r="B242" t="s">
        <v>322</v>
      </c>
      <c r="C242">
        <v>227</v>
      </c>
      <c r="D242">
        <v>213</v>
      </c>
      <c r="E242">
        <v>227</v>
      </c>
      <c r="F242">
        <v>211</v>
      </c>
      <c r="G242">
        <v>969</v>
      </c>
      <c r="H242" s="122" t="s">
        <v>2570</v>
      </c>
      <c r="I242" t="s">
        <v>535</v>
      </c>
      <c r="J242" t="str">
        <f t="shared" si="7"/>
        <v>INSERT INTO tbFinanceItemSeq(Report,ItemSeqID,ItemSN,ItemID) VALUES('PNLD',227,227,969)</v>
      </c>
      <c r="K242" t="str">
        <f t="shared" si="6"/>
        <v/>
      </c>
    </row>
    <row r="243" spans="1:11">
      <c r="A243" t="s">
        <v>74</v>
      </c>
      <c r="B243" t="s">
        <v>322</v>
      </c>
      <c r="C243">
        <v>228</v>
      </c>
      <c r="D243">
        <v>214</v>
      </c>
      <c r="E243">
        <v>228</v>
      </c>
      <c r="F243">
        <v>212</v>
      </c>
      <c r="G243">
        <v>970</v>
      </c>
      <c r="H243" s="122" t="s">
        <v>2571</v>
      </c>
      <c r="I243" t="s">
        <v>536</v>
      </c>
      <c r="J243" t="str">
        <f t="shared" si="7"/>
        <v>INSERT INTO tbFinanceItemSeq(Report,ItemSeqID,ItemSN,ItemID) VALUES('PNLD',228,228,970)</v>
      </c>
      <c r="K243" t="str">
        <f t="shared" si="6"/>
        <v/>
      </c>
    </row>
    <row r="244" spans="1:11">
      <c r="A244" t="s">
        <v>74</v>
      </c>
      <c r="B244" t="s">
        <v>322</v>
      </c>
      <c r="C244">
        <v>229</v>
      </c>
      <c r="D244">
        <v>215</v>
      </c>
      <c r="E244">
        <v>229</v>
      </c>
      <c r="F244">
        <v>213</v>
      </c>
      <c r="G244">
        <v>971</v>
      </c>
      <c r="H244" s="122" t="s">
        <v>2572</v>
      </c>
      <c r="I244" t="s">
        <v>537</v>
      </c>
      <c r="J244" t="str">
        <f t="shared" si="7"/>
        <v>INSERT INTO tbFinanceItemSeq(Report,ItemSeqID,ItemSN,ItemID) VALUES('PNLD',229,229,971)</v>
      </c>
      <c r="K244" t="str">
        <f t="shared" si="6"/>
        <v/>
      </c>
    </row>
    <row r="245" spans="1:11">
      <c r="A245" t="s">
        <v>74</v>
      </c>
      <c r="B245" t="s">
        <v>322</v>
      </c>
      <c r="C245">
        <v>230</v>
      </c>
      <c r="D245">
        <v>216</v>
      </c>
      <c r="E245">
        <v>230</v>
      </c>
      <c r="F245">
        <v>214</v>
      </c>
      <c r="G245">
        <v>972</v>
      </c>
      <c r="H245" s="122" t="s">
        <v>2573</v>
      </c>
      <c r="I245" t="s">
        <v>538</v>
      </c>
      <c r="J245" t="str">
        <f t="shared" si="7"/>
        <v>INSERT INTO tbFinanceItemSeq(Report,ItemSeqID,ItemSN,ItemID) VALUES('PNLD',230,230,972)</v>
      </c>
      <c r="K245" t="str">
        <f t="shared" si="6"/>
        <v/>
      </c>
    </row>
    <row r="246" spans="1:11">
      <c r="A246" t="s">
        <v>74</v>
      </c>
      <c r="B246" t="s">
        <v>322</v>
      </c>
      <c r="C246">
        <v>231</v>
      </c>
      <c r="D246">
        <v>217</v>
      </c>
      <c r="E246">
        <v>231</v>
      </c>
      <c r="F246">
        <v>215</v>
      </c>
      <c r="G246">
        <v>973</v>
      </c>
      <c r="H246" s="122" t="s">
        <v>2574</v>
      </c>
      <c r="I246" t="s">
        <v>539</v>
      </c>
      <c r="J246" t="str">
        <f t="shared" si="7"/>
        <v>INSERT INTO tbFinanceItemSeq(Report,ItemSeqID,ItemSN,ItemID) VALUES('PNLD',231,231,973)</v>
      </c>
      <c r="K246" t="str">
        <f t="shared" si="6"/>
        <v/>
      </c>
    </row>
    <row r="247" spans="1:11">
      <c r="A247" t="s">
        <v>74</v>
      </c>
      <c r="B247" t="s">
        <v>322</v>
      </c>
      <c r="C247">
        <v>232</v>
      </c>
      <c r="D247">
        <v>218</v>
      </c>
      <c r="E247">
        <v>232</v>
      </c>
      <c r="F247">
        <v>216</v>
      </c>
      <c r="G247">
        <v>974</v>
      </c>
      <c r="H247" s="123" t="s">
        <v>2575</v>
      </c>
      <c r="I247" t="s">
        <v>540</v>
      </c>
      <c r="J247" t="str">
        <f t="shared" si="7"/>
        <v>INSERT INTO tbFinanceItemSeq(Report,ItemSeqID,ItemSN,ItemID) VALUES('PNLD',232,232,974)</v>
      </c>
      <c r="K247" t="str">
        <f t="shared" si="6"/>
        <v/>
      </c>
    </row>
    <row r="248" spans="1:11">
      <c r="A248" t="s">
        <v>74</v>
      </c>
      <c r="B248" t="s">
        <v>322</v>
      </c>
      <c r="C248">
        <v>233</v>
      </c>
      <c r="D248">
        <v>219</v>
      </c>
      <c r="E248">
        <v>233</v>
      </c>
      <c r="F248">
        <v>217</v>
      </c>
      <c r="G248">
        <v>1359</v>
      </c>
      <c r="H248" s="124" t="s">
        <v>2576</v>
      </c>
      <c r="I248" t="s">
        <v>541</v>
      </c>
      <c r="J248" t="str">
        <f t="shared" si="7"/>
        <v>INSERT INTO tbFinanceItemSeq(Report,ItemSeqID,ItemSN,ItemID) VALUES('PNLD',233,233,1359)</v>
      </c>
      <c r="K248" t="str">
        <f t="shared" si="6"/>
        <v/>
      </c>
    </row>
    <row r="249" spans="1:11">
      <c r="A249" t="s">
        <v>74</v>
      </c>
      <c r="B249" t="s">
        <v>322</v>
      </c>
      <c r="C249">
        <v>234</v>
      </c>
      <c r="D249">
        <v>220</v>
      </c>
      <c r="E249">
        <v>234</v>
      </c>
      <c r="F249">
        <v>218</v>
      </c>
      <c r="G249">
        <v>975</v>
      </c>
      <c r="H249" s="125" t="s">
        <v>2577</v>
      </c>
      <c r="I249" t="s">
        <v>542</v>
      </c>
      <c r="J249" t="str">
        <f t="shared" si="7"/>
        <v>INSERT INTO tbFinanceItemSeq(Report,ItemSeqID,ItemSN,ItemID) VALUES('PNLD',234,234,975)</v>
      </c>
      <c r="K249" t="str">
        <f t="shared" si="6"/>
        <v/>
      </c>
    </row>
    <row r="250" spans="1:11">
      <c r="A250" t="s">
        <v>74</v>
      </c>
      <c r="B250" t="s">
        <v>322</v>
      </c>
      <c r="C250">
        <v>235</v>
      </c>
      <c r="D250">
        <v>221</v>
      </c>
      <c r="E250">
        <v>235</v>
      </c>
      <c r="F250">
        <v>219</v>
      </c>
      <c r="G250">
        <v>976</v>
      </c>
      <c r="H250" s="122" t="s">
        <v>2578</v>
      </c>
      <c r="I250" t="s">
        <v>543</v>
      </c>
      <c r="J250" t="str">
        <f t="shared" si="7"/>
        <v>INSERT INTO tbFinanceItemSeq(Report,ItemSeqID,ItemSN,ItemID) VALUES('PNLD',235,235,976)</v>
      </c>
      <c r="K250" t="str">
        <f t="shared" si="6"/>
        <v/>
      </c>
    </row>
    <row r="251" spans="1:11">
      <c r="A251" t="s">
        <v>74</v>
      </c>
      <c r="B251" t="s">
        <v>322</v>
      </c>
      <c r="C251">
        <v>236</v>
      </c>
      <c r="D251">
        <v>222</v>
      </c>
      <c r="E251">
        <v>236</v>
      </c>
      <c r="F251">
        <v>220</v>
      </c>
      <c r="G251">
        <v>977</v>
      </c>
      <c r="H251" s="122" t="s">
        <v>2579</v>
      </c>
      <c r="I251" t="s">
        <v>544</v>
      </c>
      <c r="J251" t="str">
        <f t="shared" si="7"/>
        <v>INSERT INTO tbFinanceItemSeq(Report,ItemSeqID,ItemSN,ItemID) VALUES('PNLD',236,236,977)</v>
      </c>
      <c r="K251" t="str">
        <f t="shared" si="6"/>
        <v/>
      </c>
    </row>
    <row r="252" spans="1:11">
      <c r="A252" t="s">
        <v>74</v>
      </c>
      <c r="B252" t="s">
        <v>322</v>
      </c>
      <c r="C252">
        <v>237</v>
      </c>
      <c r="D252">
        <v>223</v>
      </c>
      <c r="E252">
        <v>237</v>
      </c>
      <c r="F252">
        <v>221</v>
      </c>
      <c r="G252">
        <v>978</v>
      </c>
      <c r="H252" s="122" t="s">
        <v>2580</v>
      </c>
      <c r="I252" t="s">
        <v>545</v>
      </c>
      <c r="J252" t="str">
        <f t="shared" si="7"/>
        <v>INSERT INTO tbFinanceItemSeq(Report,ItemSeqID,ItemSN,ItemID) VALUES('PNLD',237,237,978)</v>
      </c>
      <c r="K252" t="str">
        <f t="shared" si="6"/>
        <v/>
      </c>
    </row>
    <row r="253" spans="1:11">
      <c r="A253" t="s">
        <v>74</v>
      </c>
      <c r="B253" t="s">
        <v>322</v>
      </c>
      <c r="C253">
        <v>238</v>
      </c>
      <c r="D253">
        <v>224</v>
      </c>
      <c r="E253">
        <v>238</v>
      </c>
      <c r="F253">
        <v>222</v>
      </c>
      <c r="G253">
        <v>979</v>
      </c>
      <c r="H253" s="122" t="s">
        <v>2581</v>
      </c>
      <c r="I253" t="s">
        <v>546</v>
      </c>
      <c r="J253" t="str">
        <f t="shared" si="7"/>
        <v>INSERT INTO tbFinanceItemSeq(Report,ItemSeqID,ItemSN,ItemID) VALUES('PNLD',238,238,979)</v>
      </c>
      <c r="K253" t="str">
        <f t="shared" si="6"/>
        <v/>
      </c>
    </row>
    <row r="254" spans="1:11">
      <c r="A254" t="s">
        <v>74</v>
      </c>
      <c r="B254" t="s">
        <v>322</v>
      </c>
      <c r="C254">
        <v>239</v>
      </c>
      <c r="D254">
        <v>225</v>
      </c>
      <c r="E254">
        <v>239</v>
      </c>
      <c r="F254">
        <v>223</v>
      </c>
      <c r="G254">
        <v>980</v>
      </c>
      <c r="H254" s="123" t="s">
        <v>2582</v>
      </c>
      <c r="I254" t="s">
        <v>547</v>
      </c>
      <c r="J254" t="str">
        <f t="shared" si="7"/>
        <v>INSERT INTO tbFinanceItemSeq(Report,ItemSeqID,ItemSN,ItemID) VALUES('PNLD',239,239,980)</v>
      </c>
      <c r="K254" t="str">
        <f t="shared" si="6"/>
        <v/>
      </c>
    </row>
    <row r="255" spans="1:11" s="3" customFormat="1">
      <c r="A255" s="3" t="s">
        <v>75</v>
      </c>
      <c r="B255" s="3" t="s">
        <v>322</v>
      </c>
      <c r="C255" s="3">
        <v>240</v>
      </c>
      <c r="E255" s="3">
        <v>240</v>
      </c>
      <c r="G255" s="3" t="str">
        <f>CONCATENATE("(SELECT TOP 1 ItemID FROM tbFinanceItem where ItemName = '",I255,"')")</f>
        <v>(SELECT TOP 1 ItemID FROM tbFinanceItem where ItemName = '(PNLD)A&amp;G Travelling/Transportation')</v>
      </c>
      <c r="H255" s="124" t="s">
        <v>2583</v>
      </c>
      <c r="I255" s="3" t="s">
        <v>978</v>
      </c>
      <c r="J255" s="3" t="str">
        <f t="shared" si="7"/>
        <v>INSERT INTO tbFinanceItemSeq(Report,ItemSeqID,ItemSN,ItemID) VALUES('PNLD',240,240,(SELECT TOP 1 ItemID FROM tbFinanceItem where ItemName = '(PNLD)A&amp;G Travelling/Transportation'))</v>
      </c>
      <c r="K255" t="str">
        <f t="shared" si="6"/>
        <v>INSERT INTO tbFinanceItem(ItemName) VALUES('(PNLD)A&amp;G Travelling/Transportation')</v>
      </c>
    </row>
    <row r="256" spans="1:11">
      <c r="A256" t="s">
        <v>74</v>
      </c>
      <c r="B256" t="s">
        <v>322</v>
      </c>
      <c r="C256">
        <v>241</v>
      </c>
      <c r="D256">
        <v>226</v>
      </c>
      <c r="E256">
        <v>241</v>
      </c>
      <c r="F256">
        <v>224</v>
      </c>
      <c r="G256">
        <v>981</v>
      </c>
      <c r="H256" s="125" t="s">
        <v>2584</v>
      </c>
      <c r="I256" t="s">
        <v>548</v>
      </c>
      <c r="J256" t="str">
        <f t="shared" si="7"/>
        <v>INSERT INTO tbFinanceItemSeq(Report,ItemSeqID,ItemSN,ItemID) VALUES('PNLD',241,241,981)</v>
      </c>
      <c r="K256" t="str">
        <f t="shared" si="6"/>
        <v/>
      </c>
    </row>
    <row r="257" spans="1:11">
      <c r="A257" t="s">
        <v>74</v>
      </c>
      <c r="B257" t="s">
        <v>322</v>
      </c>
      <c r="C257">
        <v>242</v>
      </c>
      <c r="D257">
        <v>227</v>
      </c>
      <c r="E257">
        <v>242</v>
      </c>
      <c r="F257">
        <v>225</v>
      </c>
      <c r="G257">
        <v>982</v>
      </c>
      <c r="H257" s="123" t="s">
        <v>2585</v>
      </c>
      <c r="I257" t="s">
        <v>549</v>
      </c>
      <c r="J257" t="str">
        <f t="shared" si="7"/>
        <v>INSERT INTO tbFinanceItemSeq(Report,ItemSeqID,ItemSN,ItemID) VALUES('PNLD',242,242,982)</v>
      </c>
      <c r="K257" t="str">
        <f t="shared" si="6"/>
        <v/>
      </c>
    </row>
    <row r="258" spans="1:11" s="3" customFormat="1">
      <c r="A258" s="3" t="s">
        <v>75</v>
      </c>
      <c r="B258" s="3" t="s">
        <v>322</v>
      </c>
      <c r="C258" s="3">
        <v>243</v>
      </c>
      <c r="E258" s="3">
        <v>243</v>
      </c>
      <c r="G258" s="3" t="str">
        <f>CONCATENATE("(SELECT TOP 1 ItemID FROM tbFinanceItem where ItemName = '",I258,"')")</f>
        <v>(SELECT TOP 1 ItemID FROM tbFinanceItem where ItemName = '(PNLD)A&amp;G Entertainment/Donations')</v>
      </c>
      <c r="H258" s="124" t="s">
        <v>2586</v>
      </c>
      <c r="I258" s="3" t="s">
        <v>977</v>
      </c>
      <c r="J258" s="3" t="str">
        <f>IF(A258&lt;&gt;"Remove",CONCATENATE("INSERT INTO tbFinanceItemSeq(Report,ItemSeqID,ItemSN,ItemID) VALUES('",B258,"',",C258,",",E258,",",G258,")"),"")</f>
        <v>INSERT INTO tbFinanceItemSeq(Report,ItemSeqID,ItemSN,ItemID) VALUES('PNLD',243,243,(SELECT TOP 1 ItemID FROM tbFinanceItem where ItemName = '(PNLD)A&amp;G Entertainment/Donations'))</v>
      </c>
      <c r="K258" t="str">
        <f t="shared" si="6"/>
        <v>INSERT INTO tbFinanceItem(ItemName) VALUES('(PNLD)A&amp;G Entertainment/Donations')</v>
      </c>
    </row>
    <row r="259" spans="1:11" s="2" customFormat="1">
      <c r="A259" s="2" t="s">
        <v>76</v>
      </c>
      <c r="B259" s="2" t="s">
        <v>322</v>
      </c>
      <c r="C259" s="2">
        <v>245</v>
      </c>
      <c r="D259" s="2">
        <v>228</v>
      </c>
      <c r="E259" s="2">
        <v>245</v>
      </c>
      <c r="F259" s="2">
        <v>226</v>
      </c>
      <c r="G259" s="2">
        <v>1360</v>
      </c>
      <c r="H259" s="131"/>
      <c r="I259" s="2" t="s">
        <v>550</v>
      </c>
      <c r="J259" s="2" t="str">
        <f t="shared" si="7"/>
        <v/>
      </c>
      <c r="K259" t="str">
        <f t="shared" ref="K259:K322" si="8">IF(A259&lt;&gt;"New","",CONCATENATE("INSERT INTO tbFinanceItem(ItemName) VALUES('",I259,"')"))</f>
        <v/>
      </c>
    </row>
    <row r="260" spans="1:11">
      <c r="A260" t="s">
        <v>74</v>
      </c>
      <c r="B260" t="s">
        <v>322</v>
      </c>
      <c r="C260">
        <v>244</v>
      </c>
      <c r="D260">
        <v>229</v>
      </c>
      <c r="E260">
        <v>244</v>
      </c>
      <c r="F260">
        <v>227</v>
      </c>
      <c r="G260">
        <v>983</v>
      </c>
      <c r="H260" s="125" t="s">
        <v>2587</v>
      </c>
      <c r="I260" t="s">
        <v>551</v>
      </c>
      <c r="J260" t="str">
        <f t="shared" si="7"/>
        <v>INSERT INTO tbFinanceItemSeq(Report,ItemSeqID,ItemSN,ItemID) VALUES('PNLD',244,244,983)</v>
      </c>
      <c r="K260" t="str">
        <f t="shared" si="8"/>
        <v/>
      </c>
    </row>
    <row r="261" spans="1:11">
      <c r="A261" t="s">
        <v>74</v>
      </c>
      <c r="B261" t="s">
        <v>322</v>
      </c>
      <c r="C261">
        <v>245</v>
      </c>
      <c r="D261">
        <v>230</v>
      </c>
      <c r="E261">
        <v>245</v>
      </c>
      <c r="F261">
        <v>228</v>
      </c>
      <c r="G261">
        <v>984</v>
      </c>
      <c r="H261" s="122" t="s">
        <v>2588</v>
      </c>
      <c r="I261" t="s">
        <v>552</v>
      </c>
      <c r="J261" t="str">
        <f t="shared" si="7"/>
        <v>INSERT INTO tbFinanceItemSeq(Report,ItemSeqID,ItemSN,ItemID) VALUES('PNLD',245,245,984)</v>
      </c>
      <c r="K261" t="str">
        <f t="shared" si="8"/>
        <v/>
      </c>
    </row>
    <row r="262" spans="1:11">
      <c r="A262" t="s">
        <v>74</v>
      </c>
      <c r="B262" t="s">
        <v>322</v>
      </c>
      <c r="C262">
        <v>246</v>
      </c>
      <c r="D262">
        <v>231</v>
      </c>
      <c r="E262">
        <v>246</v>
      </c>
      <c r="F262">
        <v>229</v>
      </c>
      <c r="G262">
        <v>985</v>
      </c>
      <c r="H262" s="122" t="s">
        <v>2589</v>
      </c>
      <c r="I262" t="s">
        <v>553</v>
      </c>
      <c r="J262" t="str">
        <f t="shared" si="7"/>
        <v>INSERT INTO tbFinanceItemSeq(Report,ItemSeqID,ItemSN,ItemID) VALUES('PNLD',246,246,985)</v>
      </c>
      <c r="K262" t="str">
        <f t="shared" si="8"/>
        <v/>
      </c>
    </row>
    <row r="263" spans="1:11">
      <c r="A263" t="s">
        <v>74</v>
      </c>
      <c r="B263" t="s">
        <v>322</v>
      </c>
      <c r="C263">
        <v>247</v>
      </c>
      <c r="D263">
        <v>232</v>
      </c>
      <c r="E263">
        <v>247</v>
      </c>
      <c r="F263">
        <v>230</v>
      </c>
      <c r="G263">
        <v>986</v>
      </c>
      <c r="H263" s="122" t="s">
        <v>2590</v>
      </c>
      <c r="I263" t="s">
        <v>554</v>
      </c>
      <c r="J263" t="str">
        <f t="shared" si="7"/>
        <v>INSERT INTO tbFinanceItemSeq(Report,ItemSeqID,ItemSN,ItemID) VALUES('PNLD',247,247,986)</v>
      </c>
      <c r="K263" t="str">
        <f t="shared" si="8"/>
        <v/>
      </c>
    </row>
    <row r="264" spans="1:11">
      <c r="A264" t="s">
        <v>74</v>
      </c>
      <c r="B264" t="s">
        <v>322</v>
      </c>
      <c r="C264">
        <v>248</v>
      </c>
      <c r="D264">
        <v>233</v>
      </c>
      <c r="E264">
        <v>248</v>
      </c>
      <c r="F264">
        <v>231</v>
      </c>
      <c r="G264">
        <v>987</v>
      </c>
      <c r="H264" s="122" t="s">
        <v>2591</v>
      </c>
      <c r="I264" t="s">
        <v>555</v>
      </c>
      <c r="J264" t="str">
        <f t="shared" si="7"/>
        <v>INSERT INTO tbFinanceItemSeq(Report,ItemSeqID,ItemSN,ItemID) VALUES('PNLD',248,248,987)</v>
      </c>
      <c r="K264" t="str">
        <f t="shared" si="8"/>
        <v/>
      </c>
    </row>
    <row r="265" spans="1:11">
      <c r="A265" t="s">
        <v>74</v>
      </c>
      <c r="B265" t="s">
        <v>322</v>
      </c>
      <c r="C265">
        <v>249</v>
      </c>
      <c r="D265">
        <v>234</v>
      </c>
      <c r="E265">
        <v>249</v>
      </c>
      <c r="F265">
        <v>232</v>
      </c>
      <c r="G265">
        <v>988</v>
      </c>
      <c r="H265" s="122" t="s">
        <v>2592</v>
      </c>
      <c r="I265" t="s">
        <v>556</v>
      </c>
      <c r="J265" t="str">
        <f t="shared" si="7"/>
        <v>INSERT INTO tbFinanceItemSeq(Report,ItemSeqID,ItemSN,ItemID) VALUES('PNLD',249,249,988)</v>
      </c>
      <c r="K265" t="str">
        <f t="shared" si="8"/>
        <v/>
      </c>
    </row>
    <row r="266" spans="1:11">
      <c r="A266" t="s">
        <v>74</v>
      </c>
      <c r="B266" t="s">
        <v>322</v>
      </c>
      <c r="C266">
        <v>250</v>
      </c>
      <c r="D266">
        <v>235</v>
      </c>
      <c r="E266">
        <v>250</v>
      </c>
      <c r="F266">
        <v>233</v>
      </c>
      <c r="G266">
        <v>989</v>
      </c>
      <c r="H266" s="123" t="s">
        <v>2593</v>
      </c>
      <c r="I266" t="s">
        <v>557</v>
      </c>
      <c r="J266" t="str">
        <f t="shared" si="7"/>
        <v>INSERT INTO tbFinanceItemSeq(Report,ItemSeqID,ItemSN,ItemID) VALUES('PNLD',250,250,989)</v>
      </c>
      <c r="K266" t="str">
        <f t="shared" si="8"/>
        <v/>
      </c>
    </row>
    <row r="267" spans="1:11" s="3" customFormat="1">
      <c r="A267" s="3" t="s">
        <v>75</v>
      </c>
      <c r="B267" s="3" t="s">
        <v>322</v>
      </c>
      <c r="C267" s="3">
        <v>251</v>
      </c>
      <c r="E267" s="3">
        <v>251</v>
      </c>
      <c r="G267" s="3" t="str">
        <f>CONCATENATE("(SELECT TOP 1 ItemID FROM tbFinanceItem where ItemName = '",I267,"')")</f>
        <v>(SELECT TOP 1 ItemID FROM tbFinanceItem where ItemName = '(PNLD)A&amp;G Upkeep-Equipment')</v>
      </c>
      <c r="H267" s="126">
        <v>8208</v>
      </c>
      <c r="I267" s="3" t="s">
        <v>988</v>
      </c>
      <c r="J267" s="3" t="str">
        <f t="shared" si="7"/>
        <v>INSERT INTO tbFinanceItemSeq(Report,ItemSeqID,ItemSN,ItemID) VALUES('PNLD',251,251,(SELECT TOP 1 ItemID FROM tbFinanceItem where ItemName = '(PNLD)A&amp;G Upkeep-Equipment'))</v>
      </c>
      <c r="K267" t="str">
        <f t="shared" si="8"/>
        <v>INSERT INTO tbFinanceItem(ItemName) VALUES('(PNLD)A&amp;G Upkeep-Equipment')</v>
      </c>
    </row>
    <row r="268" spans="1:11" s="3" customFormat="1">
      <c r="A268" s="3" t="s">
        <v>75</v>
      </c>
      <c r="B268" s="3" t="s">
        <v>322</v>
      </c>
      <c r="C268" s="3">
        <v>252</v>
      </c>
      <c r="E268" s="3">
        <v>252</v>
      </c>
      <c r="G268" s="3" t="str">
        <f>CONCATENATE("(SELECT TOP 1 ItemID FROM tbFinanceItem where ItemName = '",I268,"')")</f>
        <v>(SELECT TOP 1 ItemID FROM tbFinanceItem where ItemName = '(PNLD)A&amp;G Upkeep-Office Equip')</v>
      </c>
      <c r="H268" s="126">
        <v>8209</v>
      </c>
      <c r="I268" s="3" t="s">
        <v>989</v>
      </c>
      <c r="J268" s="3" t="str">
        <f t="shared" si="7"/>
        <v>INSERT INTO tbFinanceItemSeq(Report,ItemSeqID,ItemSN,ItemID) VALUES('PNLD',252,252,(SELECT TOP 1 ItemID FROM tbFinanceItem where ItemName = '(PNLD)A&amp;G Upkeep-Office Equip'))</v>
      </c>
      <c r="K268" t="str">
        <f t="shared" si="8"/>
        <v>INSERT INTO tbFinanceItem(ItemName) VALUES('(PNLD)A&amp;G Upkeep-Office Equip')</v>
      </c>
    </row>
    <row r="269" spans="1:11">
      <c r="A269" t="s">
        <v>74</v>
      </c>
      <c r="B269" t="s">
        <v>322</v>
      </c>
      <c r="C269">
        <v>253</v>
      </c>
      <c r="D269">
        <v>236</v>
      </c>
      <c r="E269">
        <v>253</v>
      </c>
      <c r="F269">
        <v>234</v>
      </c>
      <c r="G269">
        <v>1361</v>
      </c>
      <c r="H269" s="124" t="s">
        <v>2594</v>
      </c>
      <c r="I269" t="s">
        <v>558</v>
      </c>
      <c r="J269" t="str">
        <f t="shared" si="7"/>
        <v>INSERT INTO tbFinanceItemSeq(Report,ItemSeqID,ItemSN,ItemID) VALUES('PNLD',253,253,1361)</v>
      </c>
      <c r="K269" t="str">
        <f t="shared" si="8"/>
        <v/>
      </c>
    </row>
    <row r="270" spans="1:11">
      <c r="A270" t="s">
        <v>74</v>
      </c>
      <c r="B270" t="s">
        <v>322</v>
      </c>
      <c r="C270">
        <v>254</v>
      </c>
      <c r="D270">
        <v>237</v>
      </c>
      <c r="E270">
        <v>254</v>
      </c>
      <c r="F270">
        <v>235</v>
      </c>
      <c r="G270">
        <v>990</v>
      </c>
      <c r="H270" s="125" t="s">
        <v>2595</v>
      </c>
      <c r="I270" t="s">
        <v>559</v>
      </c>
      <c r="J270" t="str">
        <f t="shared" si="7"/>
        <v>INSERT INTO tbFinanceItemSeq(Report,ItemSeqID,ItemSN,ItemID) VALUES('PNLD',254,254,990)</v>
      </c>
      <c r="K270" t="str">
        <f t="shared" si="8"/>
        <v/>
      </c>
    </row>
    <row r="271" spans="1:11">
      <c r="A271" t="s">
        <v>74</v>
      </c>
      <c r="B271" t="s">
        <v>322</v>
      </c>
      <c r="C271">
        <v>255</v>
      </c>
      <c r="D271">
        <v>238</v>
      </c>
      <c r="E271">
        <v>255</v>
      </c>
      <c r="F271">
        <v>236</v>
      </c>
      <c r="G271">
        <v>991</v>
      </c>
      <c r="H271" s="122" t="s">
        <v>2596</v>
      </c>
      <c r="I271" t="s">
        <v>560</v>
      </c>
      <c r="J271" t="str">
        <f t="shared" si="7"/>
        <v>INSERT INTO tbFinanceItemSeq(Report,ItemSeqID,ItemSN,ItemID) VALUES('PNLD',255,255,991)</v>
      </c>
      <c r="K271" t="str">
        <f t="shared" si="8"/>
        <v/>
      </c>
    </row>
    <row r="272" spans="1:11">
      <c r="A272" t="s">
        <v>74</v>
      </c>
      <c r="B272" t="s">
        <v>322</v>
      </c>
      <c r="C272">
        <v>256</v>
      </c>
      <c r="D272">
        <v>239</v>
      </c>
      <c r="E272">
        <v>256</v>
      </c>
      <c r="F272">
        <v>237</v>
      </c>
      <c r="G272">
        <v>992</v>
      </c>
      <c r="H272" s="122" t="s">
        <v>2597</v>
      </c>
      <c r="I272" t="s">
        <v>561</v>
      </c>
      <c r="J272" t="str">
        <f t="shared" si="7"/>
        <v>INSERT INTO tbFinanceItemSeq(Report,ItemSeqID,ItemSN,ItemID) VALUES('PNLD',256,256,992)</v>
      </c>
      <c r="K272" t="str">
        <f t="shared" si="8"/>
        <v/>
      </c>
    </row>
    <row r="273" spans="1:11">
      <c r="A273" t="s">
        <v>74</v>
      </c>
      <c r="B273" t="s">
        <v>322</v>
      </c>
      <c r="C273">
        <v>257</v>
      </c>
      <c r="D273">
        <v>240</v>
      </c>
      <c r="E273">
        <v>257</v>
      </c>
      <c r="F273">
        <v>238</v>
      </c>
      <c r="G273">
        <v>993</v>
      </c>
      <c r="H273" s="122" t="s">
        <v>2598</v>
      </c>
      <c r="I273" t="s">
        <v>562</v>
      </c>
      <c r="J273" t="str">
        <f t="shared" si="7"/>
        <v>INSERT INTO tbFinanceItemSeq(Report,ItemSeqID,ItemSN,ItemID) VALUES('PNLD',257,257,993)</v>
      </c>
      <c r="K273" t="str">
        <f t="shared" si="8"/>
        <v/>
      </c>
    </row>
    <row r="274" spans="1:11">
      <c r="A274" t="s">
        <v>74</v>
      </c>
      <c r="B274" t="s">
        <v>322</v>
      </c>
      <c r="C274">
        <v>258</v>
      </c>
      <c r="D274">
        <v>241</v>
      </c>
      <c r="E274">
        <v>258</v>
      </c>
      <c r="F274">
        <v>239</v>
      </c>
      <c r="G274">
        <v>994</v>
      </c>
      <c r="H274" s="122" t="s">
        <v>2599</v>
      </c>
      <c r="I274" t="s">
        <v>563</v>
      </c>
      <c r="J274" t="str">
        <f t="shared" si="7"/>
        <v>INSERT INTO tbFinanceItemSeq(Report,ItemSeqID,ItemSN,ItemID) VALUES('PNLD',258,258,994)</v>
      </c>
      <c r="K274" t="str">
        <f t="shared" si="8"/>
        <v/>
      </c>
    </row>
    <row r="275" spans="1:11">
      <c r="A275" t="s">
        <v>74</v>
      </c>
      <c r="B275" t="s">
        <v>322</v>
      </c>
      <c r="C275">
        <v>259</v>
      </c>
      <c r="D275">
        <v>242</v>
      </c>
      <c r="E275">
        <v>259</v>
      </c>
      <c r="F275">
        <v>240</v>
      </c>
      <c r="G275">
        <v>995</v>
      </c>
      <c r="H275" s="122" t="s">
        <v>2600</v>
      </c>
      <c r="I275" t="s">
        <v>564</v>
      </c>
      <c r="J275" t="str">
        <f t="shared" si="7"/>
        <v>INSERT INTO tbFinanceItemSeq(Report,ItemSeqID,ItemSN,ItemID) VALUES('PNLD',259,259,995)</v>
      </c>
      <c r="K275" t="str">
        <f t="shared" si="8"/>
        <v/>
      </c>
    </row>
    <row r="276" spans="1:11">
      <c r="A276" t="s">
        <v>74</v>
      </c>
      <c r="B276" t="s">
        <v>322</v>
      </c>
      <c r="C276">
        <v>260</v>
      </c>
      <c r="D276">
        <v>243</v>
      </c>
      <c r="E276">
        <v>260</v>
      </c>
      <c r="F276">
        <v>241</v>
      </c>
      <c r="G276">
        <v>996</v>
      </c>
      <c r="H276" s="122" t="s">
        <v>2601</v>
      </c>
      <c r="I276" t="s">
        <v>565</v>
      </c>
      <c r="J276" t="str">
        <f t="shared" si="7"/>
        <v>INSERT INTO tbFinanceItemSeq(Report,ItemSeqID,ItemSN,ItemID) VALUES('PNLD',260,260,996)</v>
      </c>
      <c r="K276" t="str">
        <f t="shared" si="8"/>
        <v/>
      </c>
    </row>
    <row r="277" spans="1:11">
      <c r="A277" t="s">
        <v>74</v>
      </c>
      <c r="B277" t="s">
        <v>322</v>
      </c>
      <c r="C277">
        <v>261</v>
      </c>
      <c r="D277">
        <v>244</v>
      </c>
      <c r="E277">
        <v>261</v>
      </c>
      <c r="F277">
        <v>242</v>
      </c>
      <c r="G277">
        <v>997</v>
      </c>
      <c r="H277" s="122" t="s">
        <v>2602</v>
      </c>
      <c r="I277" t="s">
        <v>566</v>
      </c>
      <c r="J277" t="str">
        <f t="shared" si="7"/>
        <v>INSERT INTO tbFinanceItemSeq(Report,ItemSeqID,ItemSN,ItemID) VALUES('PNLD',261,261,997)</v>
      </c>
      <c r="K277" t="str">
        <f t="shared" si="8"/>
        <v/>
      </c>
    </row>
    <row r="278" spans="1:11">
      <c r="A278" t="s">
        <v>74</v>
      </c>
      <c r="B278" t="s">
        <v>322</v>
      </c>
      <c r="C278">
        <v>262</v>
      </c>
      <c r="D278">
        <v>245</v>
      </c>
      <c r="E278">
        <v>262</v>
      </c>
      <c r="F278">
        <v>243</v>
      </c>
      <c r="G278">
        <v>998</v>
      </c>
      <c r="H278" s="122" t="s">
        <v>2603</v>
      </c>
      <c r="I278" t="s">
        <v>567</v>
      </c>
      <c r="J278" t="str">
        <f t="shared" si="7"/>
        <v>INSERT INTO tbFinanceItemSeq(Report,ItemSeqID,ItemSN,ItemID) VALUES('PNLD',262,262,998)</v>
      </c>
      <c r="K278" t="str">
        <f t="shared" si="8"/>
        <v/>
      </c>
    </row>
    <row r="279" spans="1:11">
      <c r="A279" t="s">
        <v>74</v>
      </c>
      <c r="B279" t="s">
        <v>322</v>
      </c>
      <c r="C279">
        <v>263</v>
      </c>
      <c r="D279">
        <v>246</v>
      </c>
      <c r="E279">
        <v>263</v>
      </c>
      <c r="F279">
        <v>244</v>
      </c>
      <c r="G279">
        <v>999</v>
      </c>
      <c r="H279" s="123" t="s">
        <v>2604</v>
      </c>
      <c r="I279" t="s">
        <v>568</v>
      </c>
      <c r="J279" t="str">
        <f t="shared" si="7"/>
        <v>INSERT INTO tbFinanceItemSeq(Report,ItemSeqID,ItemSN,ItemID) VALUES('PNLD',263,263,999)</v>
      </c>
      <c r="K279" t="str">
        <f t="shared" si="8"/>
        <v/>
      </c>
    </row>
    <row r="280" spans="1:11">
      <c r="A280" t="s">
        <v>74</v>
      </c>
      <c r="B280" t="s">
        <v>322</v>
      </c>
      <c r="C280">
        <v>264</v>
      </c>
      <c r="D280">
        <v>247</v>
      </c>
      <c r="E280">
        <v>264</v>
      </c>
      <c r="F280">
        <v>245</v>
      </c>
      <c r="G280">
        <v>1362</v>
      </c>
      <c r="H280" s="124" t="s">
        <v>2605</v>
      </c>
      <c r="I280" t="s">
        <v>569</v>
      </c>
      <c r="J280" t="str">
        <f t="shared" si="7"/>
        <v>INSERT INTO tbFinanceItemSeq(Report,ItemSeqID,ItemSN,ItemID) VALUES('PNLD',264,264,1362)</v>
      </c>
      <c r="K280" t="str">
        <f t="shared" si="8"/>
        <v/>
      </c>
    </row>
    <row r="281" spans="1:11">
      <c r="A281" t="s">
        <v>74</v>
      </c>
      <c r="B281" t="s">
        <v>322</v>
      </c>
      <c r="C281">
        <v>265</v>
      </c>
      <c r="D281">
        <v>248</v>
      </c>
      <c r="E281">
        <v>265</v>
      </c>
      <c r="F281">
        <v>246</v>
      </c>
      <c r="G281">
        <v>1000</v>
      </c>
      <c r="H281" s="125" t="s">
        <v>2606</v>
      </c>
      <c r="I281" t="s">
        <v>570</v>
      </c>
      <c r="J281" t="str">
        <f t="shared" si="7"/>
        <v>INSERT INTO tbFinanceItemSeq(Report,ItemSeqID,ItemSN,ItemID) VALUES('PNLD',265,265,1000)</v>
      </c>
      <c r="K281" t="str">
        <f t="shared" si="8"/>
        <v/>
      </c>
    </row>
    <row r="282" spans="1:11">
      <c r="A282" t="s">
        <v>74</v>
      </c>
      <c r="B282" t="s">
        <v>322</v>
      </c>
      <c r="C282">
        <v>266</v>
      </c>
      <c r="D282">
        <v>249</v>
      </c>
      <c r="E282">
        <v>266</v>
      </c>
      <c r="F282">
        <v>247</v>
      </c>
      <c r="G282">
        <v>1001</v>
      </c>
      <c r="H282" s="122" t="s">
        <v>2607</v>
      </c>
      <c r="I282" t="s">
        <v>571</v>
      </c>
      <c r="J282" t="str">
        <f t="shared" si="7"/>
        <v>INSERT INTO tbFinanceItemSeq(Report,ItemSeqID,ItemSN,ItemID) VALUES('PNLD',266,266,1001)</v>
      </c>
      <c r="K282" t="str">
        <f t="shared" si="8"/>
        <v/>
      </c>
    </row>
    <row r="283" spans="1:11">
      <c r="A283" t="s">
        <v>74</v>
      </c>
      <c r="B283" t="s">
        <v>322</v>
      </c>
      <c r="C283">
        <v>267</v>
      </c>
      <c r="D283">
        <v>250</v>
      </c>
      <c r="E283">
        <v>267</v>
      </c>
      <c r="F283">
        <v>248</v>
      </c>
      <c r="G283">
        <v>1002</v>
      </c>
      <c r="H283" s="122" t="s">
        <v>2608</v>
      </c>
      <c r="I283" t="s">
        <v>572</v>
      </c>
      <c r="J283" t="str">
        <f t="shared" si="7"/>
        <v>INSERT INTO tbFinanceItemSeq(Report,ItemSeqID,ItemSN,ItemID) VALUES('PNLD',267,267,1002)</v>
      </c>
      <c r="K283" t="str">
        <f t="shared" si="8"/>
        <v/>
      </c>
    </row>
    <row r="284" spans="1:11">
      <c r="A284" t="s">
        <v>74</v>
      </c>
      <c r="B284" t="s">
        <v>322</v>
      </c>
      <c r="C284">
        <v>268</v>
      </c>
      <c r="D284">
        <v>251</v>
      </c>
      <c r="E284">
        <v>268</v>
      </c>
      <c r="F284">
        <v>249</v>
      </c>
      <c r="G284">
        <v>1003</v>
      </c>
      <c r="H284" s="122" t="s">
        <v>2609</v>
      </c>
      <c r="I284" t="s">
        <v>573</v>
      </c>
      <c r="J284" t="str">
        <f t="shared" si="7"/>
        <v>INSERT INTO tbFinanceItemSeq(Report,ItemSeqID,ItemSN,ItemID) VALUES('PNLD',268,268,1003)</v>
      </c>
      <c r="K284" t="str">
        <f t="shared" si="8"/>
        <v/>
      </c>
    </row>
    <row r="285" spans="1:11">
      <c r="A285" t="s">
        <v>74</v>
      </c>
      <c r="B285" t="s">
        <v>322</v>
      </c>
      <c r="C285">
        <v>269</v>
      </c>
      <c r="D285">
        <v>252</v>
      </c>
      <c r="E285">
        <v>269</v>
      </c>
      <c r="F285">
        <v>250</v>
      </c>
      <c r="G285">
        <v>1004</v>
      </c>
      <c r="H285" s="122" t="s">
        <v>2610</v>
      </c>
      <c r="I285" t="s">
        <v>574</v>
      </c>
      <c r="J285" t="str">
        <f t="shared" si="7"/>
        <v>INSERT INTO tbFinanceItemSeq(Report,ItemSeqID,ItemSN,ItemID) VALUES('PNLD',269,269,1004)</v>
      </c>
      <c r="K285" t="str">
        <f t="shared" si="8"/>
        <v/>
      </c>
    </row>
    <row r="286" spans="1:11">
      <c r="A286" t="s">
        <v>74</v>
      </c>
      <c r="B286" t="s">
        <v>322</v>
      </c>
      <c r="C286">
        <v>270</v>
      </c>
      <c r="D286">
        <v>253</v>
      </c>
      <c r="E286">
        <v>270</v>
      </c>
      <c r="F286">
        <v>251</v>
      </c>
      <c r="G286">
        <v>1005</v>
      </c>
      <c r="H286" s="122" t="s">
        <v>2611</v>
      </c>
      <c r="I286" t="s">
        <v>575</v>
      </c>
      <c r="J286" t="str">
        <f t="shared" si="7"/>
        <v>INSERT INTO tbFinanceItemSeq(Report,ItemSeqID,ItemSN,ItemID) VALUES('PNLD',270,270,1005)</v>
      </c>
      <c r="K286" t="str">
        <f t="shared" si="8"/>
        <v/>
      </c>
    </row>
    <row r="287" spans="1:11">
      <c r="A287" t="s">
        <v>74</v>
      </c>
      <c r="B287" t="s">
        <v>322</v>
      </c>
      <c r="C287">
        <v>271</v>
      </c>
      <c r="D287">
        <v>254</v>
      </c>
      <c r="E287">
        <v>271</v>
      </c>
      <c r="F287">
        <v>252</v>
      </c>
      <c r="G287">
        <v>1006</v>
      </c>
      <c r="H287" s="122" t="s">
        <v>2612</v>
      </c>
      <c r="I287" t="s">
        <v>576</v>
      </c>
      <c r="J287" t="str">
        <f t="shared" si="7"/>
        <v>INSERT INTO tbFinanceItemSeq(Report,ItemSeqID,ItemSN,ItemID) VALUES('PNLD',271,271,1006)</v>
      </c>
      <c r="K287" t="str">
        <f t="shared" si="8"/>
        <v/>
      </c>
    </row>
    <row r="288" spans="1:11">
      <c r="A288" t="s">
        <v>74</v>
      </c>
      <c r="B288" t="s">
        <v>322</v>
      </c>
      <c r="C288">
        <v>272</v>
      </c>
      <c r="D288">
        <v>255</v>
      </c>
      <c r="E288">
        <v>272</v>
      </c>
      <c r="F288">
        <v>253</v>
      </c>
      <c r="G288">
        <v>1007</v>
      </c>
      <c r="H288" s="122" t="s">
        <v>2613</v>
      </c>
      <c r="I288" t="s">
        <v>577</v>
      </c>
      <c r="J288" t="str">
        <f t="shared" si="7"/>
        <v>INSERT INTO tbFinanceItemSeq(Report,ItemSeqID,ItemSN,ItemID) VALUES('PNLD',272,272,1007)</v>
      </c>
      <c r="K288" t="str">
        <f t="shared" si="8"/>
        <v/>
      </c>
    </row>
    <row r="289" spans="1:11">
      <c r="A289" t="s">
        <v>74</v>
      </c>
      <c r="B289" t="s">
        <v>322</v>
      </c>
      <c r="C289">
        <v>273</v>
      </c>
      <c r="D289">
        <v>256</v>
      </c>
      <c r="E289">
        <v>273</v>
      </c>
      <c r="F289">
        <v>254</v>
      </c>
      <c r="G289">
        <v>1008</v>
      </c>
      <c r="H289" s="123" t="s">
        <v>2614</v>
      </c>
      <c r="I289" t="s">
        <v>578</v>
      </c>
      <c r="J289" t="str">
        <f t="shared" si="7"/>
        <v>INSERT INTO tbFinanceItemSeq(Report,ItemSeqID,ItemSN,ItemID) VALUES('PNLD',273,273,1008)</v>
      </c>
      <c r="K289" t="str">
        <f t="shared" si="8"/>
        <v/>
      </c>
    </row>
    <row r="290" spans="1:11">
      <c r="A290" t="s">
        <v>74</v>
      </c>
      <c r="B290" t="s">
        <v>322</v>
      </c>
      <c r="C290">
        <v>274</v>
      </c>
      <c r="D290">
        <v>257</v>
      </c>
      <c r="E290">
        <v>274</v>
      </c>
      <c r="F290">
        <v>255</v>
      </c>
      <c r="G290">
        <v>1363</v>
      </c>
      <c r="H290" s="124" t="s">
        <v>2615</v>
      </c>
      <c r="I290" t="s">
        <v>579</v>
      </c>
      <c r="J290" t="str">
        <f t="shared" si="7"/>
        <v>INSERT INTO tbFinanceItemSeq(Report,ItemSeqID,ItemSN,ItemID) VALUES('PNLD',274,274,1363)</v>
      </c>
      <c r="K290" t="str">
        <f t="shared" si="8"/>
        <v/>
      </c>
    </row>
    <row r="291" spans="1:11">
      <c r="A291" t="s">
        <v>74</v>
      </c>
      <c r="B291" t="s">
        <v>322</v>
      </c>
      <c r="C291">
        <v>275</v>
      </c>
      <c r="D291">
        <v>258</v>
      </c>
      <c r="E291">
        <v>275</v>
      </c>
      <c r="F291">
        <v>256</v>
      </c>
      <c r="G291">
        <v>1009</v>
      </c>
      <c r="H291" s="125" t="s">
        <v>2616</v>
      </c>
      <c r="I291" t="s">
        <v>580</v>
      </c>
      <c r="J291" t="str">
        <f t="shared" ref="J291:J364" si="9">IF(A291&lt;&gt;"Remove",CONCATENATE("INSERT INTO tbFinanceItemSeq(Report,ItemSeqID,ItemSN,ItemID) VALUES('",B291,"',",C291,",",E291,",",G291,")"),"")</f>
        <v>INSERT INTO tbFinanceItemSeq(Report,ItemSeqID,ItemSN,ItemID) VALUES('PNLD',275,275,1009)</v>
      </c>
      <c r="K291" t="str">
        <f t="shared" si="8"/>
        <v/>
      </c>
    </row>
    <row r="292" spans="1:11">
      <c r="A292" t="s">
        <v>74</v>
      </c>
      <c r="B292" t="s">
        <v>322</v>
      </c>
      <c r="C292">
        <v>276</v>
      </c>
      <c r="D292">
        <v>259</v>
      </c>
      <c r="E292">
        <v>276</v>
      </c>
      <c r="F292">
        <v>257</v>
      </c>
      <c r="G292">
        <v>1010</v>
      </c>
      <c r="H292" s="122" t="s">
        <v>2617</v>
      </c>
      <c r="I292" t="s">
        <v>581</v>
      </c>
      <c r="J292" t="str">
        <f t="shared" si="9"/>
        <v>INSERT INTO tbFinanceItemSeq(Report,ItemSeqID,ItemSN,ItemID) VALUES('PNLD',276,276,1010)</v>
      </c>
      <c r="K292" t="str">
        <f t="shared" si="8"/>
        <v/>
      </c>
    </row>
    <row r="293" spans="1:11">
      <c r="A293" t="s">
        <v>74</v>
      </c>
      <c r="B293" t="s">
        <v>322</v>
      </c>
      <c r="C293">
        <v>277</v>
      </c>
      <c r="D293">
        <v>260</v>
      </c>
      <c r="E293">
        <v>277</v>
      </c>
      <c r="F293">
        <v>258</v>
      </c>
      <c r="G293">
        <v>1011</v>
      </c>
      <c r="H293" s="122" t="s">
        <v>2618</v>
      </c>
      <c r="I293" t="s">
        <v>582</v>
      </c>
      <c r="J293" t="str">
        <f t="shared" si="9"/>
        <v>INSERT INTO tbFinanceItemSeq(Report,ItemSeqID,ItemSN,ItemID) VALUES('PNLD',277,277,1011)</v>
      </c>
      <c r="K293" t="str">
        <f t="shared" si="8"/>
        <v/>
      </c>
    </row>
    <row r="294" spans="1:11">
      <c r="A294" t="s">
        <v>74</v>
      </c>
      <c r="B294" t="s">
        <v>322</v>
      </c>
      <c r="C294">
        <v>278</v>
      </c>
      <c r="D294">
        <v>261</v>
      </c>
      <c r="E294">
        <v>278</v>
      </c>
      <c r="F294">
        <v>259</v>
      </c>
      <c r="G294">
        <v>1012</v>
      </c>
      <c r="H294" s="122" t="s">
        <v>2619</v>
      </c>
      <c r="I294" t="s">
        <v>583</v>
      </c>
      <c r="J294" t="str">
        <f t="shared" si="9"/>
        <v>INSERT INTO tbFinanceItemSeq(Report,ItemSeqID,ItemSN,ItemID) VALUES('PNLD',278,278,1012)</v>
      </c>
      <c r="K294" t="str">
        <f t="shared" si="8"/>
        <v/>
      </c>
    </row>
    <row r="295" spans="1:11">
      <c r="A295" t="s">
        <v>74</v>
      </c>
      <c r="B295" t="s">
        <v>322</v>
      </c>
      <c r="C295">
        <v>279</v>
      </c>
      <c r="D295">
        <v>262</v>
      </c>
      <c r="E295">
        <v>279</v>
      </c>
      <c r="F295">
        <v>260</v>
      </c>
      <c r="G295">
        <v>1013</v>
      </c>
      <c r="H295" s="123" t="s">
        <v>2620</v>
      </c>
      <c r="I295" t="s">
        <v>584</v>
      </c>
      <c r="J295" t="str">
        <f t="shared" si="9"/>
        <v>INSERT INTO tbFinanceItemSeq(Report,ItemSeqID,ItemSN,ItemID) VALUES('PNLD',279,279,1013)</v>
      </c>
      <c r="K295" t="str">
        <f t="shared" si="8"/>
        <v/>
      </c>
    </row>
    <row r="296" spans="1:11">
      <c r="A296" t="s">
        <v>74</v>
      </c>
      <c r="B296" t="s">
        <v>322</v>
      </c>
      <c r="C296">
        <v>280</v>
      </c>
      <c r="D296">
        <v>263</v>
      </c>
      <c r="E296">
        <v>280</v>
      </c>
      <c r="F296">
        <v>261</v>
      </c>
      <c r="G296">
        <v>1364</v>
      </c>
      <c r="H296" s="124" t="s">
        <v>2621</v>
      </c>
      <c r="I296" t="s">
        <v>585</v>
      </c>
      <c r="J296" t="str">
        <f t="shared" si="9"/>
        <v>INSERT INTO tbFinanceItemSeq(Report,ItemSeqID,ItemSN,ItemID) VALUES('PNLD',280,280,1364)</v>
      </c>
      <c r="K296" t="str">
        <f t="shared" si="8"/>
        <v/>
      </c>
    </row>
    <row r="297" spans="1:11">
      <c r="A297" t="s">
        <v>74</v>
      </c>
      <c r="B297" t="s">
        <v>322</v>
      </c>
      <c r="C297">
        <v>281</v>
      </c>
      <c r="D297">
        <v>264</v>
      </c>
      <c r="E297">
        <v>281</v>
      </c>
      <c r="F297">
        <v>262</v>
      </c>
      <c r="G297">
        <v>1014</v>
      </c>
      <c r="H297" s="125" t="s">
        <v>2622</v>
      </c>
      <c r="I297" t="s">
        <v>586</v>
      </c>
      <c r="J297" t="str">
        <f t="shared" si="9"/>
        <v>INSERT INTO tbFinanceItemSeq(Report,ItemSeqID,ItemSN,ItemID) VALUES('PNLD',281,281,1014)</v>
      </c>
      <c r="K297" t="str">
        <f t="shared" si="8"/>
        <v/>
      </c>
    </row>
    <row r="298" spans="1:11">
      <c r="A298" t="s">
        <v>74</v>
      </c>
      <c r="B298" t="s">
        <v>322</v>
      </c>
      <c r="C298">
        <v>282</v>
      </c>
      <c r="D298">
        <v>265</v>
      </c>
      <c r="E298">
        <v>282</v>
      </c>
      <c r="F298">
        <v>263</v>
      </c>
      <c r="G298">
        <v>1015</v>
      </c>
      <c r="H298" s="122" t="s">
        <v>2623</v>
      </c>
      <c r="I298" t="s">
        <v>587</v>
      </c>
      <c r="J298" t="str">
        <f t="shared" si="9"/>
        <v>INSERT INTO tbFinanceItemSeq(Report,ItemSeqID,ItemSN,ItemID) VALUES('PNLD',282,282,1015)</v>
      </c>
      <c r="K298" t="str">
        <f t="shared" si="8"/>
        <v/>
      </c>
    </row>
    <row r="299" spans="1:11">
      <c r="A299" t="s">
        <v>74</v>
      </c>
      <c r="B299" t="s">
        <v>322</v>
      </c>
      <c r="C299">
        <v>283</v>
      </c>
      <c r="D299">
        <v>266</v>
      </c>
      <c r="E299">
        <v>283</v>
      </c>
      <c r="F299">
        <v>264</v>
      </c>
      <c r="G299">
        <v>1016</v>
      </c>
      <c r="H299" s="122" t="s">
        <v>2624</v>
      </c>
      <c r="I299" t="s">
        <v>588</v>
      </c>
      <c r="J299" t="str">
        <f t="shared" si="9"/>
        <v>INSERT INTO tbFinanceItemSeq(Report,ItemSeqID,ItemSN,ItemID) VALUES('PNLD',283,283,1016)</v>
      </c>
      <c r="K299" t="str">
        <f t="shared" si="8"/>
        <v/>
      </c>
    </row>
    <row r="300" spans="1:11">
      <c r="A300" t="s">
        <v>74</v>
      </c>
      <c r="B300" t="s">
        <v>322</v>
      </c>
      <c r="C300">
        <v>284</v>
      </c>
      <c r="D300">
        <v>267</v>
      </c>
      <c r="E300">
        <v>284</v>
      </c>
      <c r="F300">
        <v>265</v>
      </c>
      <c r="G300">
        <v>1017</v>
      </c>
      <c r="H300" s="122" t="s">
        <v>2625</v>
      </c>
      <c r="I300" t="s">
        <v>589</v>
      </c>
      <c r="J300" t="str">
        <f t="shared" si="9"/>
        <v>INSERT INTO tbFinanceItemSeq(Report,ItemSeqID,ItemSN,ItemID) VALUES('PNLD',284,284,1017)</v>
      </c>
      <c r="K300" t="str">
        <f t="shared" si="8"/>
        <v/>
      </c>
    </row>
    <row r="301" spans="1:11">
      <c r="A301" t="s">
        <v>74</v>
      </c>
      <c r="B301" t="s">
        <v>322</v>
      </c>
      <c r="C301">
        <v>285</v>
      </c>
      <c r="D301">
        <v>268</v>
      </c>
      <c r="E301">
        <v>285</v>
      </c>
      <c r="F301">
        <v>266</v>
      </c>
      <c r="G301">
        <v>1018</v>
      </c>
      <c r="H301" s="122" t="s">
        <v>2626</v>
      </c>
      <c r="I301" t="s">
        <v>590</v>
      </c>
      <c r="J301" t="str">
        <f t="shared" si="9"/>
        <v>INSERT INTO tbFinanceItemSeq(Report,ItemSeqID,ItemSN,ItemID) VALUES('PNLD',285,285,1018)</v>
      </c>
      <c r="K301" t="str">
        <f t="shared" si="8"/>
        <v/>
      </c>
    </row>
    <row r="302" spans="1:11">
      <c r="A302" t="s">
        <v>74</v>
      </c>
      <c r="B302" t="s">
        <v>322</v>
      </c>
      <c r="C302">
        <v>286</v>
      </c>
      <c r="D302">
        <v>269</v>
      </c>
      <c r="E302">
        <v>286</v>
      </c>
      <c r="F302">
        <v>267</v>
      </c>
      <c r="G302">
        <v>1019</v>
      </c>
      <c r="H302" s="122" t="s">
        <v>2627</v>
      </c>
      <c r="I302" t="s">
        <v>591</v>
      </c>
      <c r="J302" t="str">
        <f t="shared" si="9"/>
        <v>INSERT INTO tbFinanceItemSeq(Report,ItemSeqID,ItemSN,ItemID) VALUES('PNLD',286,286,1019)</v>
      </c>
      <c r="K302" t="str">
        <f t="shared" si="8"/>
        <v/>
      </c>
    </row>
    <row r="303" spans="1:11">
      <c r="A303" t="s">
        <v>74</v>
      </c>
      <c r="B303" t="s">
        <v>322</v>
      </c>
      <c r="C303">
        <v>287</v>
      </c>
      <c r="D303">
        <v>270</v>
      </c>
      <c r="E303">
        <v>287</v>
      </c>
      <c r="F303">
        <v>268</v>
      </c>
      <c r="G303">
        <v>1020</v>
      </c>
      <c r="H303" s="122" t="s">
        <v>2628</v>
      </c>
      <c r="I303" t="s">
        <v>592</v>
      </c>
      <c r="J303" t="str">
        <f t="shared" si="9"/>
        <v>INSERT INTO tbFinanceItemSeq(Report,ItemSeqID,ItemSN,ItemID) VALUES('PNLD',287,287,1020)</v>
      </c>
      <c r="K303" t="str">
        <f t="shared" si="8"/>
        <v/>
      </c>
    </row>
    <row r="304" spans="1:11">
      <c r="A304" t="s">
        <v>74</v>
      </c>
      <c r="B304" t="s">
        <v>322</v>
      </c>
      <c r="C304">
        <v>288</v>
      </c>
      <c r="D304">
        <v>271</v>
      </c>
      <c r="E304">
        <v>288</v>
      </c>
      <c r="F304">
        <v>269</v>
      </c>
      <c r="G304">
        <v>1021</v>
      </c>
      <c r="H304" s="122" t="s">
        <v>2629</v>
      </c>
      <c r="I304" t="s">
        <v>593</v>
      </c>
      <c r="J304" t="str">
        <f t="shared" si="9"/>
        <v>INSERT INTO tbFinanceItemSeq(Report,ItemSeqID,ItemSN,ItemID) VALUES('PNLD',288,288,1021)</v>
      </c>
      <c r="K304" t="str">
        <f t="shared" si="8"/>
        <v/>
      </c>
    </row>
    <row r="305" spans="1:11">
      <c r="A305" t="s">
        <v>74</v>
      </c>
      <c r="B305" t="s">
        <v>322</v>
      </c>
      <c r="C305">
        <v>289</v>
      </c>
      <c r="D305">
        <v>272</v>
      </c>
      <c r="E305">
        <v>289</v>
      </c>
      <c r="F305">
        <v>270</v>
      </c>
      <c r="G305">
        <v>1389</v>
      </c>
      <c r="H305" s="122" t="s">
        <v>2630</v>
      </c>
      <c r="I305" t="s">
        <v>594</v>
      </c>
      <c r="J305" t="str">
        <f t="shared" si="9"/>
        <v>INSERT INTO tbFinanceItemSeq(Report,ItemSeqID,ItemSN,ItemID) VALUES('PNLD',289,289,1389)</v>
      </c>
      <c r="K305" t="str">
        <f t="shared" si="8"/>
        <v/>
      </c>
    </row>
    <row r="306" spans="1:11">
      <c r="A306" t="s">
        <v>74</v>
      </c>
      <c r="B306" t="s">
        <v>322</v>
      </c>
      <c r="C306">
        <v>290</v>
      </c>
      <c r="D306">
        <v>273</v>
      </c>
      <c r="E306">
        <v>290</v>
      </c>
      <c r="F306">
        <v>271</v>
      </c>
      <c r="G306">
        <v>1022</v>
      </c>
      <c r="H306" s="122" t="s">
        <v>2631</v>
      </c>
      <c r="I306" t="s">
        <v>595</v>
      </c>
      <c r="J306" t="str">
        <f t="shared" si="9"/>
        <v>INSERT INTO tbFinanceItemSeq(Report,ItemSeqID,ItemSN,ItemID) VALUES('PNLD',290,290,1022)</v>
      </c>
      <c r="K306" t="str">
        <f t="shared" si="8"/>
        <v/>
      </c>
    </row>
    <row r="307" spans="1:11">
      <c r="A307" t="s">
        <v>74</v>
      </c>
      <c r="B307" t="s">
        <v>322</v>
      </c>
      <c r="C307">
        <v>291</v>
      </c>
      <c r="D307">
        <v>274</v>
      </c>
      <c r="E307">
        <v>291</v>
      </c>
      <c r="F307">
        <v>272</v>
      </c>
      <c r="G307">
        <v>1023</v>
      </c>
      <c r="H307" s="122" t="s">
        <v>2632</v>
      </c>
      <c r="I307" t="s">
        <v>596</v>
      </c>
      <c r="J307" t="str">
        <f t="shared" si="9"/>
        <v>INSERT INTO tbFinanceItemSeq(Report,ItemSeqID,ItemSN,ItemID) VALUES('PNLD',291,291,1023)</v>
      </c>
      <c r="K307" t="str">
        <f t="shared" si="8"/>
        <v/>
      </c>
    </row>
    <row r="308" spans="1:11">
      <c r="A308" t="s">
        <v>74</v>
      </c>
      <c r="B308" t="s">
        <v>322</v>
      </c>
      <c r="C308">
        <v>292</v>
      </c>
      <c r="D308">
        <v>275</v>
      </c>
      <c r="E308">
        <v>292</v>
      </c>
      <c r="F308">
        <v>273</v>
      </c>
      <c r="G308">
        <v>1024</v>
      </c>
      <c r="H308" s="122" t="s">
        <v>2633</v>
      </c>
      <c r="I308" t="s">
        <v>597</v>
      </c>
      <c r="J308" t="str">
        <f t="shared" si="9"/>
        <v>INSERT INTO tbFinanceItemSeq(Report,ItemSeqID,ItemSN,ItemID) VALUES('PNLD',292,292,1024)</v>
      </c>
      <c r="K308" t="str">
        <f t="shared" si="8"/>
        <v/>
      </c>
    </row>
    <row r="309" spans="1:11">
      <c r="A309" t="s">
        <v>74</v>
      </c>
      <c r="B309" t="s">
        <v>322</v>
      </c>
      <c r="C309">
        <v>293</v>
      </c>
      <c r="D309">
        <v>276</v>
      </c>
      <c r="E309">
        <v>293</v>
      </c>
      <c r="F309">
        <v>274</v>
      </c>
      <c r="G309">
        <v>1025</v>
      </c>
      <c r="H309" s="123" t="s">
        <v>2634</v>
      </c>
      <c r="I309" t="s">
        <v>598</v>
      </c>
      <c r="J309" t="str">
        <f t="shared" si="9"/>
        <v>INSERT INTO tbFinanceItemSeq(Report,ItemSeqID,ItemSN,ItemID) VALUES('PNLD',293,293,1025)</v>
      </c>
      <c r="K309" t="str">
        <f t="shared" si="8"/>
        <v/>
      </c>
    </row>
    <row r="310" spans="1:11">
      <c r="A310" t="s">
        <v>74</v>
      </c>
      <c r="B310" t="s">
        <v>322</v>
      </c>
      <c r="C310">
        <v>294</v>
      </c>
      <c r="D310">
        <v>277</v>
      </c>
      <c r="E310">
        <v>294</v>
      </c>
      <c r="F310">
        <v>275</v>
      </c>
      <c r="G310">
        <v>1365</v>
      </c>
      <c r="H310" s="124" t="s">
        <v>2635</v>
      </c>
      <c r="I310" t="s">
        <v>599</v>
      </c>
      <c r="J310" t="str">
        <f t="shared" si="9"/>
        <v>INSERT INTO tbFinanceItemSeq(Report,ItemSeqID,ItemSN,ItemID) VALUES('PNLD',294,294,1365)</v>
      </c>
      <c r="K310" t="str">
        <f t="shared" si="8"/>
        <v/>
      </c>
    </row>
    <row r="311" spans="1:11">
      <c r="A311" t="s">
        <v>74</v>
      </c>
      <c r="B311" t="s">
        <v>322</v>
      </c>
      <c r="C311">
        <v>295</v>
      </c>
      <c r="D311">
        <v>278</v>
      </c>
      <c r="E311">
        <v>295</v>
      </c>
      <c r="F311">
        <v>276</v>
      </c>
      <c r="G311">
        <v>1373</v>
      </c>
      <c r="H311" s="124" t="s">
        <v>2636</v>
      </c>
      <c r="I311" t="s">
        <v>600</v>
      </c>
      <c r="J311" t="str">
        <f t="shared" si="9"/>
        <v>INSERT INTO tbFinanceItemSeq(Report,ItemSeqID,ItemSN,ItemID) VALUES('PNLD',295,295,1373)</v>
      </c>
      <c r="K311" t="str">
        <f t="shared" si="8"/>
        <v/>
      </c>
    </row>
    <row r="312" spans="1:11">
      <c r="A312" t="s">
        <v>74</v>
      </c>
      <c r="B312" t="s">
        <v>322</v>
      </c>
      <c r="C312">
        <v>296</v>
      </c>
      <c r="D312">
        <v>279</v>
      </c>
      <c r="E312">
        <v>296</v>
      </c>
      <c r="F312">
        <v>277</v>
      </c>
      <c r="G312">
        <v>1374</v>
      </c>
      <c r="H312" s="127" t="s">
        <v>2637</v>
      </c>
      <c r="I312" t="s">
        <v>601</v>
      </c>
      <c r="J312" t="str">
        <f t="shared" si="9"/>
        <v>INSERT INTO tbFinanceItemSeq(Report,ItemSeqID,ItemSN,ItemID) VALUES('PNLD',296,296,1374)</v>
      </c>
      <c r="K312" t="str">
        <f t="shared" si="8"/>
        <v/>
      </c>
    </row>
    <row r="313" spans="1:11">
      <c r="A313" t="s">
        <v>74</v>
      </c>
      <c r="B313" t="s">
        <v>322</v>
      </c>
      <c r="C313">
        <v>297</v>
      </c>
      <c r="D313">
        <v>280</v>
      </c>
      <c r="E313">
        <v>297</v>
      </c>
      <c r="F313">
        <v>278</v>
      </c>
      <c r="G313">
        <v>1026</v>
      </c>
      <c r="H313" s="125" t="s">
        <v>2638</v>
      </c>
      <c r="I313" t="s">
        <v>602</v>
      </c>
      <c r="J313" t="str">
        <f t="shared" si="9"/>
        <v>INSERT INTO tbFinanceItemSeq(Report,ItemSeqID,ItemSN,ItemID) VALUES('PNLD',297,297,1026)</v>
      </c>
      <c r="K313" t="str">
        <f t="shared" si="8"/>
        <v/>
      </c>
    </row>
    <row r="314" spans="1:11">
      <c r="A314" t="s">
        <v>74</v>
      </c>
      <c r="B314" t="s">
        <v>322</v>
      </c>
      <c r="C314">
        <v>298</v>
      </c>
      <c r="D314">
        <v>281</v>
      </c>
      <c r="E314">
        <v>298</v>
      </c>
      <c r="F314">
        <v>279</v>
      </c>
      <c r="G314">
        <v>1027</v>
      </c>
      <c r="H314" s="122" t="s">
        <v>2639</v>
      </c>
      <c r="I314" t="s">
        <v>603</v>
      </c>
      <c r="J314" t="str">
        <f t="shared" si="9"/>
        <v>INSERT INTO tbFinanceItemSeq(Report,ItemSeqID,ItemSN,ItemID) VALUES('PNLD',298,298,1027)</v>
      </c>
      <c r="K314" t="str">
        <f t="shared" si="8"/>
        <v/>
      </c>
    </row>
    <row r="315" spans="1:11">
      <c r="A315" t="s">
        <v>74</v>
      </c>
      <c r="B315" t="s">
        <v>322</v>
      </c>
      <c r="C315">
        <v>299</v>
      </c>
      <c r="D315">
        <v>282</v>
      </c>
      <c r="E315">
        <v>299</v>
      </c>
      <c r="F315">
        <v>280</v>
      </c>
      <c r="G315">
        <v>1028</v>
      </c>
      <c r="H315" s="122" t="s">
        <v>2640</v>
      </c>
      <c r="I315" t="s">
        <v>604</v>
      </c>
      <c r="J315" t="str">
        <f t="shared" si="9"/>
        <v>INSERT INTO tbFinanceItemSeq(Report,ItemSeqID,ItemSN,ItemID) VALUES('PNLD',299,299,1028)</v>
      </c>
      <c r="K315" t="str">
        <f t="shared" si="8"/>
        <v/>
      </c>
    </row>
    <row r="316" spans="1:11" s="2" customFormat="1">
      <c r="A316" s="2" t="s">
        <v>76</v>
      </c>
      <c r="B316" s="2" t="s">
        <v>322</v>
      </c>
      <c r="C316" s="2">
        <v>301</v>
      </c>
      <c r="D316" s="2">
        <v>283</v>
      </c>
      <c r="E316" s="2">
        <v>301</v>
      </c>
      <c r="F316" s="2">
        <v>281</v>
      </c>
      <c r="G316" s="2">
        <v>1587</v>
      </c>
      <c r="H316" s="122"/>
      <c r="I316" s="2" t="s">
        <v>605</v>
      </c>
      <c r="J316" s="2" t="str">
        <f t="shared" si="9"/>
        <v/>
      </c>
      <c r="K316" t="str">
        <f t="shared" si="8"/>
        <v/>
      </c>
    </row>
    <row r="317" spans="1:11" s="2" customFormat="1">
      <c r="A317" s="2" t="s">
        <v>76</v>
      </c>
      <c r="B317" s="2" t="s">
        <v>322</v>
      </c>
      <c r="C317" s="2">
        <v>302</v>
      </c>
      <c r="D317" s="2">
        <v>284</v>
      </c>
      <c r="E317" s="2">
        <v>302</v>
      </c>
      <c r="F317" s="2">
        <v>282</v>
      </c>
      <c r="G317" s="2">
        <v>1586</v>
      </c>
      <c r="H317" s="122"/>
      <c r="I317" s="2" t="s">
        <v>606</v>
      </c>
      <c r="J317" s="2" t="str">
        <f t="shared" si="9"/>
        <v/>
      </c>
      <c r="K317" t="str">
        <f t="shared" si="8"/>
        <v/>
      </c>
    </row>
    <row r="318" spans="1:11" s="2" customFormat="1">
      <c r="A318" s="2" t="s">
        <v>76</v>
      </c>
      <c r="B318" s="2" t="s">
        <v>322</v>
      </c>
      <c r="C318" s="2">
        <v>303</v>
      </c>
      <c r="D318" s="2">
        <v>285</v>
      </c>
      <c r="E318" s="2">
        <v>303</v>
      </c>
      <c r="F318" s="2">
        <v>283</v>
      </c>
      <c r="G318" s="2">
        <v>1029</v>
      </c>
      <c r="H318" s="122"/>
      <c r="I318" s="2" t="s">
        <v>607</v>
      </c>
      <c r="J318" s="2" t="str">
        <f t="shared" si="9"/>
        <v/>
      </c>
      <c r="K318" t="str">
        <f t="shared" si="8"/>
        <v/>
      </c>
    </row>
    <row r="319" spans="1:11" s="2" customFormat="1">
      <c r="A319" s="2" t="s">
        <v>76</v>
      </c>
      <c r="B319" s="2" t="s">
        <v>322</v>
      </c>
      <c r="C319" s="2">
        <v>304</v>
      </c>
      <c r="D319" s="2">
        <v>286</v>
      </c>
      <c r="E319" s="2">
        <v>304</v>
      </c>
      <c r="F319" s="2">
        <v>284</v>
      </c>
      <c r="G319" s="2">
        <v>1030</v>
      </c>
      <c r="H319" s="122"/>
      <c r="I319" s="2" t="s">
        <v>608</v>
      </c>
      <c r="J319" s="2" t="str">
        <f t="shared" si="9"/>
        <v/>
      </c>
      <c r="K319" t="str">
        <f t="shared" si="8"/>
        <v/>
      </c>
    </row>
    <row r="320" spans="1:11" s="3" customFormat="1">
      <c r="A320" s="3" t="s">
        <v>75</v>
      </c>
      <c r="B320" s="3" t="s">
        <v>322</v>
      </c>
      <c r="C320" s="3">
        <v>300</v>
      </c>
      <c r="D320" s="3">
        <v>285</v>
      </c>
      <c r="E320" s="3">
        <v>300</v>
      </c>
      <c r="F320" s="3">
        <v>283</v>
      </c>
      <c r="G320" s="3">
        <v>1029</v>
      </c>
      <c r="H320" s="122" t="s">
        <v>2641</v>
      </c>
      <c r="I320" s="3" t="s">
        <v>607</v>
      </c>
      <c r="J320" s="3" t="str">
        <f>IF(A320&lt;&gt;"Remove",CONCATENATE("INSERT INTO tbFinanceItemSeq(Report,ItemSeqID,ItemSN,ItemID) VALUES('",B320,"',",C320,",",E320,",",G320,")"),"")</f>
        <v>INSERT INTO tbFinanceItemSeq(Report,ItemSeqID,ItemSN,ItemID) VALUES('PNLD',300,300,1029)</v>
      </c>
      <c r="K320" t="str">
        <f t="shared" si="8"/>
        <v>INSERT INTO tbFinanceItem(ItemName) VALUES('(PNLD)A&amp;G Bad Debt Written Off/Recovered')</v>
      </c>
    </row>
    <row r="321" spans="1:11" s="2" customFormat="1">
      <c r="A321" s="3" t="s">
        <v>75</v>
      </c>
      <c r="B321" s="3" t="s">
        <v>322</v>
      </c>
      <c r="C321" s="3">
        <v>301</v>
      </c>
      <c r="D321" s="3">
        <v>284</v>
      </c>
      <c r="E321" s="3">
        <v>301</v>
      </c>
      <c r="F321" s="3">
        <v>282</v>
      </c>
      <c r="G321" s="3">
        <v>1586</v>
      </c>
      <c r="H321" s="122" t="s">
        <v>2642</v>
      </c>
      <c r="I321" s="3" t="s">
        <v>606</v>
      </c>
      <c r="J321" s="3" t="str">
        <f>IF(A321&lt;&gt;"Remove",CONCATENATE("INSERT INTO tbFinanceItemSeq(Report,ItemSeqID,ItemSN,ItemID) VALUES('",B321,"',",C321,",",E321,",",G321,")"),"")</f>
        <v>INSERT INTO tbFinanceItemSeq(Report,ItemSeqID,ItemSN,ItemID) VALUES('PNLD',301,301,1586)</v>
      </c>
      <c r="K321" t="str">
        <f t="shared" si="8"/>
        <v>INSERT INTO tbFinanceItem(ItemName) VALUES('(PNLD)A&amp;G Stocks Written Down/Written Off')</v>
      </c>
    </row>
    <row r="322" spans="1:11" s="2" customFormat="1">
      <c r="A322" s="3" t="s">
        <v>75</v>
      </c>
      <c r="B322" s="3" t="s">
        <v>322</v>
      </c>
      <c r="C322" s="3">
        <v>302</v>
      </c>
      <c r="D322" s="3">
        <v>286</v>
      </c>
      <c r="E322" s="3">
        <v>302</v>
      </c>
      <c r="F322" s="3">
        <v>284</v>
      </c>
      <c r="G322" s="3">
        <v>1030</v>
      </c>
      <c r="H322" s="122" t="s">
        <v>2643</v>
      </c>
      <c r="I322" s="3" t="s">
        <v>608</v>
      </c>
      <c r="J322" s="3" t="str">
        <f>IF(A322&lt;&gt;"Remove",CONCATENATE("INSERT INTO tbFinanceItemSeq(Report,ItemSeqID,ItemSN,ItemID) VALUES('",B322,"',",C322,",",E322,",",G322,")"),"")</f>
        <v>INSERT INTO tbFinanceItemSeq(Report,ItemSeqID,ItemSN,ItemID) VALUES('PNLD',302,302,1030)</v>
      </c>
      <c r="K322" t="str">
        <f t="shared" si="8"/>
        <v>INSERT INTO tbFinanceItem(ItemName) VALUES('(PNLD)A&amp;G GST/VAT Expense Off')</v>
      </c>
    </row>
    <row r="323" spans="1:11" s="2" customFormat="1">
      <c r="A323" s="3" t="s">
        <v>75</v>
      </c>
      <c r="B323" s="3" t="s">
        <v>322</v>
      </c>
      <c r="C323" s="3">
        <v>303</v>
      </c>
      <c r="D323" s="3">
        <v>283</v>
      </c>
      <c r="E323" s="3">
        <v>303</v>
      </c>
      <c r="F323" s="3">
        <v>281</v>
      </c>
      <c r="G323" s="3">
        <v>1587</v>
      </c>
      <c r="H323" s="122" t="s">
        <v>2644</v>
      </c>
      <c r="I323" s="3" t="s">
        <v>605</v>
      </c>
      <c r="J323" s="3" t="str">
        <f>IF(A323&lt;&gt;"Remove",CONCATENATE("INSERT INTO tbFinanceItemSeq(Report,ItemSeqID,ItemSN,ItemID) VALUES('",B323,"',",C323,",",E323,",",G323,")"),"")</f>
        <v>INSERT INTO tbFinanceItemSeq(Report,ItemSeqID,ItemSN,ItemID) VALUES('PNLD',303,303,1587)</v>
      </c>
      <c r="K323" t="str">
        <f t="shared" ref="K323:K381" si="10">IF(A323&lt;&gt;"New","",CONCATENATE("INSERT INTO tbFinanceItem(ItemName) VALUES('",I323,"')"))</f>
        <v>INSERT INTO tbFinanceItem(ItemName) VALUES('(PNLD)A&amp;G Foreign GST/VAT Expense Off-Interco')</v>
      </c>
    </row>
    <row r="324" spans="1:11">
      <c r="A324" t="s">
        <v>74</v>
      </c>
      <c r="B324" t="s">
        <v>322</v>
      </c>
      <c r="C324">
        <v>304</v>
      </c>
      <c r="D324">
        <v>287</v>
      </c>
      <c r="E324">
        <v>304</v>
      </c>
      <c r="F324">
        <v>285</v>
      </c>
      <c r="G324">
        <v>1031</v>
      </c>
      <c r="H324" s="122" t="s">
        <v>2645</v>
      </c>
      <c r="I324" t="s">
        <v>609</v>
      </c>
      <c r="J324" t="str">
        <f t="shared" si="9"/>
        <v>INSERT INTO tbFinanceItemSeq(Report,ItemSeqID,ItemSN,ItemID) VALUES('PNLD',304,304,1031)</v>
      </c>
      <c r="K324" t="str">
        <f t="shared" si="10"/>
        <v/>
      </c>
    </row>
    <row r="325" spans="1:11">
      <c r="A325" t="s">
        <v>74</v>
      </c>
      <c r="B325" t="s">
        <v>322</v>
      </c>
      <c r="C325">
        <v>305</v>
      </c>
      <c r="D325">
        <v>288</v>
      </c>
      <c r="E325">
        <v>305</v>
      </c>
      <c r="F325">
        <v>286</v>
      </c>
      <c r="G325">
        <v>1032</v>
      </c>
      <c r="H325" s="123" t="s">
        <v>2646</v>
      </c>
      <c r="I325" t="s">
        <v>610</v>
      </c>
      <c r="J325" t="str">
        <f t="shared" si="9"/>
        <v>INSERT INTO tbFinanceItemSeq(Report,ItemSeqID,ItemSN,ItemID) VALUES('PNLD',305,305,1032)</v>
      </c>
      <c r="K325" t="str">
        <f t="shared" si="10"/>
        <v/>
      </c>
    </row>
    <row r="326" spans="1:11">
      <c r="A326" t="s">
        <v>74</v>
      </c>
      <c r="B326" t="s">
        <v>322</v>
      </c>
      <c r="C326">
        <v>306</v>
      </c>
      <c r="D326">
        <v>289</v>
      </c>
      <c r="E326">
        <v>306</v>
      </c>
      <c r="F326">
        <v>287</v>
      </c>
      <c r="G326">
        <v>1366</v>
      </c>
      <c r="H326" s="124" t="s">
        <v>2647</v>
      </c>
      <c r="I326" t="s">
        <v>611</v>
      </c>
      <c r="J326" t="str">
        <f t="shared" si="9"/>
        <v>INSERT INTO tbFinanceItemSeq(Report,ItemSeqID,ItemSN,ItemID) VALUES('PNLD',306,306,1366)</v>
      </c>
      <c r="K326" t="str">
        <f t="shared" si="10"/>
        <v/>
      </c>
    </row>
    <row r="327" spans="1:11">
      <c r="A327" t="s">
        <v>74</v>
      </c>
      <c r="B327" t="s">
        <v>322</v>
      </c>
      <c r="C327">
        <v>307</v>
      </c>
      <c r="D327">
        <v>290</v>
      </c>
      <c r="E327">
        <v>307</v>
      </c>
      <c r="F327">
        <v>288</v>
      </c>
      <c r="G327">
        <v>1033</v>
      </c>
      <c r="H327" s="124" t="s">
        <v>2648</v>
      </c>
      <c r="I327" t="s">
        <v>612</v>
      </c>
      <c r="J327" t="str">
        <f t="shared" si="9"/>
        <v>INSERT INTO tbFinanceItemSeq(Report,ItemSeqID,ItemSN,ItemID) VALUES('PNLD',307,307,1033)</v>
      </c>
      <c r="K327" t="str">
        <f t="shared" si="10"/>
        <v/>
      </c>
    </row>
    <row r="328" spans="1:11" s="3" customFormat="1" ht="15.75" thickBot="1">
      <c r="A328" s="3" t="s">
        <v>75</v>
      </c>
      <c r="B328" s="3" t="s">
        <v>322</v>
      </c>
      <c r="C328" s="3">
        <v>308</v>
      </c>
      <c r="E328" s="3">
        <v>308</v>
      </c>
      <c r="G328" s="3">
        <v>1034</v>
      </c>
      <c r="H328" s="128" t="s">
        <v>2649</v>
      </c>
      <c r="I328" s="3" t="s">
        <v>2772</v>
      </c>
      <c r="J328" s="3" t="str">
        <f t="shared" si="9"/>
        <v>INSERT INTO tbFinanceItemSeq(Report,ItemSeqID,ItemSN,ItemID) VALUES('PNLD',308,308,1034)</v>
      </c>
      <c r="K328" s="149" t="s">
        <v>2773</v>
      </c>
    </row>
    <row r="329" spans="1:11" s="2" customFormat="1" ht="15.75" thickTop="1">
      <c r="A329" s="2" t="s">
        <v>76</v>
      </c>
      <c r="B329" s="2" t="s">
        <v>322</v>
      </c>
      <c r="C329" s="2">
        <v>309</v>
      </c>
      <c r="D329" s="2">
        <v>291</v>
      </c>
      <c r="E329" s="2">
        <v>309</v>
      </c>
      <c r="F329" s="2">
        <v>289</v>
      </c>
      <c r="G329" s="2">
        <v>1034</v>
      </c>
      <c r="H329" s="131"/>
      <c r="I329" s="2" t="s">
        <v>613</v>
      </c>
      <c r="J329" s="2" t="str">
        <f t="shared" si="9"/>
        <v/>
      </c>
      <c r="K329" s="149"/>
    </row>
    <row r="330" spans="1:11">
      <c r="A330" t="s">
        <v>74</v>
      </c>
      <c r="B330" t="s">
        <v>322</v>
      </c>
      <c r="C330">
        <v>309</v>
      </c>
      <c r="D330">
        <v>292</v>
      </c>
      <c r="E330">
        <v>309</v>
      </c>
      <c r="F330">
        <v>290</v>
      </c>
      <c r="G330">
        <v>1036</v>
      </c>
      <c r="H330" s="122" t="s">
        <v>2650</v>
      </c>
      <c r="I330" t="s">
        <v>614</v>
      </c>
      <c r="J330" t="str">
        <f t="shared" si="9"/>
        <v>INSERT INTO tbFinanceItemSeq(Report,ItemSeqID,ItemSN,ItemID) VALUES('PNLD',309,309,1036)</v>
      </c>
      <c r="K330" t="str">
        <f t="shared" si="10"/>
        <v/>
      </c>
    </row>
    <row r="331" spans="1:11">
      <c r="A331" t="s">
        <v>74</v>
      </c>
      <c r="B331" t="s">
        <v>322</v>
      </c>
      <c r="C331">
        <v>310</v>
      </c>
      <c r="D331">
        <v>293</v>
      </c>
      <c r="E331">
        <v>310</v>
      </c>
      <c r="F331">
        <v>291</v>
      </c>
      <c r="G331">
        <v>1037</v>
      </c>
      <c r="H331" s="122" t="s">
        <v>2651</v>
      </c>
      <c r="I331" t="s">
        <v>615</v>
      </c>
      <c r="J331" t="str">
        <f t="shared" si="9"/>
        <v>INSERT INTO tbFinanceItemSeq(Report,ItemSeqID,ItemSN,ItemID) VALUES('PNLD',310,310,1037)</v>
      </c>
      <c r="K331" t="str">
        <f t="shared" si="10"/>
        <v/>
      </c>
    </row>
    <row r="332" spans="1:11">
      <c r="A332" t="s">
        <v>74</v>
      </c>
      <c r="B332" t="s">
        <v>322</v>
      </c>
      <c r="C332">
        <v>311</v>
      </c>
      <c r="D332">
        <v>294</v>
      </c>
      <c r="E332">
        <v>311</v>
      </c>
      <c r="F332">
        <v>292</v>
      </c>
      <c r="G332">
        <v>1038</v>
      </c>
      <c r="H332" s="122" t="s">
        <v>2652</v>
      </c>
      <c r="I332" t="s">
        <v>616</v>
      </c>
      <c r="J332" t="str">
        <f t="shared" si="9"/>
        <v>INSERT INTO tbFinanceItemSeq(Report,ItemSeqID,ItemSN,ItemID) VALUES('PNLD',311,311,1038)</v>
      </c>
      <c r="K332" t="str">
        <f t="shared" si="10"/>
        <v/>
      </c>
    </row>
    <row r="333" spans="1:11">
      <c r="A333" t="s">
        <v>74</v>
      </c>
      <c r="B333" t="s">
        <v>322</v>
      </c>
      <c r="C333">
        <v>312</v>
      </c>
      <c r="D333">
        <v>295</v>
      </c>
      <c r="E333">
        <v>312</v>
      </c>
      <c r="F333">
        <v>293</v>
      </c>
      <c r="G333">
        <v>1039</v>
      </c>
      <c r="H333" s="122" t="s">
        <v>2653</v>
      </c>
      <c r="I333" t="s">
        <v>617</v>
      </c>
      <c r="J333" t="str">
        <f t="shared" si="9"/>
        <v>INSERT INTO tbFinanceItemSeq(Report,ItemSeqID,ItemSN,ItemID) VALUES('PNLD',312,312,1039)</v>
      </c>
      <c r="K333" t="str">
        <f t="shared" si="10"/>
        <v/>
      </c>
    </row>
    <row r="334" spans="1:11">
      <c r="A334" t="s">
        <v>74</v>
      </c>
      <c r="B334" t="s">
        <v>322</v>
      </c>
      <c r="C334">
        <v>313</v>
      </c>
      <c r="D334">
        <v>296</v>
      </c>
      <c r="E334">
        <v>313</v>
      </c>
      <c r="F334">
        <v>294</v>
      </c>
      <c r="G334">
        <v>1040</v>
      </c>
      <c r="H334" s="122" t="s">
        <v>2654</v>
      </c>
      <c r="I334" t="s">
        <v>618</v>
      </c>
      <c r="J334" t="str">
        <f t="shared" si="9"/>
        <v>INSERT INTO tbFinanceItemSeq(Report,ItemSeqID,ItemSN,ItemID) VALUES('PNLD',313,313,1040)</v>
      </c>
      <c r="K334" t="str">
        <f t="shared" si="10"/>
        <v/>
      </c>
    </row>
    <row r="335" spans="1:11">
      <c r="A335" t="s">
        <v>74</v>
      </c>
      <c r="B335" t="s">
        <v>322</v>
      </c>
      <c r="C335">
        <v>314</v>
      </c>
      <c r="D335">
        <v>297</v>
      </c>
      <c r="E335">
        <v>314</v>
      </c>
      <c r="F335">
        <v>295</v>
      </c>
      <c r="G335">
        <v>1041</v>
      </c>
      <c r="H335" s="122" t="s">
        <v>2655</v>
      </c>
      <c r="I335" t="s">
        <v>619</v>
      </c>
      <c r="J335" t="str">
        <f t="shared" si="9"/>
        <v>INSERT INTO tbFinanceItemSeq(Report,ItemSeqID,ItemSN,ItemID) VALUES('PNLD',314,314,1041)</v>
      </c>
      <c r="K335" t="str">
        <f t="shared" si="10"/>
        <v/>
      </c>
    </row>
    <row r="336" spans="1:11">
      <c r="A336" t="s">
        <v>74</v>
      </c>
      <c r="B336" t="s">
        <v>322</v>
      </c>
      <c r="C336">
        <v>315</v>
      </c>
      <c r="D336">
        <v>298</v>
      </c>
      <c r="E336">
        <v>315</v>
      </c>
      <c r="F336">
        <v>296</v>
      </c>
      <c r="G336">
        <v>1042</v>
      </c>
      <c r="H336" s="122" t="s">
        <v>2656</v>
      </c>
      <c r="I336" t="s">
        <v>620</v>
      </c>
      <c r="J336" t="str">
        <f t="shared" si="9"/>
        <v>INSERT INTO tbFinanceItemSeq(Report,ItemSeqID,ItemSN,ItemID) VALUES('PNLD',315,315,1042)</v>
      </c>
      <c r="K336" t="str">
        <f t="shared" si="10"/>
        <v/>
      </c>
    </row>
    <row r="337" spans="1:11">
      <c r="A337" t="s">
        <v>74</v>
      </c>
      <c r="B337" t="s">
        <v>322</v>
      </c>
      <c r="C337">
        <v>316</v>
      </c>
      <c r="D337">
        <v>299</v>
      </c>
      <c r="E337">
        <v>316</v>
      </c>
      <c r="F337">
        <v>297</v>
      </c>
      <c r="G337">
        <v>1043</v>
      </c>
      <c r="H337" s="122" t="s">
        <v>2657</v>
      </c>
      <c r="I337" t="s">
        <v>621</v>
      </c>
      <c r="J337" t="str">
        <f t="shared" si="9"/>
        <v>INSERT INTO tbFinanceItemSeq(Report,ItemSeqID,ItemSN,ItemID) VALUES('PNLD',316,316,1043)</v>
      </c>
      <c r="K337" t="str">
        <f t="shared" si="10"/>
        <v/>
      </c>
    </row>
    <row r="338" spans="1:11">
      <c r="A338" t="s">
        <v>74</v>
      </c>
      <c r="B338" t="s">
        <v>322</v>
      </c>
      <c r="C338">
        <v>317</v>
      </c>
      <c r="D338">
        <v>300</v>
      </c>
      <c r="E338">
        <v>317</v>
      </c>
      <c r="F338">
        <v>298</v>
      </c>
      <c r="G338">
        <v>1044</v>
      </c>
      <c r="H338" s="122" t="s">
        <v>2658</v>
      </c>
      <c r="I338" t="s">
        <v>622</v>
      </c>
      <c r="J338" t="str">
        <f t="shared" si="9"/>
        <v>INSERT INTO tbFinanceItemSeq(Report,ItemSeqID,ItemSN,ItemID) VALUES('PNLD',317,317,1044)</v>
      </c>
      <c r="K338" t="str">
        <f t="shared" si="10"/>
        <v/>
      </c>
    </row>
    <row r="339" spans="1:11" s="3" customFormat="1">
      <c r="A339" s="3" t="s">
        <v>75</v>
      </c>
      <c r="B339" s="3" t="s">
        <v>322</v>
      </c>
      <c r="C339" s="3">
        <v>318</v>
      </c>
      <c r="E339" s="3">
        <v>318</v>
      </c>
      <c r="G339" s="3" t="str">
        <f>CONCATENATE("(SELECT TOP 1 ItemID FROM tbFinanceItem where ItemName = '",I339,"')")</f>
        <v>(SELECT TOP 1 ItemID FROM tbFinanceItem where ItemName = '(PNLD)Interest (Expense)')</v>
      </c>
      <c r="H339" s="124" t="s">
        <v>2659</v>
      </c>
      <c r="I339" s="45" t="s">
        <v>979</v>
      </c>
      <c r="J339" s="3" t="str">
        <f t="shared" si="9"/>
        <v>INSERT INTO tbFinanceItemSeq(Report,ItemSeqID,ItemSN,ItemID) VALUES('PNLD',318,318,(SELECT TOP 1 ItemID FROM tbFinanceItem where ItemName = '(PNLD)Interest (Expense)'))</v>
      </c>
      <c r="K339" t="str">
        <f t="shared" si="10"/>
        <v>INSERT INTO tbFinanceItem(ItemName) VALUES('(PNLD)Interest (Expense)')</v>
      </c>
    </row>
    <row r="340" spans="1:11" s="2" customFormat="1">
      <c r="A340" s="2" t="s">
        <v>76</v>
      </c>
      <c r="B340" s="2" t="s">
        <v>322</v>
      </c>
      <c r="C340" s="2">
        <v>319</v>
      </c>
      <c r="D340" s="2">
        <v>301</v>
      </c>
      <c r="E340" s="2">
        <v>319</v>
      </c>
      <c r="F340" s="2">
        <v>301</v>
      </c>
      <c r="G340" s="2">
        <v>1047</v>
      </c>
      <c r="H340" s="131"/>
      <c r="I340" s="2" t="s">
        <v>623</v>
      </c>
      <c r="J340" s="2" t="str">
        <f t="shared" si="9"/>
        <v/>
      </c>
      <c r="K340" t="str">
        <f t="shared" si="10"/>
        <v/>
      </c>
    </row>
    <row r="341" spans="1:11" s="2" customFormat="1">
      <c r="A341" s="2" t="s">
        <v>76</v>
      </c>
      <c r="B341" s="2" t="s">
        <v>322</v>
      </c>
      <c r="C341" s="2">
        <v>320</v>
      </c>
      <c r="D341" s="2">
        <v>302</v>
      </c>
      <c r="E341" s="2">
        <v>320</v>
      </c>
      <c r="F341" s="2">
        <v>302</v>
      </c>
      <c r="G341" s="2">
        <v>1048</v>
      </c>
      <c r="H341" s="131"/>
      <c r="I341" s="2" t="s">
        <v>624</v>
      </c>
      <c r="J341" s="2" t="str">
        <f t="shared" si="9"/>
        <v/>
      </c>
      <c r="K341" t="str">
        <f t="shared" si="10"/>
        <v/>
      </c>
    </row>
    <row r="342" spans="1:11" s="2" customFormat="1">
      <c r="A342" s="2" t="s">
        <v>76</v>
      </c>
      <c r="B342" s="2" t="s">
        <v>322</v>
      </c>
      <c r="C342" s="2">
        <v>321</v>
      </c>
      <c r="D342" s="2">
        <v>303</v>
      </c>
      <c r="E342" s="2">
        <v>321</v>
      </c>
      <c r="F342" s="2">
        <v>303</v>
      </c>
      <c r="G342" s="2">
        <v>1367</v>
      </c>
      <c r="H342" s="131"/>
      <c r="I342" s="2" t="s">
        <v>625</v>
      </c>
      <c r="J342" s="2" t="str">
        <f t="shared" si="9"/>
        <v/>
      </c>
      <c r="K342" t="str">
        <f t="shared" si="10"/>
        <v/>
      </c>
    </row>
    <row r="343" spans="1:11" s="2" customFormat="1">
      <c r="A343" s="2" t="s">
        <v>76</v>
      </c>
      <c r="B343" s="2" t="s">
        <v>322</v>
      </c>
      <c r="C343" s="2">
        <v>322</v>
      </c>
      <c r="D343" s="2">
        <v>304</v>
      </c>
      <c r="E343" s="2">
        <v>322</v>
      </c>
      <c r="F343" s="2">
        <v>299</v>
      </c>
      <c r="G343" s="2">
        <v>1045</v>
      </c>
      <c r="H343" s="131"/>
      <c r="I343" s="2" t="s">
        <v>626</v>
      </c>
      <c r="J343" s="2" t="str">
        <f t="shared" si="9"/>
        <v/>
      </c>
      <c r="K343" t="str">
        <f t="shared" si="10"/>
        <v/>
      </c>
    </row>
    <row r="344" spans="1:11" s="2" customFormat="1">
      <c r="A344" s="2" t="s">
        <v>76</v>
      </c>
      <c r="B344" s="2" t="s">
        <v>322</v>
      </c>
      <c r="C344" s="2">
        <v>323</v>
      </c>
      <c r="D344" s="2">
        <v>305</v>
      </c>
      <c r="E344" s="2">
        <v>323</v>
      </c>
      <c r="F344" s="2">
        <v>300</v>
      </c>
      <c r="G344" s="2">
        <v>1046</v>
      </c>
      <c r="H344" s="131"/>
      <c r="I344" s="2" t="s">
        <v>627</v>
      </c>
      <c r="J344" s="2" t="str">
        <f t="shared" si="9"/>
        <v/>
      </c>
      <c r="K344" t="str">
        <f t="shared" si="10"/>
        <v/>
      </c>
    </row>
    <row r="345" spans="1:11" s="3" customFormat="1">
      <c r="A345" s="3" t="s">
        <v>75</v>
      </c>
      <c r="B345" s="3" t="s">
        <v>322</v>
      </c>
      <c r="C345" s="3">
        <v>319</v>
      </c>
      <c r="D345" s="3">
        <v>304</v>
      </c>
      <c r="E345" s="3">
        <v>319</v>
      </c>
      <c r="F345" s="3">
        <v>299</v>
      </c>
      <c r="G345" s="3">
        <v>1045</v>
      </c>
      <c r="H345" s="122" t="s">
        <v>2660</v>
      </c>
      <c r="I345" s="3" t="s">
        <v>626</v>
      </c>
      <c r="J345" s="3" t="str">
        <f>IF(A345&lt;&gt;"Remove",CONCATENATE("INSERT INTO tbFinanceItemSeq(Report,ItemSeqID,ItemSN,ItemID) VALUES('",B345,"',",C345,",",E345,",",G345,")"),"")</f>
        <v>INSERT INTO tbFinanceItemSeq(Report,ItemSeqID,ItemSN,ItemID) VALUES('PNLD',319,319,1045)</v>
      </c>
      <c r="K345" t="str">
        <f t="shared" si="10"/>
        <v>INSERT INTO tbFinanceItem(ItemName) VALUES('(PNLD)Gain/(Loss) on Derivatives-Reald')</v>
      </c>
    </row>
    <row r="346" spans="1:11" s="3" customFormat="1">
      <c r="A346" s="3" t="s">
        <v>75</v>
      </c>
      <c r="B346" s="3" t="s">
        <v>322</v>
      </c>
      <c r="C346" s="3">
        <v>320</v>
      </c>
      <c r="D346" s="3">
        <v>305</v>
      </c>
      <c r="E346" s="3">
        <v>320</v>
      </c>
      <c r="F346" s="3">
        <v>300</v>
      </c>
      <c r="G346" s="3">
        <v>1046</v>
      </c>
      <c r="H346" s="122" t="s">
        <v>2661</v>
      </c>
      <c r="I346" s="3" t="s">
        <v>627</v>
      </c>
      <c r="J346" s="3" t="str">
        <f>IF(A346&lt;&gt;"Remove",CONCATENATE("INSERT INTO tbFinanceItemSeq(Report,ItemSeqID,ItemSN,ItemID) VALUES('",B346,"',",C346,",",E346,",",G346,")"),"")</f>
        <v>INSERT INTO tbFinanceItemSeq(Report,ItemSeqID,ItemSN,ItemID) VALUES('PNLD',320,320,1046)</v>
      </c>
      <c r="K346" t="str">
        <f t="shared" si="10"/>
        <v>INSERT INTO tbFinanceItem(ItemName) VALUES('(PNLD)Gain/(Loss) on Derivatives-Unreald')</v>
      </c>
    </row>
    <row r="347" spans="1:11" s="3" customFormat="1">
      <c r="A347" s="3" t="s">
        <v>75</v>
      </c>
      <c r="B347" s="3" t="s">
        <v>322</v>
      </c>
      <c r="C347" s="3">
        <v>321</v>
      </c>
      <c r="D347" s="3">
        <v>301</v>
      </c>
      <c r="E347" s="3">
        <v>321</v>
      </c>
      <c r="F347" s="3">
        <v>301</v>
      </c>
      <c r="G347" s="3">
        <v>1047</v>
      </c>
      <c r="H347" s="122" t="s">
        <v>2662</v>
      </c>
      <c r="I347" s="3" t="s">
        <v>623</v>
      </c>
      <c r="J347" s="3" t="str">
        <f>IF(A347&lt;&gt;"Remove",CONCATENATE("INSERT INTO tbFinanceItemSeq(Report,ItemSeqID,ItemSN,ItemID) VALUES('",B347,"',",C347,",",E347,",",G347,")"),"")</f>
        <v>INSERT INTO tbFinanceItemSeq(Report,ItemSeqID,ItemSN,ItemID) VALUES('PNLD',321,321,1047)</v>
      </c>
      <c r="K347" t="str">
        <f t="shared" si="10"/>
        <v>INSERT INTO tbFinanceItem(ItemName) VALUES('(PNLD)Gain/(loss) on Exch Diff-Reald')</v>
      </c>
    </row>
    <row r="348" spans="1:11" s="3" customFormat="1">
      <c r="A348" s="3" t="s">
        <v>75</v>
      </c>
      <c r="B348" s="3" t="s">
        <v>322</v>
      </c>
      <c r="C348" s="3">
        <v>322</v>
      </c>
      <c r="D348" s="3">
        <v>302</v>
      </c>
      <c r="E348" s="3">
        <v>322</v>
      </c>
      <c r="F348" s="3">
        <v>302</v>
      </c>
      <c r="G348" s="3">
        <v>1048</v>
      </c>
      <c r="H348" s="123" t="s">
        <v>2663</v>
      </c>
      <c r="I348" s="3" t="s">
        <v>624</v>
      </c>
      <c r="J348" s="3" t="str">
        <f>IF(A348&lt;&gt;"Remove",CONCATENATE("INSERT INTO tbFinanceItemSeq(Report,ItemSeqID,ItemSN,ItemID) VALUES('",B348,"',",C348,",",E348,",",G348,")"),"")</f>
        <v>INSERT INTO tbFinanceItemSeq(Report,ItemSeqID,ItemSN,ItemID) VALUES('PNLD',322,322,1048)</v>
      </c>
      <c r="K348" t="str">
        <f t="shared" si="10"/>
        <v>INSERT INTO tbFinanceItem(ItemName) VALUES('(PNLD)Gain/(Loss) on Exch Diff-Unreald')</v>
      </c>
    </row>
    <row r="349" spans="1:11" s="2" customFormat="1">
      <c r="A349" s="2" t="s">
        <v>76</v>
      </c>
      <c r="B349" s="2" t="s">
        <v>322</v>
      </c>
      <c r="C349" s="2">
        <v>324</v>
      </c>
      <c r="D349" s="2">
        <v>306</v>
      </c>
      <c r="E349" s="2">
        <v>324</v>
      </c>
      <c r="F349" s="2">
        <v>304</v>
      </c>
      <c r="G349" s="2">
        <v>1050</v>
      </c>
      <c r="H349" s="123"/>
      <c r="I349" s="2" t="s">
        <v>628</v>
      </c>
      <c r="J349" s="2" t="str">
        <f t="shared" si="9"/>
        <v/>
      </c>
      <c r="K349" t="str">
        <f t="shared" si="10"/>
        <v/>
      </c>
    </row>
    <row r="350" spans="1:11" s="2" customFormat="1">
      <c r="A350" s="2" t="s">
        <v>76</v>
      </c>
      <c r="B350" s="2" t="s">
        <v>322</v>
      </c>
      <c r="C350" s="2">
        <v>325</v>
      </c>
      <c r="D350" s="2">
        <v>307</v>
      </c>
      <c r="E350" s="2">
        <v>325</v>
      </c>
      <c r="F350" s="2">
        <v>305</v>
      </c>
      <c r="G350" s="2">
        <v>1051</v>
      </c>
      <c r="H350" s="123"/>
      <c r="I350" s="2" t="s">
        <v>629</v>
      </c>
      <c r="J350" s="2" t="str">
        <f t="shared" si="9"/>
        <v/>
      </c>
      <c r="K350" t="str">
        <f t="shared" si="10"/>
        <v/>
      </c>
    </row>
    <row r="351" spans="1:11">
      <c r="A351" t="s">
        <v>74</v>
      </c>
      <c r="B351" t="s">
        <v>322</v>
      </c>
      <c r="C351">
        <v>323</v>
      </c>
      <c r="D351">
        <v>308</v>
      </c>
      <c r="E351">
        <v>323</v>
      </c>
      <c r="F351">
        <v>306</v>
      </c>
      <c r="G351">
        <v>1052</v>
      </c>
      <c r="H351" s="122" t="s">
        <v>2664</v>
      </c>
      <c r="I351" t="s">
        <v>630</v>
      </c>
      <c r="J351" t="str">
        <f t="shared" si="9"/>
        <v>INSERT INTO tbFinanceItemSeq(Report,ItemSeqID,ItemSN,ItemID) VALUES('PNLD',323,323,1052)</v>
      </c>
      <c r="K351" t="str">
        <f t="shared" si="10"/>
        <v/>
      </c>
    </row>
    <row r="352" spans="1:11" s="2" customFormat="1">
      <c r="A352" s="2" t="s">
        <v>76</v>
      </c>
      <c r="B352" s="2" t="s">
        <v>322</v>
      </c>
      <c r="C352" s="2">
        <v>327</v>
      </c>
      <c r="D352" s="2">
        <v>309</v>
      </c>
      <c r="E352" s="2">
        <v>327</v>
      </c>
      <c r="F352" s="2">
        <v>307</v>
      </c>
      <c r="G352" s="2">
        <v>1053</v>
      </c>
      <c r="H352" s="122"/>
      <c r="I352" s="2" t="s">
        <v>631</v>
      </c>
      <c r="J352" s="2" t="str">
        <f t="shared" si="9"/>
        <v/>
      </c>
      <c r="K352" t="str">
        <f t="shared" si="10"/>
        <v/>
      </c>
    </row>
    <row r="353" spans="1:11">
      <c r="A353" t="s">
        <v>74</v>
      </c>
      <c r="B353" t="s">
        <v>322</v>
      </c>
      <c r="C353">
        <v>324</v>
      </c>
      <c r="D353">
        <v>310</v>
      </c>
      <c r="E353">
        <v>324</v>
      </c>
      <c r="F353">
        <v>308</v>
      </c>
      <c r="G353">
        <v>1054</v>
      </c>
      <c r="H353" s="122" t="s">
        <v>2665</v>
      </c>
      <c r="I353" t="s">
        <v>632</v>
      </c>
      <c r="J353" t="str">
        <f t="shared" si="9"/>
        <v>INSERT INTO tbFinanceItemSeq(Report,ItemSeqID,ItemSN,ItemID) VALUES('PNLD',324,324,1054)</v>
      </c>
      <c r="K353" t="str">
        <f t="shared" si="10"/>
        <v/>
      </c>
    </row>
    <row r="354" spans="1:11">
      <c r="A354" t="s">
        <v>74</v>
      </c>
      <c r="B354" t="s">
        <v>322</v>
      </c>
      <c r="C354">
        <v>325</v>
      </c>
      <c r="D354">
        <v>311</v>
      </c>
      <c r="E354">
        <v>325</v>
      </c>
      <c r="F354">
        <v>309</v>
      </c>
      <c r="G354">
        <v>1055</v>
      </c>
      <c r="H354" s="122" t="s">
        <v>2666</v>
      </c>
      <c r="I354" t="s">
        <v>633</v>
      </c>
      <c r="J354" t="str">
        <f t="shared" si="9"/>
        <v>INSERT INTO tbFinanceItemSeq(Report,ItemSeqID,ItemSN,ItemID) VALUES('PNLD',325,325,1055)</v>
      </c>
      <c r="K354" t="str">
        <f t="shared" si="10"/>
        <v/>
      </c>
    </row>
    <row r="355" spans="1:11" s="2" customFormat="1">
      <c r="A355" s="2" t="s">
        <v>76</v>
      </c>
      <c r="B355" s="2" t="s">
        <v>322</v>
      </c>
      <c r="C355" s="2">
        <v>330</v>
      </c>
      <c r="D355" s="2">
        <v>312</v>
      </c>
      <c r="E355" s="2">
        <v>330</v>
      </c>
      <c r="F355" s="2">
        <v>310</v>
      </c>
      <c r="G355" s="2">
        <v>1056</v>
      </c>
      <c r="H355" s="122"/>
      <c r="I355" s="2" t="s">
        <v>634</v>
      </c>
      <c r="J355" s="2" t="str">
        <f t="shared" si="9"/>
        <v/>
      </c>
      <c r="K355" t="str">
        <f t="shared" si="10"/>
        <v/>
      </c>
    </row>
    <row r="356" spans="1:11" s="2" customFormat="1">
      <c r="A356" s="2" t="s">
        <v>76</v>
      </c>
      <c r="B356" s="2" t="s">
        <v>322</v>
      </c>
      <c r="C356" s="2">
        <v>331</v>
      </c>
      <c r="D356" s="2">
        <v>313</v>
      </c>
      <c r="E356" s="2">
        <v>331</v>
      </c>
      <c r="F356" s="2">
        <v>311</v>
      </c>
      <c r="G356" s="2">
        <v>1057</v>
      </c>
      <c r="H356" s="122"/>
      <c r="I356" s="2" t="s">
        <v>635</v>
      </c>
      <c r="J356" s="2" t="str">
        <f t="shared" si="9"/>
        <v/>
      </c>
      <c r="K356" t="str">
        <f t="shared" si="10"/>
        <v/>
      </c>
    </row>
    <row r="357" spans="1:11" s="2" customFormat="1">
      <c r="A357" s="2" t="s">
        <v>76</v>
      </c>
      <c r="B357" s="2" t="s">
        <v>322</v>
      </c>
      <c r="C357" s="2">
        <v>332</v>
      </c>
      <c r="D357" s="2">
        <v>314</v>
      </c>
      <c r="E357" s="2">
        <v>332</v>
      </c>
      <c r="F357" s="2">
        <v>312</v>
      </c>
      <c r="G357" s="2">
        <v>1058</v>
      </c>
      <c r="H357" s="122"/>
      <c r="I357" s="2" t="s">
        <v>636</v>
      </c>
      <c r="J357" s="2" t="str">
        <f t="shared" si="9"/>
        <v/>
      </c>
      <c r="K357" t="str">
        <f t="shared" si="10"/>
        <v/>
      </c>
    </row>
    <row r="358" spans="1:11" s="2" customFormat="1">
      <c r="A358" s="2" t="s">
        <v>76</v>
      </c>
      <c r="B358" s="2" t="s">
        <v>322</v>
      </c>
      <c r="C358" s="2">
        <v>333</v>
      </c>
      <c r="D358" s="2">
        <v>315</v>
      </c>
      <c r="E358" s="2">
        <v>333</v>
      </c>
      <c r="F358" s="2">
        <v>313</v>
      </c>
      <c r="G358" s="2">
        <v>1059</v>
      </c>
      <c r="H358" s="122"/>
      <c r="I358" s="2" t="s">
        <v>637</v>
      </c>
      <c r="J358" s="2" t="str">
        <f t="shared" si="9"/>
        <v/>
      </c>
      <c r="K358" t="str">
        <f t="shared" si="10"/>
        <v/>
      </c>
    </row>
    <row r="359" spans="1:11" s="2" customFormat="1">
      <c r="A359" s="2" t="s">
        <v>76</v>
      </c>
      <c r="B359" s="2" t="s">
        <v>322</v>
      </c>
      <c r="C359" s="2">
        <v>334</v>
      </c>
      <c r="D359" s="2">
        <v>316</v>
      </c>
      <c r="E359" s="2">
        <v>334</v>
      </c>
      <c r="F359" s="2">
        <v>314</v>
      </c>
      <c r="G359" s="2">
        <v>1060</v>
      </c>
      <c r="H359" s="122"/>
      <c r="I359" s="2" t="s">
        <v>638</v>
      </c>
      <c r="J359" s="2" t="str">
        <f t="shared" si="9"/>
        <v/>
      </c>
      <c r="K359" t="str">
        <f t="shared" si="10"/>
        <v/>
      </c>
    </row>
    <row r="360" spans="1:11" s="2" customFormat="1">
      <c r="A360" s="2" t="s">
        <v>76</v>
      </c>
      <c r="B360" s="2" t="s">
        <v>322</v>
      </c>
      <c r="C360" s="2">
        <v>335</v>
      </c>
      <c r="D360" s="2">
        <v>317</v>
      </c>
      <c r="E360" s="2">
        <v>335</v>
      </c>
      <c r="F360" s="2">
        <v>315</v>
      </c>
      <c r="G360" s="2">
        <v>1061</v>
      </c>
      <c r="H360" s="122"/>
      <c r="I360" s="2" t="s">
        <v>639</v>
      </c>
      <c r="J360" s="2" t="str">
        <f t="shared" si="9"/>
        <v/>
      </c>
      <c r="K360" t="str">
        <f t="shared" si="10"/>
        <v/>
      </c>
    </row>
    <row r="361" spans="1:11" s="2" customFormat="1">
      <c r="A361" s="2" t="s">
        <v>76</v>
      </c>
      <c r="B361" s="2" t="s">
        <v>322</v>
      </c>
      <c r="C361" s="2">
        <v>336</v>
      </c>
      <c r="D361" s="2">
        <v>318</v>
      </c>
      <c r="E361" s="2">
        <v>336</v>
      </c>
      <c r="F361" s="2">
        <v>316</v>
      </c>
      <c r="G361" s="2">
        <v>1062</v>
      </c>
      <c r="H361" s="122"/>
      <c r="I361" s="2" t="s">
        <v>640</v>
      </c>
      <c r="J361" s="2" t="str">
        <f t="shared" si="9"/>
        <v/>
      </c>
      <c r="K361" t="str">
        <f t="shared" si="10"/>
        <v/>
      </c>
    </row>
    <row r="362" spans="1:11" s="2" customFormat="1">
      <c r="A362" s="2" t="s">
        <v>76</v>
      </c>
      <c r="B362" s="2" t="s">
        <v>322</v>
      </c>
      <c r="C362" s="2">
        <v>337</v>
      </c>
      <c r="D362" s="2">
        <v>319</v>
      </c>
      <c r="E362" s="2">
        <v>337</v>
      </c>
      <c r="F362" s="2">
        <v>317</v>
      </c>
      <c r="G362" s="2">
        <v>1063</v>
      </c>
      <c r="H362" s="122"/>
      <c r="I362" s="2" t="s">
        <v>641</v>
      </c>
      <c r="J362" s="2" t="str">
        <f t="shared" si="9"/>
        <v/>
      </c>
      <c r="K362" t="str">
        <f t="shared" si="10"/>
        <v/>
      </c>
    </row>
    <row r="363" spans="1:11" s="2" customFormat="1">
      <c r="A363" s="2" t="s">
        <v>76</v>
      </c>
      <c r="B363" s="2" t="s">
        <v>322</v>
      </c>
      <c r="C363" s="2">
        <v>338</v>
      </c>
      <c r="D363" s="2">
        <v>320</v>
      </c>
      <c r="E363" s="2">
        <v>338</v>
      </c>
      <c r="F363" s="2">
        <v>318</v>
      </c>
      <c r="G363" s="2">
        <v>1064</v>
      </c>
      <c r="H363" s="122"/>
      <c r="I363" s="2" t="s">
        <v>642</v>
      </c>
      <c r="J363" s="2" t="str">
        <f t="shared" si="9"/>
        <v/>
      </c>
      <c r="K363" t="str">
        <f t="shared" si="10"/>
        <v/>
      </c>
    </row>
    <row r="364" spans="1:11">
      <c r="A364" t="s">
        <v>74</v>
      </c>
      <c r="B364" t="s">
        <v>322</v>
      </c>
      <c r="C364">
        <v>326</v>
      </c>
      <c r="D364">
        <v>321</v>
      </c>
      <c r="E364">
        <v>326</v>
      </c>
      <c r="F364">
        <v>319</v>
      </c>
      <c r="G364">
        <v>1065</v>
      </c>
      <c r="H364" s="114" t="s">
        <v>2667</v>
      </c>
      <c r="I364" t="s">
        <v>643</v>
      </c>
      <c r="J364" t="str">
        <f t="shared" si="9"/>
        <v>INSERT INTO tbFinanceItemSeq(Report,ItemSeqID,ItemSN,ItemID) VALUES('PNLD',326,326,1065)</v>
      </c>
      <c r="K364" t="str">
        <f t="shared" si="10"/>
        <v/>
      </c>
    </row>
    <row r="365" spans="1:11" s="2" customFormat="1">
      <c r="A365" s="2" t="s">
        <v>76</v>
      </c>
      <c r="B365" s="2" t="s">
        <v>322</v>
      </c>
      <c r="C365" s="2">
        <v>340</v>
      </c>
      <c r="D365" s="2">
        <v>322</v>
      </c>
      <c r="E365" s="2">
        <v>340</v>
      </c>
      <c r="F365" s="2">
        <v>320</v>
      </c>
      <c r="G365" s="2">
        <v>1066</v>
      </c>
      <c r="H365" s="114"/>
      <c r="I365" s="2" t="s">
        <v>644</v>
      </c>
      <c r="J365" s="2" t="str">
        <f t="shared" ref="J365:J381" si="11">IF(A365&lt;&gt;"Remove",CONCATENATE("INSERT INTO tbFinanceItemSeq(Report,ItemSeqID,ItemSN,ItemID) VALUES('",B365,"',",C365,",",E365,",",G365,")"),"")</f>
        <v/>
      </c>
      <c r="K365" t="str">
        <f t="shared" si="10"/>
        <v/>
      </c>
    </row>
    <row r="366" spans="1:11" s="2" customFormat="1">
      <c r="A366" s="2" t="s">
        <v>76</v>
      </c>
      <c r="B366" s="2" t="s">
        <v>322</v>
      </c>
      <c r="C366" s="2">
        <v>341</v>
      </c>
      <c r="D366" s="2">
        <v>323</v>
      </c>
      <c r="E366" s="2">
        <v>341</v>
      </c>
      <c r="F366" s="2">
        <v>321</v>
      </c>
      <c r="G366" s="2">
        <v>1067</v>
      </c>
      <c r="H366" s="114"/>
      <c r="I366" s="2" t="s">
        <v>645</v>
      </c>
      <c r="J366" s="2" t="str">
        <f t="shared" si="11"/>
        <v/>
      </c>
      <c r="K366" t="str">
        <f t="shared" si="10"/>
        <v/>
      </c>
    </row>
    <row r="367" spans="1:11" s="2" customFormat="1">
      <c r="A367" s="2" t="s">
        <v>76</v>
      </c>
      <c r="B367" s="2" t="s">
        <v>322</v>
      </c>
      <c r="C367" s="2">
        <v>342</v>
      </c>
      <c r="D367" s="2">
        <v>324</v>
      </c>
      <c r="E367" s="2">
        <v>342</v>
      </c>
      <c r="F367" s="2">
        <v>322</v>
      </c>
      <c r="G367" s="2">
        <v>1068</v>
      </c>
      <c r="H367" s="114"/>
      <c r="I367" s="2" t="s">
        <v>646</v>
      </c>
      <c r="J367" s="2" t="str">
        <f t="shared" si="11"/>
        <v/>
      </c>
      <c r="K367" t="str">
        <f t="shared" si="10"/>
        <v/>
      </c>
    </row>
    <row r="368" spans="1:11" s="2" customFormat="1">
      <c r="A368" s="2" t="s">
        <v>76</v>
      </c>
      <c r="B368" s="2" t="s">
        <v>322</v>
      </c>
      <c r="C368" s="2">
        <v>343</v>
      </c>
      <c r="D368" s="2">
        <v>325</v>
      </c>
      <c r="E368" s="2">
        <v>343</v>
      </c>
      <c r="F368" s="2">
        <v>323</v>
      </c>
      <c r="G368" s="2">
        <v>1069</v>
      </c>
      <c r="H368" s="114"/>
      <c r="I368" s="2" t="s">
        <v>647</v>
      </c>
      <c r="J368" s="2" t="str">
        <f t="shared" si="11"/>
        <v/>
      </c>
      <c r="K368" t="str">
        <f t="shared" si="10"/>
        <v/>
      </c>
    </row>
    <row r="369" spans="1:11">
      <c r="A369" t="s">
        <v>74</v>
      </c>
      <c r="B369" t="s">
        <v>322</v>
      </c>
      <c r="C369">
        <v>327</v>
      </c>
      <c r="D369">
        <v>326</v>
      </c>
      <c r="E369">
        <v>327</v>
      </c>
      <c r="F369">
        <v>324</v>
      </c>
      <c r="G369">
        <v>1070</v>
      </c>
      <c r="H369" s="114" t="s">
        <v>2668</v>
      </c>
      <c r="I369" t="s">
        <v>648</v>
      </c>
      <c r="J369" t="str">
        <f t="shared" si="11"/>
        <v>INSERT INTO tbFinanceItemSeq(Report,ItemSeqID,ItemSN,ItemID) VALUES('PNLD',327,327,1070)</v>
      </c>
      <c r="K369" t="str">
        <f t="shared" si="10"/>
        <v/>
      </c>
    </row>
    <row r="370" spans="1:11">
      <c r="A370" t="s">
        <v>74</v>
      </c>
      <c r="B370" t="s">
        <v>322</v>
      </c>
      <c r="C370">
        <v>328</v>
      </c>
      <c r="D370">
        <v>327</v>
      </c>
      <c r="E370">
        <v>328</v>
      </c>
      <c r="F370">
        <v>325</v>
      </c>
      <c r="G370">
        <v>1071</v>
      </c>
      <c r="H370" s="115" t="s">
        <v>2669</v>
      </c>
      <c r="I370" t="s">
        <v>649</v>
      </c>
      <c r="J370" t="str">
        <f t="shared" si="11"/>
        <v>INSERT INTO tbFinanceItemSeq(Report,ItemSeqID,ItemSN,ItemID) VALUES('PNLD',328,328,1071)</v>
      </c>
      <c r="K370" t="str">
        <f t="shared" si="10"/>
        <v/>
      </c>
    </row>
    <row r="371" spans="1:11">
      <c r="A371" t="s">
        <v>74</v>
      </c>
      <c r="B371" t="s">
        <v>322</v>
      </c>
      <c r="C371">
        <v>329</v>
      </c>
      <c r="D371">
        <v>328</v>
      </c>
      <c r="E371">
        <v>329</v>
      </c>
      <c r="F371">
        <v>326</v>
      </c>
      <c r="G371">
        <v>1368</v>
      </c>
      <c r="H371" s="116" t="s">
        <v>2670</v>
      </c>
      <c r="I371" t="s">
        <v>650</v>
      </c>
      <c r="J371" t="str">
        <f t="shared" si="11"/>
        <v>INSERT INTO tbFinanceItemSeq(Report,ItemSeqID,ItemSN,ItemID) VALUES('PNLD',329,329,1368)</v>
      </c>
      <c r="K371" t="str">
        <f t="shared" si="10"/>
        <v/>
      </c>
    </row>
    <row r="372" spans="1:11">
      <c r="A372" t="s">
        <v>74</v>
      </c>
      <c r="B372" t="s">
        <v>322</v>
      </c>
      <c r="C372">
        <v>330</v>
      </c>
      <c r="D372">
        <v>329</v>
      </c>
      <c r="E372">
        <v>330</v>
      </c>
      <c r="F372">
        <v>327</v>
      </c>
      <c r="G372">
        <v>1072</v>
      </c>
      <c r="H372" s="116" t="s">
        <v>2671</v>
      </c>
      <c r="I372" t="s">
        <v>651</v>
      </c>
      <c r="J372" t="str">
        <f t="shared" si="11"/>
        <v>INSERT INTO tbFinanceItemSeq(Report,ItemSeqID,ItemSN,ItemID) VALUES('PNLD',330,330,1072)</v>
      </c>
      <c r="K372" t="str">
        <f t="shared" si="10"/>
        <v/>
      </c>
    </row>
    <row r="373" spans="1:11">
      <c r="A373" t="s">
        <v>74</v>
      </c>
      <c r="B373" t="s">
        <v>322</v>
      </c>
      <c r="C373">
        <v>331</v>
      </c>
      <c r="D373">
        <v>330</v>
      </c>
      <c r="E373">
        <v>331</v>
      </c>
      <c r="F373">
        <v>328</v>
      </c>
      <c r="G373">
        <v>1073</v>
      </c>
      <c r="H373" s="116" t="s">
        <v>2672</v>
      </c>
      <c r="I373" t="s">
        <v>652</v>
      </c>
      <c r="J373" t="str">
        <f t="shared" si="11"/>
        <v>INSERT INTO tbFinanceItemSeq(Report,ItemSeqID,ItemSN,ItemID) VALUES('PNLD',331,331,1073)</v>
      </c>
      <c r="K373" t="str">
        <f t="shared" si="10"/>
        <v/>
      </c>
    </row>
    <row r="374" spans="1:11">
      <c r="A374" t="s">
        <v>74</v>
      </c>
      <c r="B374" t="s">
        <v>322</v>
      </c>
      <c r="C374">
        <v>332</v>
      </c>
      <c r="D374">
        <v>331</v>
      </c>
      <c r="E374">
        <v>332</v>
      </c>
      <c r="F374">
        <v>0</v>
      </c>
      <c r="G374">
        <v>1074</v>
      </c>
      <c r="H374" s="129"/>
      <c r="I374" t="s">
        <v>653</v>
      </c>
      <c r="J374" t="str">
        <f t="shared" si="11"/>
        <v>INSERT INTO tbFinanceItemSeq(Report,ItemSeqID,ItemSN,ItemID) VALUES('PNLD',332,332,1074)</v>
      </c>
      <c r="K374" t="str">
        <f t="shared" si="10"/>
        <v/>
      </c>
    </row>
    <row r="375" spans="1:11">
      <c r="A375" t="s">
        <v>74</v>
      </c>
      <c r="B375" t="s">
        <v>322</v>
      </c>
      <c r="C375">
        <v>333</v>
      </c>
      <c r="D375">
        <v>332</v>
      </c>
      <c r="E375">
        <v>333</v>
      </c>
      <c r="F375">
        <v>329</v>
      </c>
      <c r="G375">
        <v>1075</v>
      </c>
      <c r="H375" s="114" t="s">
        <v>2673</v>
      </c>
      <c r="I375" t="s">
        <v>654</v>
      </c>
      <c r="J375" t="str">
        <f t="shared" si="11"/>
        <v>INSERT INTO tbFinanceItemSeq(Report,ItemSeqID,ItemSN,ItemID) VALUES('PNLD',333,333,1075)</v>
      </c>
      <c r="K375" t="str">
        <f t="shared" si="10"/>
        <v/>
      </c>
    </row>
    <row r="376" spans="1:11">
      <c r="A376" t="s">
        <v>74</v>
      </c>
      <c r="B376" t="s">
        <v>322</v>
      </c>
      <c r="C376">
        <v>334</v>
      </c>
      <c r="D376">
        <v>333</v>
      </c>
      <c r="E376">
        <v>334</v>
      </c>
      <c r="F376">
        <v>330</v>
      </c>
      <c r="G376">
        <v>1076</v>
      </c>
      <c r="H376" s="114" t="s">
        <v>2674</v>
      </c>
      <c r="I376" t="s">
        <v>655</v>
      </c>
      <c r="J376" t="str">
        <f t="shared" si="11"/>
        <v>INSERT INTO tbFinanceItemSeq(Report,ItemSeqID,ItemSN,ItemID) VALUES('PNLD',334,334,1076)</v>
      </c>
      <c r="K376" t="str">
        <f t="shared" si="10"/>
        <v/>
      </c>
    </row>
    <row r="377" spans="1:11">
      <c r="A377" t="s">
        <v>74</v>
      </c>
      <c r="B377" t="s">
        <v>322</v>
      </c>
      <c r="C377">
        <v>335</v>
      </c>
      <c r="D377">
        <v>334</v>
      </c>
      <c r="E377">
        <v>335</v>
      </c>
      <c r="F377">
        <v>331</v>
      </c>
      <c r="G377">
        <v>1077</v>
      </c>
      <c r="H377" s="114" t="s">
        <v>2675</v>
      </c>
      <c r="I377" t="s">
        <v>656</v>
      </c>
      <c r="J377" t="str">
        <f t="shared" si="11"/>
        <v>INSERT INTO tbFinanceItemSeq(Report,ItemSeqID,ItemSN,ItemID) VALUES('PNLD',335,335,1077)</v>
      </c>
      <c r="K377" t="str">
        <f t="shared" si="10"/>
        <v/>
      </c>
    </row>
    <row r="378" spans="1:11">
      <c r="A378" t="s">
        <v>74</v>
      </c>
      <c r="B378" t="s">
        <v>322</v>
      </c>
      <c r="C378">
        <v>336</v>
      </c>
      <c r="D378">
        <v>335</v>
      </c>
      <c r="E378">
        <v>336</v>
      </c>
      <c r="F378">
        <v>332</v>
      </c>
      <c r="G378">
        <v>1078</v>
      </c>
      <c r="H378" s="115" t="s">
        <v>2676</v>
      </c>
      <c r="I378" t="s">
        <v>657</v>
      </c>
      <c r="J378" t="str">
        <f t="shared" si="11"/>
        <v>INSERT INTO tbFinanceItemSeq(Report,ItemSeqID,ItemSN,ItemID) VALUES('PNLD',336,336,1078)</v>
      </c>
      <c r="K378" t="str">
        <f t="shared" si="10"/>
        <v/>
      </c>
    </row>
    <row r="379" spans="1:11" s="3" customFormat="1">
      <c r="A379" s="3" t="s">
        <v>75</v>
      </c>
      <c r="B379" s="3" t="s">
        <v>322</v>
      </c>
      <c r="C379" s="3">
        <v>337</v>
      </c>
      <c r="E379" s="3">
        <v>337</v>
      </c>
      <c r="G379" s="3" t="str">
        <f>CONCATENATE("(SELECT TOP 1 ItemID FROM tbFinanceItem where ItemName = '",I379,"')")</f>
        <v>(SELECT TOP 1 ItemID FROM tbFinanceItem where ItemName = '(PNLD)Taxation')</v>
      </c>
      <c r="H379" s="116" t="s">
        <v>2677</v>
      </c>
      <c r="I379" s="3" t="s">
        <v>980</v>
      </c>
      <c r="J379" s="3" t="str">
        <f t="shared" si="11"/>
        <v>INSERT INTO tbFinanceItemSeq(Report,ItemSeqID,ItemSN,ItemID) VALUES('PNLD',337,337,(SELECT TOP 1 ItemID FROM tbFinanceItem where ItemName = '(PNLD)Taxation'))</v>
      </c>
      <c r="K379" t="str">
        <f t="shared" si="10"/>
        <v>INSERT INTO tbFinanceItem(ItemName) VALUES('(PNLD)Taxation')</v>
      </c>
    </row>
    <row r="380" spans="1:11" ht="15.75" thickBot="1">
      <c r="A380" t="s">
        <v>74</v>
      </c>
      <c r="B380" t="s">
        <v>322</v>
      </c>
      <c r="C380">
        <v>338</v>
      </c>
      <c r="D380">
        <v>336</v>
      </c>
      <c r="E380">
        <v>338</v>
      </c>
      <c r="F380">
        <v>333</v>
      </c>
      <c r="G380">
        <v>1079</v>
      </c>
      <c r="H380" s="119" t="s">
        <v>2678</v>
      </c>
      <c r="I380" t="s">
        <v>658</v>
      </c>
      <c r="J380" t="str">
        <f t="shared" si="11"/>
        <v>INSERT INTO tbFinanceItemSeq(Report,ItemSeqID,ItemSN,ItemID) VALUES('PNLD',338,338,1079)</v>
      </c>
      <c r="K380" t="str">
        <f t="shared" si="10"/>
        <v/>
      </c>
    </row>
    <row r="381" spans="1:11" ht="15.75" thickTop="1">
      <c r="A381" t="s">
        <v>74</v>
      </c>
      <c r="B381" t="s">
        <v>322</v>
      </c>
      <c r="C381">
        <v>339</v>
      </c>
      <c r="D381">
        <v>337</v>
      </c>
      <c r="E381">
        <v>339</v>
      </c>
      <c r="F381">
        <v>334</v>
      </c>
      <c r="G381">
        <v>1080</v>
      </c>
      <c r="H381" s="130" t="s">
        <v>2172</v>
      </c>
      <c r="I381" t="s">
        <v>659</v>
      </c>
      <c r="J381" t="str">
        <f t="shared" si="11"/>
        <v>INSERT INTO tbFinanceItemSeq(Report,ItemSeqID,ItemSN,ItemID) VALUES('PNLD',339,339,1080)</v>
      </c>
      <c r="K381" t="str">
        <f t="shared" si="10"/>
        <v/>
      </c>
    </row>
  </sheetData>
  <mergeCells count="2">
    <mergeCell ref="K328:K329"/>
    <mergeCell ref="K72:K73"/>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selection activeCell="A14" sqref="A14:A17"/>
    </sheetView>
  </sheetViews>
  <sheetFormatPr defaultColWidth="8.85546875" defaultRowHeight="15"/>
  <cols>
    <col min="1" max="1" width="55.140625" bestFit="1" customWidth="1"/>
  </cols>
  <sheetData>
    <row r="1" spans="1:1">
      <c r="A1" t="s">
        <v>992</v>
      </c>
    </row>
    <row r="2" spans="1:1">
      <c r="A2" t="s">
        <v>993</v>
      </c>
    </row>
    <row r="3" spans="1:1">
      <c r="A3" t="s">
        <v>994</v>
      </c>
    </row>
    <row r="4" spans="1:1">
      <c r="A4" t="s">
        <v>995</v>
      </c>
    </row>
    <row r="6" spans="1:1">
      <c r="A6" t="s">
        <v>77</v>
      </c>
    </row>
    <row r="7" spans="1:1">
      <c r="A7" t="s">
        <v>78</v>
      </c>
    </row>
    <row r="8" spans="1:1">
      <c r="A8" t="s">
        <v>996</v>
      </c>
    </row>
    <row r="9" spans="1:1">
      <c r="A9" t="s">
        <v>79</v>
      </c>
    </row>
    <row r="12" spans="1:1">
      <c r="A12" t="s">
        <v>997</v>
      </c>
    </row>
    <row r="14" spans="1:1">
      <c r="A14" t="s">
        <v>2745</v>
      </c>
    </row>
    <row r="15" spans="1:1">
      <c r="A15" t="s">
        <v>2767</v>
      </c>
    </row>
    <row r="16" spans="1:1">
      <c r="A16" t="s">
        <v>2766</v>
      </c>
    </row>
    <row r="17" spans="1:1">
      <c r="A17" t="s">
        <v>2763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
  <sheetViews>
    <sheetView workbookViewId="0">
      <selection activeCell="F153" sqref="F153"/>
    </sheetView>
  </sheetViews>
  <sheetFormatPr defaultColWidth="8.85546875" defaultRowHeight="15"/>
  <cols>
    <col min="5" max="5" width="39" bestFit="1" customWidth="1"/>
    <col min="6" max="6" width="83.42578125" bestFit="1" customWidth="1"/>
  </cols>
  <sheetData>
    <row r="1" spans="1:6">
      <c r="A1" s="4" t="s">
        <v>65</v>
      </c>
      <c r="B1" s="4" t="s">
        <v>66</v>
      </c>
      <c r="C1" s="4" t="s">
        <v>67</v>
      </c>
      <c r="D1" s="4" t="s">
        <v>68</v>
      </c>
      <c r="E1" s="4" t="s">
        <v>71</v>
      </c>
      <c r="F1" s="4" t="s">
        <v>72</v>
      </c>
    </row>
    <row r="2" spans="1:6">
      <c r="A2" t="s">
        <v>998</v>
      </c>
      <c r="B2">
        <v>1</v>
      </c>
      <c r="C2">
        <v>0</v>
      </c>
      <c r="D2">
        <v>1141</v>
      </c>
      <c r="E2" t="s">
        <v>999</v>
      </c>
      <c r="F2" t="str">
        <f>CONCATENATE("INSERT INTO tbFinanceItemSeq(Report,ItemSeqID,ItemSN,ItemID) VALUES('",A2,"',",B2,",",C2,",",D2,")")</f>
        <v>INSERT INTO tbFinanceItemSeq(Report,ItemSeqID,ItemSN,ItemID) VALUES('MAD',1,0,1141)</v>
      </c>
    </row>
    <row r="3" spans="1:6">
      <c r="A3" t="s">
        <v>998</v>
      </c>
      <c r="B3">
        <v>2</v>
      </c>
      <c r="C3">
        <v>1</v>
      </c>
      <c r="D3">
        <v>1142</v>
      </c>
      <c r="E3" t="s">
        <v>1000</v>
      </c>
      <c r="F3" t="str">
        <f t="shared" ref="F3:F66" si="0">CONCATENATE("INSERT INTO tbFinanceItemSeq(Report,ItemSeqID,ItemSN,ItemID) VALUES('",A3,"',",B3,",",C3,",",D3,")")</f>
        <v>INSERT INTO tbFinanceItemSeq(Report,ItemSeqID,ItemSN,ItemID) VALUES('MAD',2,1,1142)</v>
      </c>
    </row>
    <row r="4" spans="1:6">
      <c r="A4" t="s">
        <v>998</v>
      </c>
      <c r="B4">
        <v>3</v>
      </c>
      <c r="C4">
        <v>2</v>
      </c>
      <c r="D4">
        <v>1143</v>
      </c>
      <c r="E4" t="s">
        <v>1001</v>
      </c>
      <c r="F4" t="str">
        <f t="shared" si="0"/>
        <v>INSERT INTO tbFinanceItemSeq(Report,ItemSeqID,ItemSN,ItemID) VALUES('MAD',3,2,1143)</v>
      </c>
    </row>
    <row r="5" spans="1:6">
      <c r="A5" t="s">
        <v>998</v>
      </c>
      <c r="B5">
        <v>4</v>
      </c>
      <c r="C5">
        <v>3</v>
      </c>
      <c r="D5">
        <v>1144</v>
      </c>
      <c r="E5" t="s">
        <v>1002</v>
      </c>
      <c r="F5" t="str">
        <f t="shared" si="0"/>
        <v>INSERT INTO tbFinanceItemSeq(Report,ItemSeqID,ItemSN,ItemID) VALUES('MAD',4,3,1144)</v>
      </c>
    </row>
    <row r="6" spans="1:6">
      <c r="A6" t="s">
        <v>998</v>
      </c>
      <c r="B6">
        <v>5</v>
      </c>
      <c r="C6">
        <v>4</v>
      </c>
      <c r="D6">
        <v>1145</v>
      </c>
      <c r="E6" t="s">
        <v>1003</v>
      </c>
      <c r="F6" t="str">
        <f t="shared" si="0"/>
        <v>INSERT INTO tbFinanceItemSeq(Report,ItemSeqID,ItemSN,ItemID) VALUES('MAD',5,4,1145)</v>
      </c>
    </row>
    <row r="7" spans="1:6">
      <c r="A7" t="s">
        <v>998</v>
      </c>
      <c r="B7">
        <v>6</v>
      </c>
      <c r="C7">
        <v>5</v>
      </c>
      <c r="D7">
        <v>1146</v>
      </c>
      <c r="E7" t="s">
        <v>1004</v>
      </c>
      <c r="F7" t="str">
        <f t="shared" si="0"/>
        <v>INSERT INTO tbFinanceItemSeq(Report,ItemSeqID,ItemSN,ItemID) VALUES('MAD',6,5,1146)</v>
      </c>
    </row>
    <row r="8" spans="1:6">
      <c r="A8" t="s">
        <v>998</v>
      </c>
      <c r="B8">
        <v>7</v>
      </c>
      <c r="C8">
        <v>6</v>
      </c>
      <c r="D8">
        <v>1147</v>
      </c>
      <c r="E8" t="s">
        <v>1005</v>
      </c>
      <c r="F8" t="str">
        <f t="shared" si="0"/>
        <v>INSERT INTO tbFinanceItemSeq(Report,ItemSeqID,ItemSN,ItemID) VALUES('MAD',7,6,1147)</v>
      </c>
    </row>
    <row r="9" spans="1:6">
      <c r="A9" t="s">
        <v>998</v>
      </c>
      <c r="B9">
        <v>8</v>
      </c>
      <c r="C9">
        <v>7</v>
      </c>
      <c r="D9">
        <v>1148</v>
      </c>
      <c r="E9" t="s">
        <v>1006</v>
      </c>
      <c r="F9" t="str">
        <f t="shared" si="0"/>
        <v>INSERT INTO tbFinanceItemSeq(Report,ItemSeqID,ItemSN,ItemID) VALUES('MAD',8,7,1148)</v>
      </c>
    </row>
    <row r="10" spans="1:6">
      <c r="A10" t="s">
        <v>998</v>
      </c>
      <c r="B10">
        <v>9</v>
      </c>
      <c r="C10">
        <v>8</v>
      </c>
      <c r="D10">
        <v>1149</v>
      </c>
      <c r="E10" t="s">
        <v>1007</v>
      </c>
      <c r="F10" t="str">
        <f t="shared" si="0"/>
        <v>INSERT INTO tbFinanceItemSeq(Report,ItemSeqID,ItemSN,ItemID) VALUES('MAD',9,8,1149)</v>
      </c>
    </row>
    <row r="11" spans="1:6">
      <c r="A11" t="s">
        <v>998</v>
      </c>
      <c r="B11">
        <v>10</v>
      </c>
      <c r="C11">
        <v>0</v>
      </c>
      <c r="D11">
        <v>1150</v>
      </c>
      <c r="E11" t="s">
        <v>1008</v>
      </c>
      <c r="F11" t="str">
        <f t="shared" si="0"/>
        <v>INSERT INTO tbFinanceItemSeq(Report,ItemSeqID,ItemSN,ItemID) VALUES('MAD',10,0,1150)</v>
      </c>
    </row>
    <row r="12" spans="1:6">
      <c r="A12" t="s">
        <v>998</v>
      </c>
      <c r="B12">
        <v>11</v>
      </c>
      <c r="C12">
        <v>9</v>
      </c>
      <c r="D12">
        <v>1151</v>
      </c>
      <c r="E12" t="s">
        <v>1009</v>
      </c>
      <c r="F12" t="str">
        <f t="shared" si="0"/>
        <v>INSERT INTO tbFinanceItemSeq(Report,ItemSeqID,ItemSN,ItemID) VALUES('MAD',11,9,1151)</v>
      </c>
    </row>
    <row r="13" spans="1:6">
      <c r="A13" t="s">
        <v>998</v>
      </c>
      <c r="B13">
        <v>12</v>
      </c>
      <c r="C13">
        <v>10</v>
      </c>
      <c r="D13">
        <v>1152</v>
      </c>
      <c r="E13" t="s">
        <v>1010</v>
      </c>
      <c r="F13" t="str">
        <f t="shared" si="0"/>
        <v>INSERT INTO tbFinanceItemSeq(Report,ItemSeqID,ItemSN,ItemID) VALUES('MAD',12,10,1152)</v>
      </c>
    </row>
    <row r="14" spans="1:6">
      <c r="A14" t="s">
        <v>998</v>
      </c>
      <c r="B14">
        <v>13</v>
      </c>
      <c r="C14">
        <v>11</v>
      </c>
      <c r="D14">
        <v>1153</v>
      </c>
      <c r="E14" t="s">
        <v>1011</v>
      </c>
      <c r="F14" t="str">
        <f t="shared" si="0"/>
        <v>INSERT INTO tbFinanceItemSeq(Report,ItemSeqID,ItemSN,ItemID) VALUES('MAD',13,11,1153)</v>
      </c>
    </row>
    <row r="15" spans="1:6">
      <c r="A15" t="s">
        <v>998</v>
      </c>
      <c r="B15">
        <v>14</v>
      </c>
      <c r="C15">
        <v>12</v>
      </c>
      <c r="D15">
        <v>1154</v>
      </c>
      <c r="E15" t="s">
        <v>1012</v>
      </c>
      <c r="F15" t="str">
        <f t="shared" si="0"/>
        <v>INSERT INTO tbFinanceItemSeq(Report,ItemSeqID,ItemSN,ItemID) VALUES('MAD',14,12,1154)</v>
      </c>
    </row>
    <row r="16" spans="1:6">
      <c r="A16" t="s">
        <v>998</v>
      </c>
      <c r="B16">
        <v>15</v>
      </c>
      <c r="C16">
        <v>13</v>
      </c>
      <c r="D16">
        <v>1155</v>
      </c>
      <c r="E16" t="s">
        <v>1013</v>
      </c>
      <c r="F16" t="str">
        <f t="shared" si="0"/>
        <v>INSERT INTO tbFinanceItemSeq(Report,ItemSeqID,ItemSN,ItemID) VALUES('MAD',15,13,1155)</v>
      </c>
    </row>
    <row r="17" spans="1:6">
      <c r="A17" t="s">
        <v>998</v>
      </c>
      <c r="B17">
        <v>16</v>
      </c>
      <c r="C17">
        <v>14</v>
      </c>
      <c r="D17">
        <v>1156</v>
      </c>
      <c r="E17" t="s">
        <v>1014</v>
      </c>
      <c r="F17" t="str">
        <f t="shared" si="0"/>
        <v>INSERT INTO tbFinanceItemSeq(Report,ItemSeqID,ItemSN,ItemID) VALUES('MAD',16,14,1156)</v>
      </c>
    </row>
    <row r="18" spans="1:6">
      <c r="A18" t="s">
        <v>998</v>
      </c>
      <c r="B18">
        <v>17</v>
      </c>
      <c r="C18">
        <v>15</v>
      </c>
      <c r="D18">
        <v>1157</v>
      </c>
      <c r="E18" t="s">
        <v>1015</v>
      </c>
      <c r="F18" t="str">
        <f t="shared" si="0"/>
        <v>INSERT INTO tbFinanceItemSeq(Report,ItemSeqID,ItemSN,ItemID) VALUES('MAD',17,15,1157)</v>
      </c>
    </row>
    <row r="19" spans="1:6">
      <c r="A19" t="s">
        <v>998</v>
      </c>
      <c r="B19">
        <v>18</v>
      </c>
      <c r="C19">
        <v>16</v>
      </c>
      <c r="D19">
        <v>1158</v>
      </c>
      <c r="E19" t="s">
        <v>1016</v>
      </c>
      <c r="F19" t="str">
        <f t="shared" si="0"/>
        <v>INSERT INTO tbFinanceItemSeq(Report,ItemSeqID,ItemSN,ItemID) VALUES('MAD',18,16,1158)</v>
      </c>
    </row>
    <row r="20" spans="1:6">
      <c r="A20" t="s">
        <v>998</v>
      </c>
      <c r="B20">
        <v>19</v>
      </c>
      <c r="C20">
        <v>17</v>
      </c>
      <c r="D20">
        <v>1159</v>
      </c>
      <c r="E20" t="s">
        <v>1017</v>
      </c>
      <c r="F20" t="str">
        <f t="shared" si="0"/>
        <v>INSERT INTO tbFinanceItemSeq(Report,ItemSeqID,ItemSN,ItemID) VALUES('MAD',19,17,1159)</v>
      </c>
    </row>
    <row r="21" spans="1:6">
      <c r="A21" t="s">
        <v>998</v>
      </c>
      <c r="B21">
        <v>20</v>
      </c>
      <c r="C21">
        <v>18</v>
      </c>
      <c r="D21">
        <v>1160</v>
      </c>
      <c r="E21" t="s">
        <v>1018</v>
      </c>
      <c r="F21" t="str">
        <f t="shared" si="0"/>
        <v>INSERT INTO tbFinanceItemSeq(Report,ItemSeqID,ItemSN,ItemID) VALUES('MAD',20,18,1160)</v>
      </c>
    </row>
    <row r="22" spans="1:6">
      <c r="A22" t="s">
        <v>998</v>
      </c>
      <c r="B22">
        <v>21</v>
      </c>
      <c r="C22">
        <v>19</v>
      </c>
      <c r="D22">
        <v>1161</v>
      </c>
      <c r="E22" t="s">
        <v>1019</v>
      </c>
      <c r="F22" t="str">
        <f t="shared" si="0"/>
        <v>INSERT INTO tbFinanceItemSeq(Report,ItemSeqID,ItemSN,ItemID) VALUES('MAD',21,19,1161)</v>
      </c>
    </row>
    <row r="23" spans="1:6">
      <c r="A23" t="s">
        <v>998</v>
      </c>
      <c r="B23">
        <v>22</v>
      </c>
      <c r="C23">
        <v>20</v>
      </c>
      <c r="D23">
        <v>1162</v>
      </c>
      <c r="E23" t="s">
        <v>1020</v>
      </c>
      <c r="F23" t="str">
        <f t="shared" si="0"/>
        <v>INSERT INTO tbFinanceItemSeq(Report,ItemSeqID,ItemSN,ItemID) VALUES('MAD',22,20,1162)</v>
      </c>
    </row>
    <row r="24" spans="1:6">
      <c r="A24" t="s">
        <v>998</v>
      </c>
      <c r="B24">
        <v>23</v>
      </c>
      <c r="C24">
        <v>21</v>
      </c>
      <c r="D24">
        <v>1163</v>
      </c>
      <c r="E24" t="s">
        <v>1021</v>
      </c>
      <c r="F24" t="str">
        <f t="shared" si="0"/>
        <v>INSERT INTO tbFinanceItemSeq(Report,ItemSeqID,ItemSN,ItemID) VALUES('MAD',23,21,1163)</v>
      </c>
    </row>
    <row r="25" spans="1:6">
      <c r="A25" t="s">
        <v>998</v>
      </c>
      <c r="B25">
        <v>24</v>
      </c>
      <c r="C25">
        <v>22</v>
      </c>
      <c r="D25">
        <v>1164</v>
      </c>
      <c r="E25" t="s">
        <v>1022</v>
      </c>
      <c r="F25" t="str">
        <f t="shared" si="0"/>
        <v>INSERT INTO tbFinanceItemSeq(Report,ItemSeqID,ItemSN,ItemID) VALUES('MAD',24,22,1164)</v>
      </c>
    </row>
    <row r="26" spans="1:6">
      <c r="A26" t="s">
        <v>998</v>
      </c>
      <c r="B26">
        <v>25</v>
      </c>
      <c r="C26">
        <v>23</v>
      </c>
      <c r="D26">
        <v>1165</v>
      </c>
      <c r="E26" t="s">
        <v>1023</v>
      </c>
      <c r="F26" t="str">
        <f t="shared" si="0"/>
        <v>INSERT INTO tbFinanceItemSeq(Report,ItemSeqID,ItemSN,ItemID) VALUES('MAD',25,23,1165)</v>
      </c>
    </row>
    <row r="27" spans="1:6">
      <c r="A27" t="s">
        <v>998</v>
      </c>
      <c r="B27">
        <v>26</v>
      </c>
      <c r="C27">
        <v>24</v>
      </c>
      <c r="D27">
        <v>1166</v>
      </c>
      <c r="E27" t="s">
        <v>1024</v>
      </c>
      <c r="F27" t="str">
        <f t="shared" si="0"/>
        <v>INSERT INTO tbFinanceItemSeq(Report,ItemSeqID,ItemSN,ItemID) VALUES('MAD',26,24,1166)</v>
      </c>
    </row>
    <row r="28" spans="1:6">
      <c r="A28" t="s">
        <v>998</v>
      </c>
      <c r="B28">
        <v>27</v>
      </c>
      <c r="C28">
        <v>25</v>
      </c>
      <c r="D28">
        <v>1167</v>
      </c>
      <c r="E28" t="s">
        <v>1025</v>
      </c>
      <c r="F28" t="str">
        <f t="shared" si="0"/>
        <v>INSERT INTO tbFinanceItemSeq(Report,ItemSeqID,ItemSN,ItemID) VALUES('MAD',27,25,1167)</v>
      </c>
    </row>
    <row r="29" spans="1:6">
      <c r="A29" t="s">
        <v>998</v>
      </c>
      <c r="B29">
        <v>28</v>
      </c>
      <c r="C29">
        <v>26</v>
      </c>
      <c r="D29">
        <v>1168</v>
      </c>
      <c r="E29" t="s">
        <v>1026</v>
      </c>
      <c r="F29" t="str">
        <f t="shared" si="0"/>
        <v>INSERT INTO tbFinanceItemSeq(Report,ItemSeqID,ItemSN,ItemID) VALUES('MAD',28,26,1168)</v>
      </c>
    </row>
    <row r="30" spans="1:6">
      <c r="A30" t="s">
        <v>998</v>
      </c>
      <c r="B30">
        <v>29</v>
      </c>
      <c r="C30">
        <v>27</v>
      </c>
      <c r="D30">
        <v>1169</v>
      </c>
      <c r="E30" t="s">
        <v>1027</v>
      </c>
      <c r="F30" t="str">
        <f t="shared" si="0"/>
        <v>INSERT INTO tbFinanceItemSeq(Report,ItemSeqID,ItemSN,ItemID) VALUES('MAD',29,27,1169)</v>
      </c>
    </row>
    <row r="31" spans="1:6">
      <c r="A31" t="s">
        <v>998</v>
      </c>
      <c r="B31">
        <v>30</v>
      </c>
      <c r="C31">
        <v>28</v>
      </c>
      <c r="D31">
        <v>1170</v>
      </c>
      <c r="E31" t="s">
        <v>1028</v>
      </c>
      <c r="F31" t="str">
        <f t="shared" si="0"/>
        <v>INSERT INTO tbFinanceItemSeq(Report,ItemSeqID,ItemSN,ItemID) VALUES('MAD',30,28,1170)</v>
      </c>
    </row>
    <row r="32" spans="1:6">
      <c r="A32" t="s">
        <v>998</v>
      </c>
      <c r="B32">
        <v>31</v>
      </c>
      <c r="C32">
        <v>29</v>
      </c>
      <c r="D32">
        <v>1171</v>
      </c>
      <c r="E32" t="s">
        <v>1029</v>
      </c>
      <c r="F32" t="str">
        <f t="shared" si="0"/>
        <v>INSERT INTO tbFinanceItemSeq(Report,ItemSeqID,ItemSN,ItemID) VALUES('MAD',31,29,1171)</v>
      </c>
    </row>
    <row r="33" spans="1:6">
      <c r="A33" t="s">
        <v>998</v>
      </c>
      <c r="B33">
        <v>32</v>
      </c>
      <c r="C33">
        <v>30</v>
      </c>
      <c r="D33">
        <v>1172</v>
      </c>
      <c r="E33" t="s">
        <v>1030</v>
      </c>
      <c r="F33" t="str">
        <f t="shared" si="0"/>
        <v>INSERT INTO tbFinanceItemSeq(Report,ItemSeqID,ItemSN,ItemID) VALUES('MAD',32,30,1172)</v>
      </c>
    </row>
    <row r="34" spans="1:6">
      <c r="A34" t="s">
        <v>998</v>
      </c>
      <c r="B34">
        <v>33</v>
      </c>
      <c r="C34">
        <v>31</v>
      </c>
      <c r="D34">
        <v>1173</v>
      </c>
      <c r="E34" t="s">
        <v>1031</v>
      </c>
      <c r="F34" t="str">
        <f t="shared" si="0"/>
        <v>INSERT INTO tbFinanceItemSeq(Report,ItemSeqID,ItemSN,ItemID) VALUES('MAD',33,31,1173)</v>
      </c>
    </row>
    <row r="35" spans="1:6">
      <c r="A35" t="s">
        <v>998</v>
      </c>
      <c r="B35">
        <v>34</v>
      </c>
      <c r="C35">
        <v>32</v>
      </c>
      <c r="D35">
        <v>1174</v>
      </c>
      <c r="E35" t="s">
        <v>1032</v>
      </c>
      <c r="F35" t="str">
        <f t="shared" si="0"/>
        <v>INSERT INTO tbFinanceItemSeq(Report,ItemSeqID,ItemSN,ItemID) VALUES('MAD',34,32,1174)</v>
      </c>
    </row>
    <row r="36" spans="1:6">
      <c r="A36" t="s">
        <v>998</v>
      </c>
      <c r="B36">
        <v>35</v>
      </c>
      <c r="C36">
        <v>33</v>
      </c>
      <c r="D36">
        <v>1175</v>
      </c>
      <c r="E36" t="s">
        <v>1033</v>
      </c>
      <c r="F36" t="str">
        <f t="shared" si="0"/>
        <v>INSERT INTO tbFinanceItemSeq(Report,ItemSeqID,ItemSN,ItemID) VALUES('MAD',35,33,1175)</v>
      </c>
    </row>
    <row r="37" spans="1:6">
      <c r="A37" t="s">
        <v>998</v>
      </c>
      <c r="B37">
        <v>36</v>
      </c>
      <c r="C37">
        <v>34</v>
      </c>
      <c r="D37">
        <v>1176</v>
      </c>
      <c r="E37" t="s">
        <v>1034</v>
      </c>
      <c r="F37" t="str">
        <f t="shared" si="0"/>
        <v>INSERT INTO tbFinanceItemSeq(Report,ItemSeqID,ItemSN,ItemID) VALUES('MAD',36,34,1176)</v>
      </c>
    </row>
    <row r="38" spans="1:6">
      <c r="A38" t="s">
        <v>998</v>
      </c>
      <c r="B38">
        <v>37</v>
      </c>
      <c r="C38">
        <v>35</v>
      </c>
      <c r="D38">
        <v>1177</v>
      </c>
      <c r="E38" t="s">
        <v>1035</v>
      </c>
      <c r="F38" t="str">
        <f t="shared" si="0"/>
        <v>INSERT INTO tbFinanceItemSeq(Report,ItemSeqID,ItemSN,ItemID) VALUES('MAD',37,35,1177)</v>
      </c>
    </row>
    <row r="39" spans="1:6">
      <c r="A39" t="s">
        <v>998</v>
      </c>
      <c r="B39">
        <v>38</v>
      </c>
      <c r="C39">
        <v>36</v>
      </c>
      <c r="D39">
        <v>1178</v>
      </c>
      <c r="E39" t="s">
        <v>1036</v>
      </c>
      <c r="F39" t="str">
        <f t="shared" si="0"/>
        <v>INSERT INTO tbFinanceItemSeq(Report,ItemSeqID,ItemSN,ItemID) VALUES('MAD',38,36,1178)</v>
      </c>
    </row>
    <row r="40" spans="1:6">
      <c r="A40" t="s">
        <v>998</v>
      </c>
      <c r="B40">
        <v>39</v>
      </c>
      <c r="C40">
        <v>37</v>
      </c>
      <c r="D40">
        <v>1179</v>
      </c>
      <c r="E40" t="s">
        <v>1037</v>
      </c>
      <c r="F40" t="str">
        <f t="shared" si="0"/>
        <v>INSERT INTO tbFinanceItemSeq(Report,ItemSeqID,ItemSN,ItemID) VALUES('MAD',39,37,1179)</v>
      </c>
    </row>
    <row r="41" spans="1:6">
      <c r="A41" t="s">
        <v>998</v>
      </c>
      <c r="B41">
        <v>40</v>
      </c>
      <c r="C41">
        <v>38</v>
      </c>
      <c r="D41">
        <v>1180</v>
      </c>
      <c r="E41" t="s">
        <v>1038</v>
      </c>
      <c r="F41" t="str">
        <f t="shared" si="0"/>
        <v>INSERT INTO tbFinanceItemSeq(Report,ItemSeqID,ItemSN,ItemID) VALUES('MAD',40,38,1180)</v>
      </c>
    </row>
    <row r="42" spans="1:6">
      <c r="A42" t="s">
        <v>998</v>
      </c>
      <c r="B42">
        <v>41</v>
      </c>
      <c r="C42">
        <v>0</v>
      </c>
      <c r="D42">
        <v>1181</v>
      </c>
      <c r="E42" t="s">
        <v>1039</v>
      </c>
      <c r="F42" t="str">
        <f t="shared" si="0"/>
        <v>INSERT INTO tbFinanceItemSeq(Report,ItemSeqID,ItemSN,ItemID) VALUES('MAD',41,0,1181)</v>
      </c>
    </row>
    <row r="43" spans="1:6">
      <c r="A43" t="s">
        <v>998</v>
      </c>
      <c r="B43">
        <v>42</v>
      </c>
      <c r="C43">
        <v>39</v>
      </c>
      <c r="D43">
        <v>1182</v>
      </c>
      <c r="E43" t="s">
        <v>1040</v>
      </c>
      <c r="F43" t="str">
        <f t="shared" si="0"/>
        <v>INSERT INTO tbFinanceItemSeq(Report,ItemSeqID,ItemSN,ItemID) VALUES('MAD',42,39,1182)</v>
      </c>
    </row>
    <row r="44" spans="1:6">
      <c r="A44" t="s">
        <v>998</v>
      </c>
      <c r="B44">
        <v>43</v>
      </c>
      <c r="C44">
        <v>40</v>
      </c>
      <c r="D44">
        <v>1183</v>
      </c>
      <c r="E44" t="s">
        <v>1041</v>
      </c>
      <c r="F44" t="str">
        <f t="shared" si="0"/>
        <v>INSERT INTO tbFinanceItemSeq(Report,ItemSeqID,ItemSN,ItemID) VALUES('MAD',43,40,1183)</v>
      </c>
    </row>
    <row r="45" spans="1:6">
      <c r="A45" t="s">
        <v>998</v>
      </c>
      <c r="B45">
        <v>44</v>
      </c>
      <c r="C45">
        <v>41</v>
      </c>
      <c r="D45">
        <v>1184</v>
      </c>
      <c r="E45" t="s">
        <v>1042</v>
      </c>
      <c r="F45" t="str">
        <f t="shared" si="0"/>
        <v>INSERT INTO tbFinanceItemSeq(Report,ItemSeqID,ItemSN,ItemID) VALUES('MAD',44,41,1184)</v>
      </c>
    </row>
    <row r="46" spans="1:6">
      <c r="A46" t="s">
        <v>998</v>
      </c>
      <c r="B46">
        <v>45</v>
      </c>
      <c r="C46">
        <v>42</v>
      </c>
      <c r="D46">
        <v>1185</v>
      </c>
      <c r="E46" t="s">
        <v>1043</v>
      </c>
      <c r="F46" t="str">
        <f t="shared" si="0"/>
        <v>INSERT INTO tbFinanceItemSeq(Report,ItemSeqID,ItemSN,ItemID) VALUES('MAD',45,42,1185)</v>
      </c>
    </row>
    <row r="47" spans="1:6">
      <c r="A47" t="s">
        <v>998</v>
      </c>
      <c r="B47">
        <v>46</v>
      </c>
      <c r="C47">
        <v>43</v>
      </c>
      <c r="D47">
        <v>1186</v>
      </c>
      <c r="E47" t="s">
        <v>1044</v>
      </c>
      <c r="F47" t="str">
        <f t="shared" si="0"/>
        <v>INSERT INTO tbFinanceItemSeq(Report,ItemSeqID,ItemSN,ItemID) VALUES('MAD',46,43,1186)</v>
      </c>
    </row>
    <row r="48" spans="1:6">
      <c r="A48" t="s">
        <v>998</v>
      </c>
      <c r="B48">
        <v>47</v>
      </c>
      <c r="C48">
        <v>44</v>
      </c>
      <c r="D48">
        <v>1187</v>
      </c>
      <c r="E48" t="s">
        <v>1045</v>
      </c>
      <c r="F48" t="str">
        <f t="shared" si="0"/>
        <v>INSERT INTO tbFinanceItemSeq(Report,ItemSeqID,ItemSN,ItemID) VALUES('MAD',47,44,1187)</v>
      </c>
    </row>
    <row r="49" spans="1:6">
      <c r="A49" t="s">
        <v>998</v>
      </c>
      <c r="B49">
        <v>48</v>
      </c>
      <c r="C49">
        <v>45</v>
      </c>
      <c r="D49">
        <v>1188</v>
      </c>
      <c r="E49" t="s">
        <v>1046</v>
      </c>
      <c r="F49" t="str">
        <f t="shared" si="0"/>
        <v>INSERT INTO tbFinanceItemSeq(Report,ItemSeqID,ItemSN,ItemID) VALUES('MAD',48,45,1188)</v>
      </c>
    </row>
    <row r="50" spans="1:6">
      <c r="A50" t="s">
        <v>998</v>
      </c>
      <c r="B50">
        <v>49</v>
      </c>
      <c r="C50">
        <v>46</v>
      </c>
      <c r="D50">
        <v>1189</v>
      </c>
      <c r="E50" t="s">
        <v>1047</v>
      </c>
      <c r="F50" t="str">
        <f t="shared" si="0"/>
        <v>INSERT INTO tbFinanceItemSeq(Report,ItemSeqID,ItemSN,ItemID) VALUES('MAD',49,46,1189)</v>
      </c>
    </row>
    <row r="51" spans="1:6">
      <c r="A51" t="s">
        <v>998</v>
      </c>
      <c r="B51">
        <v>50</v>
      </c>
      <c r="C51">
        <v>47</v>
      </c>
      <c r="D51">
        <v>1190</v>
      </c>
      <c r="E51" t="s">
        <v>1048</v>
      </c>
      <c r="F51" t="str">
        <f t="shared" si="0"/>
        <v>INSERT INTO tbFinanceItemSeq(Report,ItemSeqID,ItemSN,ItemID) VALUES('MAD',50,47,1190)</v>
      </c>
    </row>
    <row r="52" spans="1:6">
      <c r="A52" t="s">
        <v>998</v>
      </c>
      <c r="B52">
        <v>51</v>
      </c>
      <c r="C52">
        <v>48</v>
      </c>
      <c r="D52">
        <v>1191</v>
      </c>
      <c r="E52" t="s">
        <v>1049</v>
      </c>
      <c r="F52" t="str">
        <f t="shared" si="0"/>
        <v>INSERT INTO tbFinanceItemSeq(Report,ItemSeqID,ItemSN,ItemID) VALUES('MAD',51,48,1191)</v>
      </c>
    </row>
    <row r="53" spans="1:6">
      <c r="A53" t="s">
        <v>998</v>
      </c>
      <c r="B53">
        <v>52</v>
      </c>
      <c r="C53">
        <v>49</v>
      </c>
      <c r="D53">
        <v>1192</v>
      </c>
      <c r="E53" t="s">
        <v>1050</v>
      </c>
      <c r="F53" t="str">
        <f t="shared" si="0"/>
        <v>INSERT INTO tbFinanceItemSeq(Report,ItemSeqID,ItemSN,ItemID) VALUES('MAD',52,49,1192)</v>
      </c>
    </row>
    <row r="54" spans="1:6">
      <c r="A54" t="s">
        <v>998</v>
      </c>
      <c r="B54">
        <v>53</v>
      </c>
      <c r="C54">
        <v>50</v>
      </c>
      <c r="D54">
        <v>1193</v>
      </c>
      <c r="E54" t="s">
        <v>1051</v>
      </c>
      <c r="F54" t="str">
        <f t="shared" si="0"/>
        <v>INSERT INTO tbFinanceItemSeq(Report,ItemSeqID,ItemSN,ItemID) VALUES('MAD',53,50,1193)</v>
      </c>
    </row>
    <row r="55" spans="1:6">
      <c r="A55" t="s">
        <v>998</v>
      </c>
      <c r="B55">
        <v>54</v>
      </c>
      <c r="C55">
        <v>51</v>
      </c>
      <c r="D55">
        <v>1194</v>
      </c>
      <c r="E55" t="s">
        <v>1052</v>
      </c>
      <c r="F55" t="str">
        <f t="shared" si="0"/>
        <v>INSERT INTO tbFinanceItemSeq(Report,ItemSeqID,ItemSN,ItemID) VALUES('MAD',54,51,1194)</v>
      </c>
    </row>
    <row r="56" spans="1:6">
      <c r="A56" t="s">
        <v>998</v>
      </c>
      <c r="B56">
        <v>55</v>
      </c>
      <c r="C56">
        <v>52</v>
      </c>
      <c r="D56">
        <v>1195</v>
      </c>
      <c r="E56" t="s">
        <v>1053</v>
      </c>
      <c r="F56" t="str">
        <f t="shared" si="0"/>
        <v>INSERT INTO tbFinanceItemSeq(Report,ItemSeqID,ItemSN,ItemID) VALUES('MAD',55,52,1195)</v>
      </c>
    </row>
    <row r="57" spans="1:6">
      <c r="A57" t="s">
        <v>998</v>
      </c>
      <c r="B57">
        <v>56</v>
      </c>
      <c r="C57">
        <v>53</v>
      </c>
      <c r="D57">
        <v>1196</v>
      </c>
      <c r="E57" t="s">
        <v>1054</v>
      </c>
      <c r="F57" t="str">
        <f t="shared" si="0"/>
        <v>INSERT INTO tbFinanceItemSeq(Report,ItemSeqID,ItemSN,ItemID) VALUES('MAD',56,53,1196)</v>
      </c>
    </row>
    <row r="58" spans="1:6">
      <c r="A58" t="s">
        <v>998</v>
      </c>
      <c r="B58">
        <v>57</v>
      </c>
      <c r="C58">
        <v>54</v>
      </c>
      <c r="D58">
        <v>1197</v>
      </c>
      <c r="E58" t="s">
        <v>1055</v>
      </c>
      <c r="F58" t="str">
        <f t="shared" si="0"/>
        <v>INSERT INTO tbFinanceItemSeq(Report,ItemSeqID,ItemSN,ItemID) VALUES('MAD',57,54,1197)</v>
      </c>
    </row>
    <row r="59" spans="1:6">
      <c r="A59" t="s">
        <v>998</v>
      </c>
      <c r="B59">
        <v>58</v>
      </c>
      <c r="C59">
        <v>55</v>
      </c>
      <c r="D59">
        <v>1198</v>
      </c>
      <c r="E59" t="s">
        <v>1056</v>
      </c>
      <c r="F59" t="str">
        <f t="shared" si="0"/>
        <v>INSERT INTO tbFinanceItemSeq(Report,ItemSeqID,ItemSN,ItemID) VALUES('MAD',58,55,1198)</v>
      </c>
    </row>
    <row r="60" spans="1:6">
      <c r="A60" t="s">
        <v>998</v>
      </c>
      <c r="B60">
        <v>59</v>
      </c>
      <c r="C60">
        <v>56</v>
      </c>
      <c r="D60">
        <v>1199</v>
      </c>
      <c r="E60" t="s">
        <v>1057</v>
      </c>
      <c r="F60" t="str">
        <f t="shared" si="0"/>
        <v>INSERT INTO tbFinanceItemSeq(Report,ItemSeqID,ItemSN,ItemID) VALUES('MAD',59,56,1199)</v>
      </c>
    </row>
    <row r="61" spans="1:6">
      <c r="A61" t="s">
        <v>998</v>
      </c>
      <c r="B61">
        <v>60</v>
      </c>
      <c r="C61">
        <v>57</v>
      </c>
      <c r="D61">
        <v>1200</v>
      </c>
      <c r="E61" t="s">
        <v>1058</v>
      </c>
      <c r="F61" t="str">
        <f t="shared" si="0"/>
        <v>INSERT INTO tbFinanceItemSeq(Report,ItemSeqID,ItemSN,ItemID) VALUES('MAD',60,57,1200)</v>
      </c>
    </row>
    <row r="62" spans="1:6">
      <c r="A62" t="s">
        <v>998</v>
      </c>
      <c r="B62">
        <v>61</v>
      </c>
      <c r="C62">
        <v>58</v>
      </c>
      <c r="D62">
        <v>1201</v>
      </c>
      <c r="E62" t="s">
        <v>1059</v>
      </c>
      <c r="F62" t="str">
        <f t="shared" si="0"/>
        <v>INSERT INTO tbFinanceItemSeq(Report,ItemSeqID,ItemSN,ItemID) VALUES('MAD',61,58,1201)</v>
      </c>
    </row>
    <row r="63" spans="1:6">
      <c r="A63" t="s">
        <v>998</v>
      </c>
      <c r="B63">
        <v>62</v>
      </c>
      <c r="C63">
        <v>59</v>
      </c>
      <c r="D63">
        <v>1202</v>
      </c>
      <c r="E63" t="s">
        <v>1060</v>
      </c>
      <c r="F63" t="str">
        <f t="shared" si="0"/>
        <v>INSERT INTO tbFinanceItemSeq(Report,ItemSeqID,ItemSN,ItemID) VALUES('MAD',62,59,1202)</v>
      </c>
    </row>
    <row r="64" spans="1:6">
      <c r="A64" t="s">
        <v>998</v>
      </c>
      <c r="B64">
        <v>63</v>
      </c>
      <c r="C64">
        <v>60</v>
      </c>
      <c r="D64">
        <v>1203</v>
      </c>
      <c r="E64" t="s">
        <v>1061</v>
      </c>
      <c r="F64" t="str">
        <f t="shared" si="0"/>
        <v>INSERT INTO tbFinanceItemSeq(Report,ItemSeqID,ItemSN,ItemID) VALUES('MAD',63,60,1203)</v>
      </c>
    </row>
    <row r="65" spans="1:6">
      <c r="A65" t="s">
        <v>998</v>
      </c>
      <c r="B65">
        <v>64</v>
      </c>
      <c r="C65">
        <v>61</v>
      </c>
      <c r="D65">
        <v>1204</v>
      </c>
      <c r="E65" t="s">
        <v>1062</v>
      </c>
      <c r="F65" t="str">
        <f t="shared" si="0"/>
        <v>INSERT INTO tbFinanceItemSeq(Report,ItemSeqID,ItemSN,ItemID) VALUES('MAD',64,61,1204)</v>
      </c>
    </row>
    <row r="66" spans="1:6">
      <c r="A66" t="s">
        <v>998</v>
      </c>
      <c r="B66">
        <v>65</v>
      </c>
      <c r="C66">
        <v>62</v>
      </c>
      <c r="D66">
        <v>1205</v>
      </c>
      <c r="E66" t="s">
        <v>1063</v>
      </c>
      <c r="F66" t="str">
        <f t="shared" si="0"/>
        <v>INSERT INTO tbFinanceItemSeq(Report,ItemSeqID,ItemSN,ItemID) VALUES('MAD',65,62,1205)</v>
      </c>
    </row>
    <row r="67" spans="1:6">
      <c r="A67" t="s">
        <v>998</v>
      </c>
      <c r="B67">
        <v>66</v>
      </c>
      <c r="C67">
        <v>63</v>
      </c>
      <c r="D67">
        <v>1206</v>
      </c>
      <c r="E67" t="s">
        <v>1064</v>
      </c>
      <c r="F67" t="str">
        <f t="shared" ref="F67:F130" si="1">CONCATENATE("INSERT INTO tbFinanceItemSeq(Report,ItemSeqID,ItemSN,ItemID) VALUES('",A67,"',",B67,",",C67,",",D67,")")</f>
        <v>INSERT INTO tbFinanceItemSeq(Report,ItemSeqID,ItemSN,ItemID) VALUES('MAD',66,63,1206)</v>
      </c>
    </row>
    <row r="68" spans="1:6">
      <c r="A68" t="s">
        <v>998</v>
      </c>
      <c r="B68">
        <v>67</v>
      </c>
      <c r="C68">
        <v>64</v>
      </c>
      <c r="D68">
        <v>1207</v>
      </c>
      <c r="E68" t="s">
        <v>1065</v>
      </c>
      <c r="F68" t="str">
        <f t="shared" si="1"/>
        <v>INSERT INTO tbFinanceItemSeq(Report,ItemSeqID,ItemSN,ItemID) VALUES('MAD',67,64,1207)</v>
      </c>
    </row>
    <row r="69" spans="1:6">
      <c r="A69" t="s">
        <v>998</v>
      </c>
      <c r="B69">
        <v>68</v>
      </c>
      <c r="C69">
        <v>65</v>
      </c>
      <c r="D69">
        <v>1208</v>
      </c>
      <c r="E69" t="s">
        <v>1066</v>
      </c>
      <c r="F69" t="str">
        <f t="shared" si="1"/>
        <v>INSERT INTO tbFinanceItemSeq(Report,ItemSeqID,ItemSN,ItemID) VALUES('MAD',68,65,1208)</v>
      </c>
    </row>
    <row r="70" spans="1:6">
      <c r="A70" t="s">
        <v>998</v>
      </c>
      <c r="B70">
        <v>69</v>
      </c>
      <c r="C70">
        <v>66</v>
      </c>
      <c r="D70">
        <v>1209</v>
      </c>
      <c r="E70" t="s">
        <v>1067</v>
      </c>
      <c r="F70" t="str">
        <f t="shared" si="1"/>
        <v>INSERT INTO tbFinanceItemSeq(Report,ItemSeqID,ItemSN,ItemID) VALUES('MAD',69,66,1209)</v>
      </c>
    </row>
    <row r="71" spans="1:6">
      <c r="A71" t="s">
        <v>998</v>
      </c>
      <c r="B71">
        <v>70</v>
      </c>
      <c r="C71">
        <v>67</v>
      </c>
      <c r="D71">
        <v>1210</v>
      </c>
      <c r="E71" t="s">
        <v>1068</v>
      </c>
      <c r="F71" t="str">
        <f t="shared" si="1"/>
        <v>INSERT INTO tbFinanceItemSeq(Report,ItemSeqID,ItemSN,ItemID) VALUES('MAD',70,67,1210)</v>
      </c>
    </row>
    <row r="72" spans="1:6">
      <c r="A72" t="s">
        <v>998</v>
      </c>
      <c r="B72">
        <v>71</v>
      </c>
      <c r="C72">
        <v>68</v>
      </c>
      <c r="D72">
        <v>1211</v>
      </c>
      <c r="E72" t="s">
        <v>1069</v>
      </c>
      <c r="F72" t="str">
        <f t="shared" si="1"/>
        <v>INSERT INTO tbFinanceItemSeq(Report,ItemSeqID,ItemSN,ItemID) VALUES('MAD',71,68,1211)</v>
      </c>
    </row>
    <row r="73" spans="1:6">
      <c r="A73" t="s">
        <v>998</v>
      </c>
      <c r="B73">
        <v>72</v>
      </c>
      <c r="C73">
        <v>69</v>
      </c>
      <c r="D73">
        <v>1212</v>
      </c>
      <c r="E73" t="s">
        <v>1070</v>
      </c>
      <c r="F73" t="str">
        <f t="shared" si="1"/>
        <v>INSERT INTO tbFinanceItemSeq(Report,ItemSeqID,ItemSN,ItemID) VALUES('MAD',72,69,1212)</v>
      </c>
    </row>
    <row r="74" spans="1:6">
      <c r="A74" t="s">
        <v>998</v>
      </c>
      <c r="B74">
        <v>73</v>
      </c>
      <c r="C74">
        <v>70</v>
      </c>
      <c r="D74">
        <v>1213</v>
      </c>
      <c r="E74" t="s">
        <v>1071</v>
      </c>
      <c r="F74" t="str">
        <f t="shared" si="1"/>
        <v>INSERT INTO tbFinanceItemSeq(Report,ItemSeqID,ItemSN,ItemID) VALUES('MAD',73,70,1213)</v>
      </c>
    </row>
    <row r="75" spans="1:6">
      <c r="A75" t="s">
        <v>998</v>
      </c>
      <c r="B75">
        <v>74</v>
      </c>
      <c r="C75">
        <v>71</v>
      </c>
      <c r="D75">
        <v>1214</v>
      </c>
      <c r="E75" t="s">
        <v>1072</v>
      </c>
      <c r="F75" t="str">
        <f t="shared" si="1"/>
        <v>INSERT INTO tbFinanceItemSeq(Report,ItemSeqID,ItemSN,ItemID) VALUES('MAD',74,71,1214)</v>
      </c>
    </row>
    <row r="76" spans="1:6">
      <c r="A76" t="s">
        <v>998</v>
      </c>
      <c r="B76">
        <v>75</v>
      </c>
      <c r="C76">
        <v>72</v>
      </c>
      <c r="D76">
        <v>1215</v>
      </c>
      <c r="E76" t="s">
        <v>1073</v>
      </c>
      <c r="F76" t="str">
        <f t="shared" si="1"/>
        <v>INSERT INTO tbFinanceItemSeq(Report,ItemSeqID,ItemSN,ItemID) VALUES('MAD',75,72,1215)</v>
      </c>
    </row>
    <row r="77" spans="1:6">
      <c r="A77" t="s">
        <v>998</v>
      </c>
      <c r="B77">
        <v>76</v>
      </c>
      <c r="C77">
        <v>73</v>
      </c>
      <c r="D77">
        <v>1216</v>
      </c>
      <c r="E77" t="s">
        <v>1074</v>
      </c>
      <c r="F77" t="str">
        <f t="shared" si="1"/>
        <v>INSERT INTO tbFinanceItemSeq(Report,ItemSeqID,ItemSN,ItemID) VALUES('MAD',76,73,1216)</v>
      </c>
    </row>
    <row r="78" spans="1:6">
      <c r="A78" t="s">
        <v>998</v>
      </c>
      <c r="B78">
        <v>77</v>
      </c>
      <c r="C78">
        <v>74</v>
      </c>
      <c r="D78">
        <v>1217</v>
      </c>
      <c r="E78" t="s">
        <v>1075</v>
      </c>
      <c r="F78" t="str">
        <f t="shared" si="1"/>
        <v>INSERT INTO tbFinanceItemSeq(Report,ItemSeqID,ItemSN,ItemID) VALUES('MAD',77,74,1217)</v>
      </c>
    </row>
    <row r="79" spans="1:6">
      <c r="A79" t="s">
        <v>998</v>
      </c>
      <c r="B79">
        <v>78</v>
      </c>
      <c r="C79">
        <v>75</v>
      </c>
      <c r="D79">
        <v>1218</v>
      </c>
      <c r="E79" t="s">
        <v>1076</v>
      </c>
      <c r="F79" t="str">
        <f t="shared" si="1"/>
        <v>INSERT INTO tbFinanceItemSeq(Report,ItemSeqID,ItemSN,ItemID) VALUES('MAD',78,75,1218)</v>
      </c>
    </row>
    <row r="80" spans="1:6">
      <c r="A80" t="s">
        <v>998</v>
      </c>
      <c r="B80">
        <v>79</v>
      </c>
      <c r="C80">
        <v>76</v>
      </c>
      <c r="D80">
        <v>1219</v>
      </c>
      <c r="E80" t="s">
        <v>1077</v>
      </c>
      <c r="F80" t="str">
        <f t="shared" si="1"/>
        <v>INSERT INTO tbFinanceItemSeq(Report,ItemSeqID,ItemSN,ItemID) VALUES('MAD',79,76,1219)</v>
      </c>
    </row>
    <row r="81" spans="1:6">
      <c r="A81" t="s">
        <v>998</v>
      </c>
      <c r="B81">
        <v>80</v>
      </c>
      <c r="C81">
        <v>77</v>
      </c>
      <c r="D81">
        <v>1220</v>
      </c>
      <c r="E81" t="s">
        <v>1078</v>
      </c>
      <c r="F81" t="str">
        <f t="shared" si="1"/>
        <v>INSERT INTO tbFinanceItemSeq(Report,ItemSeqID,ItemSN,ItemID) VALUES('MAD',80,77,1220)</v>
      </c>
    </row>
    <row r="82" spans="1:6">
      <c r="A82" t="s">
        <v>998</v>
      </c>
      <c r="B82">
        <v>81</v>
      </c>
      <c r="C82">
        <v>78</v>
      </c>
      <c r="D82">
        <v>1221</v>
      </c>
      <c r="E82" t="s">
        <v>1079</v>
      </c>
      <c r="F82" t="str">
        <f t="shared" si="1"/>
        <v>INSERT INTO tbFinanceItemSeq(Report,ItemSeqID,ItemSN,ItemID) VALUES('MAD',81,78,1221)</v>
      </c>
    </row>
    <row r="83" spans="1:6">
      <c r="A83" t="s">
        <v>998</v>
      </c>
      <c r="B83">
        <v>82</v>
      </c>
      <c r="C83">
        <v>79</v>
      </c>
      <c r="D83">
        <v>1222</v>
      </c>
      <c r="E83" t="s">
        <v>1080</v>
      </c>
      <c r="F83" t="str">
        <f t="shared" si="1"/>
        <v>INSERT INTO tbFinanceItemSeq(Report,ItemSeqID,ItemSN,ItemID) VALUES('MAD',82,79,1222)</v>
      </c>
    </row>
    <row r="84" spans="1:6">
      <c r="A84" t="s">
        <v>998</v>
      </c>
      <c r="B84">
        <v>83</v>
      </c>
      <c r="C84">
        <v>80</v>
      </c>
      <c r="D84">
        <v>1223</v>
      </c>
      <c r="E84" t="s">
        <v>1081</v>
      </c>
      <c r="F84" t="str">
        <f t="shared" si="1"/>
        <v>INSERT INTO tbFinanceItemSeq(Report,ItemSeqID,ItemSN,ItemID) VALUES('MAD',83,80,1223)</v>
      </c>
    </row>
    <row r="85" spans="1:6">
      <c r="A85" t="s">
        <v>998</v>
      </c>
      <c r="B85">
        <v>84</v>
      </c>
      <c r="C85">
        <v>81</v>
      </c>
      <c r="D85">
        <v>1224</v>
      </c>
      <c r="E85" t="s">
        <v>1082</v>
      </c>
      <c r="F85" t="str">
        <f t="shared" si="1"/>
        <v>INSERT INTO tbFinanceItemSeq(Report,ItemSeqID,ItemSN,ItemID) VALUES('MAD',84,81,1224)</v>
      </c>
    </row>
    <row r="86" spans="1:6">
      <c r="A86" t="s">
        <v>998</v>
      </c>
      <c r="B86">
        <v>85</v>
      </c>
      <c r="C86">
        <v>82</v>
      </c>
      <c r="D86">
        <v>1225</v>
      </c>
      <c r="E86" t="s">
        <v>1083</v>
      </c>
      <c r="F86" t="str">
        <f t="shared" si="1"/>
        <v>INSERT INTO tbFinanceItemSeq(Report,ItemSeqID,ItemSN,ItemID) VALUES('MAD',85,82,1225)</v>
      </c>
    </row>
    <row r="87" spans="1:6">
      <c r="A87" t="s">
        <v>998</v>
      </c>
      <c r="B87">
        <v>86</v>
      </c>
      <c r="C87">
        <v>83</v>
      </c>
      <c r="D87">
        <v>1226</v>
      </c>
      <c r="E87" t="s">
        <v>1084</v>
      </c>
      <c r="F87" t="str">
        <f t="shared" si="1"/>
        <v>INSERT INTO tbFinanceItemSeq(Report,ItemSeqID,ItemSN,ItemID) VALUES('MAD',86,83,1226)</v>
      </c>
    </row>
    <row r="88" spans="1:6">
      <c r="A88" t="s">
        <v>998</v>
      </c>
      <c r="B88">
        <v>87</v>
      </c>
      <c r="C88">
        <v>84</v>
      </c>
      <c r="D88">
        <v>1227</v>
      </c>
      <c r="E88" t="s">
        <v>1085</v>
      </c>
      <c r="F88" t="str">
        <f t="shared" si="1"/>
        <v>INSERT INTO tbFinanceItemSeq(Report,ItemSeqID,ItemSN,ItemID) VALUES('MAD',87,84,1227)</v>
      </c>
    </row>
    <row r="89" spans="1:6">
      <c r="A89" t="s">
        <v>998</v>
      </c>
      <c r="B89">
        <v>88</v>
      </c>
      <c r="C89">
        <v>85</v>
      </c>
      <c r="D89">
        <v>1228</v>
      </c>
      <c r="E89" t="s">
        <v>1086</v>
      </c>
      <c r="F89" t="str">
        <f t="shared" si="1"/>
        <v>INSERT INTO tbFinanceItemSeq(Report,ItemSeqID,ItemSN,ItemID) VALUES('MAD',88,85,1228)</v>
      </c>
    </row>
    <row r="90" spans="1:6">
      <c r="A90" t="s">
        <v>998</v>
      </c>
      <c r="B90">
        <v>89</v>
      </c>
      <c r="C90">
        <v>86</v>
      </c>
      <c r="D90">
        <v>1229</v>
      </c>
      <c r="E90" t="s">
        <v>1087</v>
      </c>
      <c r="F90" t="str">
        <f t="shared" si="1"/>
        <v>INSERT INTO tbFinanceItemSeq(Report,ItemSeqID,ItemSN,ItemID) VALUES('MAD',89,86,1229)</v>
      </c>
    </row>
    <row r="91" spans="1:6">
      <c r="A91" t="s">
        <v>998</v>
      </c>
      <c r="B91">
        <v>90</v>
      </c>
      <c r="C91">
        <v>87</v>
      </c>
      <c r="D91">
        <v>1230</v>
      </c>
      <c r="E91" t="s">
        <v>1088</v>
      </c>
      <c r="F91" t="str">
        <f t="shared" si="1"/>
        <v>INSERT INTO tbFinanceItemSeq(Report,ItemSeqID,ItemSN,ItemID) VALUES('MAD',90,87,1230)</v>
      </c>
    </row>
    <row r="92" spans="1:6">
      <c r="A92" t="s">
        <v>998</v>
      </c>
      <c r="B92">
        <v>91</v>
      </c>
      <c r="C92">
        <v>88</v>
      </c>
      <c r="D92">
        <v>1231</v>
      </c>
      <c r="E92" t="s">
        <v>1089</v>
      </c>
      <c r="F92" t="str">
        <f t="shared" si="1"/>
        <v>INSERT INTO tbFinanceItemSeq(Report,ItemSeqID,ItemSN,ItemID) VALUES('MAD',91,88,1231)</v>
      </c>
    </row>
    <row r="93" spans="1:6">
      <c r="A93" t="s">
        <v>998</v>
      </c>
      <c r="B93">
        <v>92</v>
      </c>
      <c r="C93">
        <v>89</v>
      </c>
      <c r="D93">
        <v>1232</v>
      </c>
      <c r="E93" t="s">
        <v>1090</v>
      </c>
      <c r="F93" t="str">
        <f t="shared" si="1"/>
        <v>INSERT INTO tbFinanceItemSeq(Report,ItemSeqID,ItemSN,ItemID) VALUES('MAD',92,89,1232)</v>
      </c>
    </row>
    <row r="94" spans="1:6">
      <c r="A94" t="s">
        <v>998</v>
      </c>
      <c r="B94">
        <v>93</v>
      </c>
      <c r="C94">
        <v>90</v>
      </c>
      <c r="D94">
        <v>1233</v>
      </c>
      <c r="E94" t="s">
        <v>1091</v>
      </c>
      <c r="F94" t="str">
        <f t="shared" si="1"/>
        <v>INSERT INTO tbFinanceItemSeq(Report,ItemSeqID,ItemSN,ItemID) VALUES('MAD',93,90,1233)</v>
      </c>
    </row>
    <row r="95" spans="1:6">
      <c r="A95" t="s">
        <v>998</v>
      </c>
      <c r="B95">
        <v>94</v>
      </c>
      <c r="C95">
        <v>91</v>
      </c>
      <c r="D95">
        <v>1234</v>
      </c>
      <c r="E95" t="s">
        <v>1092</v>
      </c>
      <c r="F95" t="str">
        <f t="shared" si="1"/>
        <v>INSERT INTO tbFinanceItemSeq(Report,ItemSeqID,ItemSN,ItemID) VALUES('MAD',94,91,1234)</v>
      </c>
    </row>
    <row r="96" spans="1:6">
      <c r="A96" t="s">
        <v>998</v>
      </c>
      <c r="B96">
        <v>95</v>
      </c>
      <c r="C96">
        <v>92</v>
      </c>
      <c r="D96">
        <v>1235</v>
      </c>
      <c r="E96" t="s">
        <v>1093</v>
      </c>
      <c r="F96" t="str">
        <f t="shared" si="1"/>
        <v>INSERT INTO tbFinanceItemSeq(Report,ItemSeqID,ItemSN,ItemID) VALUES('MAD',95,92,1235)</v>
      </c>
    </row>
    <row r="97" spans="1:6">
      <c r="A97" t="s">
        <v>998</v>
      </c>
      <c r="B97">
        <v>96</v>
      </c>
      <c r="C97">
        <v>93</v>
      </c>
      <c r="D97">
        <v>1236</v>
      </c>
      <c r="E97" t="s">
        <v>1094</v>
      </c>
      <c r="F97" t="str">
        <f t="shared" si="1"/>
        <v>INSERT INTO tbFinanceItemSeq(Report,ItemSeqID,ItemSN,ItemID) VALUES('MAD',96,93,1236)</v>
      </c>
    </row>
    <row r="98" spans="1:6">
      <c r="A98" t="s">
        <v>998</v>
      </c>
      <c r="B98">
        <v>97</v>
      </c>
      <c r="C98">
        <v>94</v>
      </c>
      <c r="D98">
        <v>1237</v>
      </c>
      <c r="E98" t="s">
        <v>1095</v>
      </c>
      <c r="F98" t="str">
        <f t="shared" si="1"/>
        <v>INSERT INTO tbFinanceItemSeq(Report,ItemSeqID,ItemSN,ItemID) VALUES('MAD',97,94,1237)</v>
      </c>
    </row>
    <row r="99" spans="1:6">
      <c r="A99" t="s">
        <v>998</v>
      </c>
      <c r="B99">
        <v>98</v>
      </c>
      <c r="C99">
        <v>95</v>
      </c>
      <c r="D99">
        <v>1238</v>
      </c>
      <c r="E99" t="s">
        <v>1096</v>
      </c>
      <c r="F99" t="str">
        <f t="shared" si="1"/>
        <v>INSERT INTO tbFinanceItemSeq(Report,ItemSeqID,ItemSN,ItemID) VALUES('MAD',98,95,1238)</v>
      </c>
    </row>
    <row r="100" spans="1:6">
      <c r="A100" t="s">
        <v>998</v>
      </c>
      <c r="B100">
        <v>99</v>
      </c>
      <c r="C100">
        <v>96</v>
      </c>
      <c r="D100">
        <v>1239</v>
      </c>
      <c r="E100" t="s">
        <v>1097</v>
      </c>
      <c r="F100" t="str">
        <f t="shared" si="1"/>
        <v>INSERT INTO tbFinanceItemSeq(Report,ItemSeqID,ItemSN,ItemID) VALUES('MAD',99,96,1239)</v>
      </c>
    </row>
    <row r="101" spans="1:6">
      <c r="A101" t="s">
        <v>998</v>
      </c>
      <c r="B101">
        <v>100</v>
      </c>
      <c r="C101">
        <v>97</v>
      </c>
      <c r="D101">
        <v>1240</v>
      </c>
      <c r="E101" t="s">
        <v>1098</v>
      </c>
      <c r="F101" t="str">
        <f t="shared" si="1"/>
        <v>INSERT INTO tbFinanceItemSeq(Report,ItemSeqID,ItemSN,ItemID) VALUES('MAD',100,97,1240)</v>
      </c>
    </row>
    <row r="102" spans="1:6">
      <c r="A102" t="s">
        <v>998</v>
      </c>
      <c r="B102">
        <v>101</v>
      </c>
      <c r="C102">
        <v>98</v>
      </c>
      <c r="D102">
        <v>1241</v>
      </c>
      <c r="E102" t="s">
        <v>1099</v>
      </c>
      <c r="F102" t="str">
        <f t="shared" si="1"/>
        <v>INSERT INTO tbFinanceItemSeq(Report,ItemSeqID,ItemSN,ItemID) VALUES('MAD',101,98,1241)</v>
      </c>
    </row>
    <row r="103" spans="1:6">
      <c r="A103" t="s">
        <v>998</v>
      </c>
      <c r="B103">
        <v>102</v>
      </c>
      <c r="C103">
        <v>99</v>
      </c>
      <c r="D103">
        <v>1242</v>
      </c>
      <c r="E103" t="s">
        <v>1100</v>
      </c>
      <c r="F103" t="str">
        <f t="shared" si="1"/>
        <v>INSERT INTO tbFinanceItemSeq(Report,ItemSeqID,ItemSN,ItemID) VALUES('MAD',102,99,1242)</v>
      </c>
    </row>
    <row r="104" spans="1:6">
      <c r="A104" t="s">
        <v>998</v>
      </c>
      <c r="B104">
        <v>103</v>
      </c>
      <c r="C104">
        <v>100</v>
      </c>
      <c r="D104">
        <v>1243</v>
      </c>
      <c r="E104" t="s">
        <v>1101</v>
      </c>
      <c r="F104" t="str">
        <f t="shared" si="1"/>
        <v>INSERT INTO tbFinanceItemSeq(Report,ItemSeqID,ItemSN,ItemID) VALUES('MAD',103,100,1243)</v>
      </c>
    </row>
    <row r="105" spans="1:6">
      <c r="A105" t="s">
        <v>998</v>
      </c>
      <c r="B105">
        <v>104</v>
      </c>
      <c r="C105">
        <v>101</v>
      </c>
      <c r="D105">
        <v>1244</v>
      </c>
      <c r="E105" t="s">
        <v>1102</v>
      </c>
      <c r="F105" t="str">
        <f t="shared" si="1"/>
        <v>INSERT INTO tbFinanceItemSeq(Report,ItemSeqID,ItemSN,ItemID) VALUES('MAD',104,101,1244)</v>
      </c>
    </row>
    <row r="106" spans="1:6">
      <c r="A106" t="s">
        <v>998</v>
      </c>
      <c r="B106">
        <v>105</v>
      </c>
      <c r="C106">
        <v>102</v>
      </c>
      <c r="D106">
        <v>1245</v>
      </c>
      <c r="E106" t="s">
        <v>1103</v>
      </c>
      <c r="F106" t="str">
        <f t="shared" si="1"/>
        <v>INSERT INTO tbFinanceItemSeq(Report,ItemSeqID,ItemSN,ItemID) VALUES('MAD',105,102,1245)</v>
      </c>
    </row>
    <row r="107" spans="1:6">
      <c r="A107" t="s">
        <v>998</v>
      </c>
      <c r="B107">
        <v>106</v>
      </c>
      <c r="C107">
        <v>103</v>
      </c>
      <c r="D107">
        <v>1246</v>
      </c>
      <c r="E107" t="s">
        <v>1104</v>
      </c>
      <c r="F107" t="str">
        <f t="shared" si="1"/>
        <v>INSERT INTO tbFinanceItemSeq(Report,ItemSeqID,ItemSN,ItemID) VALUES('MAD',106,103,1246)</v>
      </c>
    </row>
    <row r="108" spans="1:6">
      <c r="A108" t="s">
        <v>998</v>
      </c>
      <c r="B108">
        <v>107</v>
      </c>
      <c r="C108">
        <v>104</v>
      </c>
      <c r="D108">
        <v>1247</v>
      </c>
      <c r="E108" t="s">
        <v>1105</v>
      </c>
      <c r="F108" t="str">
        <f t="shared" si="1"/>
        <v>INSERT INTO tbFinanceItemSeq(Report,ItemSeqID,ItemSN,ItemID) VALUES('MAD',107,104,1247)</v>
      </c>
    </row>
    <row r="109" spans="1:6">
      <c r="A109" t="s">
        <v>998</v>
      </c>
      <c r="B109">
        <v>108</v>
      </c>
      <c r="C109">
        <v>105</v>
      </c>
      <c r="D109">
        <v>1248</v>
      </c>
      <c r="E109" t="s">
        <v>1106</v>
      </c>
      <c r="F109" t="str">
        <f t="shared" si="1"/>
        <v>INSERT INTO tbFinanceItemSeq(Report,ItemSeqID,ItemSN,ItemID) VALUES('MAD',108,105,1248)</v>
      </c>
    </row>
    <row r="110" spans="1:6">
      <c r="A110" t="s">
        <v>998</v>
      </c>
      <c r="B110">
        <v>109</v>
      </c>
      <c r="C110">
        <v>106</v>
      </c>
      <c r="D110">
        <v>1249</v>
      </c>
      <c r="E110" t="s">
        <v>1107</v>
      </c>
      <c r="F110" t="str">
        <f t="shared" si="1"/>
        <v>INSERT INTO tbFinanceItemSeq(Report,ItemSeqID,ItemSN,ItemID) VALUES('MAD',109,106,1249)</v>
      </c>
    </row>
    <row r="111" spans="1:6">
      <c r="A111" t="s">
        <v>998</v>
      </c>
      <c r="B111">
        <v>110</v>
      </c>
      <c r="C111">
        <v>107</v>
      </c>
      <c r="D111">
        <v>1250</v>
      </c>
      <c r="E111" t="s">
        <v>1108</v>
      </c>
      <c r="F111" t="str">
        <f t="shared" si="1"/>
        <v>INSERT INTO tbFinanceItemSeq(Report,ItemSeqID,ItemSN,ItemID) VALUES('MAD',110,107,1250)</v>
      </c>
    </row>
    <row r="112" spans="1:6">
      <c r="A112" t="s">
        <v>998</v>
      </c>
      <c r="B112">
        <v>111</v>
      </c>
      <c r="C112">
        <v>108</v>
      </c>
      <c r="D112">
        <v>1251</v>
      </c>
      <c r="E112" t="s">
        <v>1109</v>
      </c>
      <c r="F112" t="str">
        <f t="shared" si="1"/>
        <v>INSERT INTO tbFinanceItemSeq(Report,ItemSeqID,ItemSN,ItemID) VALUES('MAD',111,108,1251)</v>
      </c>
    </row>
    <row r="113" spans="1:6">
      <c r="A113" t="s">
        <v>998</v>
      </c>
      <c r="B113">
        <v>112</v>
      </c>
      <c r="C113">
        <v>109</v>
      </c>
      <c r="D113">
        <v>1252</v>
      </c>
      <c r="E113" t="s">
        <v>1110</v>
      </c>
      <c r="F113" t="str">
        <f t="shared" si="1"/>
        <v>INSERT INTO tbFinanceItemSeq(Report,ItemSeqID,ItemSN,ItemID) VALUES('MAD',112,109,1252)</v>
      </c>
    </row>
    <row r="114" spans="1:6">
      <c r="A114" t="s">
        <v>998</v>
      </c>
      <c r="B114">
        <v>113</v>
      </c>
      <c r="C114">
        <v>110</v>
      </c>
      <c r="D114">
        <v>1253</v>
      </c>
      <c r="E114" t="s">
        <v>1111</v>
      </c>
      <c r="F114" t="str">
        <f t="shared" si="1"/>
        <v>INSERT INTO tbFinanceItemSeq(Report,ItemSeqID,ItemSN,ItemID) VALUES('MAD',113,110,1253)</v>
      </c>
    </row>
    <row r="115" spans="1:6">
      <c r="A115" t="s">
        <v>998</v>
      </c>
      <c r="B115">
        <v>114</v>
      </c>
      <c r="C115">
        <v>111</v>
      </c>
      <c r="D115">
        <v>1254</v>
      </c>
      <c r="E115" t="s">
        <v>1112</v>
      </c>
      <c r="F115" t="str">
        <f t="shared" si="1"/>
        <v>INSERT INTO tbFinanceItemSeq(Report,ItemSeqID,ItemSN,ItemID) VALUES('MAD',114,111,1254)</v>
      </c>
    </row>
    <row r="116" spans="1:6">
      <c r="A116" t="s">
        <v>998</v>
      </c>
      <c r="B116">
        <v>115</v>
      </c>
      <c r="C116">
        <v>112</v>
      </c>
      <c r="D116">
        <v>1255</v>
      </c>
      <c r="E116" t="s">
        <v>1113</v>
      </c>
      <c r="F116" t="str">
        <f t="shared" si="1"/>
        <v>INSERT INTO tbFinanceItemSeq(Report,ItemSeqID,ItemSN,ItemID) VALUES('MAD',115,112,1255)</v>
      </c>
    </row>
    <row r="117" spans="1:6">
      <c r="A117" t="s">
        <v>998</v>
      </c>
      <c r="B117">
        <v>116</v>
      </c>
      <c r="C117">
        <v>113</v>
      </c>
      <c r="D117">
        <v>1256</v>
      </c>
      <c r="E117" t="s">
        <v>1114</v>
      </c>
      <c r="F117" t="str">
        <f t="shared" si="1"/>
        <v>INSERT INTO tbFinanceItemSeq(Report,ItemSeqID,ItemSN,ItemID) VALUES('MAD',116,113,1256)</v>
      </c>
    </row>
    <row r="118" spans="1:6">
      <c r="A118" t="s">
        <v>998</v>
      </c>
      <c r="B118">
        <v>117</v>
      </c>
      <c r="C118">
        <v>114</v>
      </c>
      <c r="D118">
        <v>1257</v>
      </c>
      <c r="E118" t="s">
        <v>1115</v>
      </c>
      <c r="F118" t="str">
        <f t="shared" si="1"/>
        <v>INSERT INTO tbFinanceItemSeq(Report,ItemSeqID,ItemSN,ItemID) VALUES('MAD',117,114,1257)</v>
      </c>
    </row>
    <row r="119" spans="1:6">
      <c r="A119" t="s">
        <v>998</v>
      </c>
      <c r="B119">
        <v>118</v>
      </c>
      <c r="C119">
        <v>115</v>
      </c>
      <c r="D119">
        <v>1258</v>
      </c>
      <c r="E119" t="s">
        <v>1116</v>
      </c>
      <c r="F119" t="str">
        <f t="shared" si="1"/>
        <v>INSERT INTO tbFinanceItemSeq(Report,ItemSeqID,ItemSN,ItemID) VALUES('MAD',118,115,1258)</v>
      </c>
    </row>
    <row r="120" spans="1:6">
      <c r="A120" t="s">
        <v>998</v>
      </c>
      <c r="B120">
        <v>119</v>
      </c>
      <c r="C120">
        <v>116</v>
      </c>
      <c r="D120">
        <v>1259</v>
      </c>
      <c r="E120" t="s">
        <v>1117</v>
      </c>
      <c r="F120" t="str">
        <f t="shared" si="1"/>
        <v>INSERT INTO tbFinanceItemSeq(Report,ItemSeqID,ItemSN,ItemID) VALUES('MAD',119,116,1259)</v>
      </c>
    </row>
    <row r="121" spans="1:6">
      <c r="A121" t="s">
        <v>998</v>
      </c>
      <c r="B121">
        <v>120</v>
      </c>
      <c r="C121">
        <v>117</v>
      </c>
      <c r="D121">
        <v>1260</v>
      </c>
      <c r="E121" t="s">
        <v>1118</v>
      </c>
      <c r="F121" t="str">
        <f t="shared" si="1"/>
        <v>INSERT INTO tbFinanceItemSeq(Report,ItemSeqID,ItemSN,ItemID) VALUES('MAD',120,117,1260)</v>
      </c>
    </row>
    <row r="122" spans="1:6">
      <c r="A122" t="s">
        <v>998</v>
      </c>
      <c r="B122">
        <v>121</v>
      </c>
      <c r="C122">
        <v>118</v>
      </c>
      <c r="D122">
        <v>1261</v>
      </c>
      <c r="E122" t="s">
        <v>1119</v>
      </c>
      <c r="F122" t="str">
        <f t="shared" si="1"/>
        <v>INSERT INTO tbFinanceItemSeq(Report,ItemSeqID,ItemSN,ItemID) VALUES('MAD',121,118,1261)</v>
      </c>
    </row>
    <row r="123" spans="1:6">
      <c r="A123" t="s">
        <v>998</v>
      </c>
      <c r="B123">
        <v>122</v>
      </c>
      <c r="C123">
        <v>119</v>
      </c>
      <c r="D123">
        <v>1262</v>
      </c>
      <c r="E123" t="s">
        <v>1120</v>
      </c>
      <c r="F123" t="str">
        <f t="shared" si="1"/>
        <v>INSERT INTO tbFinanceItemSeq(Report,ItemSeqID,ItemSN,ItemID) VALUES('MAD',122,119,1262)</v>
      </c>
    </row>
    <row r="124" spans="1:6">
      <c r="A124" t="s">
        <v>998</v>
      </c>
      <c r="B124">
        <v>123</v>
      </c>
      <c r="C124">
        <v>120</v>
      </c>
      <c r="D124">
        <v>1263</v>
      </c>
      <c r="E124" t="s">
        <v>1121</v>
      </c>
      <c r="F124" t="str">
        <f t="shared" si="1"/>
        <v>INSERT INTO tbFinanceItemSeq(Report,ItemSeqID,ItemSN,ItemID) VALUES('MAD',123,120,1263)</v>
      </c>
    </row>
    <row r="125" spans="1:6">
      <c r="A125" t="s">
        <v>998</v>
      </c>
      <c r="B125">
        <v>124</v>
      </c>
      <c r="C125">
        <v>121</v>
      </c>
      <c r="D125">
        <v>1264</v>
      </c>
      <c r="E125" t="s">
        <v>1122</v>
      </c>
      <c r="F125" t="str">
        <f t="shared" si="1"/>
        <v>INSERT INTO tbFinanceItemSeq(Report,ItemSeqID,ItemSN,ItemID) VALUES('MAD',124,121,1264)</v>
      </c>
    </row>
    <row r="126" spans="1:6">
      <c r="A126" t="s">
        <v>998</v>
      </c>
      <c r="B126">
        <v>125</v>
      </c>
      <c r="C126">
        <v>122</v>
      </c>
      <c r="D126">
        <v>1265</v>
      </c>
      <c r="E126" t="s">
        <v>1123</v>
      </c>
      <c r="F126" t="str">
        <f t="shared" si="1"/>
        <v>INSERT INTO tbFinanceItemSeq(Report,ItemSeqID,ItemSN,ItemID) VALUES('MAD',125,122,1265)</v>
      </c>
    </row>
    <row r="127" spans="1:6">
      <c r="A127" t="s">
        <v>998</v>
      </c>
      <c r="B127">
        <v>126</v>
      </c>
      <c r="C127">
        <v>123</v>
      </c>
      <c r="D127">
        <v>1266</v>
      </c>
      <c r="E127" t="s">
        <v>1124</v>
      </c>
      <c r="F127" t="str">
        <f t="shared" si="1"/>
        <v>INSERT INTO tbFinanceItemSeq(Report,ItemSeqID,ItemSN,ItemID) VALUES('MAD',126,123,1266)</v>
      </c>
    </row>
    <row r="128" spans="1:6">
      <c r="A128" t="s">
        <v>998</v>
      </c>
      <c r="B128">
        <v>127</v>
      </c>
      <c r="C128">
        <v>124</v>
      </c>
      <c r="D128">
        <v>1267</v>
      </c>
      <c r="E128" t="s">
        <v>1125</v>
      </c>
      <c r="F128" t="str">
        <f t="shared" si="1"/>
        <v>INSERT INTO tbFinanceItemSeq(Report,ItemSeqID,ItemSN,ItemID) VALUES('MAD',127,124,1267)</v>
      </c>
    </row>
    <row r="129" spans="1:6">
      <c r="A129" t="s">
        <v>998</v>
      </c>
      <c r="B129">
        <v>128</v>
      </c>
      <c r="C129">
        <v>125</v>
      </c>
      <c r="D129">
        <v>1268</v>
      </c>
      <c r="E129" t="s">
        <v>1126</v>
      </c>
      <c r="F129" t="str">
        <f t="shared" si="1"/>
        <v>INSERT INTO tbFinanceItemSeq(Report,ItemSeqID,ItemSN,ItemID) VALUES('MAD',128,125,1268)</v>
      </c>
    </row>
    <row r="130" spans="1:6">
      <c r="A130" t="s">
        <v>998</v>
      </c>
      <c r="B130">
        <v>129</v>
      </c>
      <c r="C130">
        <v>126</v>
      </c>
      <c r="D130">
        <v>1269</v>
      </c>
      <c r="E130" t="s">
        <v>1127</v>
      </c>
      <c r="F130" t="str">
        <f t="shared" si="1"/>
        <v>INSERT INTO tbFinanceItemSeq(Report,ItemSeqID,ItemSN,ItemID) VALUES('MAD',129,126,1269)</v>
      </c>
    </row>
    <row r="131" spans="1:6">
      <c r="A131" t="s">
        <v>998</v>
      </c>
      <c r="B131">
        <v>130</v>
      </c>
      <c r="C131">
        <v>127</v>
      </c>
      <c r="D131">
        <v>1270</v>
      </c>
      <c r="E131" t="s">
        <v>1128</v>
      </c>
      <c r="F131" t="str">
        <f t="shared" ref="F131:F140" si="2">CONCATENATE("INSERT INTO tbFinanceItemSeq(Report,ItemSeqID,ItemSN,ItemID) VALUES('",A131,"',",B131,",",C131,",",D131,")")</f>
        <v>INSERT INTO tbFinanceItemSeq(Report,ItemSeqID,ItemSN,ItemID) VALUES('MAD',130,127,1270)</v>
      </c>
    </row>
    <row r="132" spans="1:6">
      <c r="A132" t="s">
        <v>998</v>
      </c>
      <c r="B132">
        <v>131</v>
      </c>
      <c r="C132">
        <v>128</v>
      </c>
      <c r="D132">
        <v>1271</v>
      </c>
      <c r="E132" t="s">
        <v>1129</v>
      </c>
      <c r="F132" t="str">
        <f t="shared" si="2"/>
        <v>INSERT INTO tbFinanceItemSeq(Report,ItemSeqID,ItemSN,ItemID) VALUES('MAD',131,128,1271)</v>
      </c>
    </row>
    <row r="133" spans="1:6">
      <c r="A133" t="s">
        <v>998</v>
      </c>
      <c r="B133">
        <v>132</v>
      </c>
      <c r="C133">
        <v>129</v>
      </c>
      <c r="D133">
        <v>1272</v>
      </c>
      <c r="E133" t="s">
        <v>1130</v>
      </c>
      <c r="F133" t="str">
        <f t="shared" si="2"/>
        <v>INSERT INTO tbFinanceItemSeq(Report,ItemSeqID,ItemSN,ItemID) VALUES('MAD',132,129,1272)</v>
      </c>
    </row>
    <row r="134" spans="1:6">
      <c r="A134" t="s">
        <v>998</v>
      </c>
      <c r="B134">
        <v>133</v>
      </c>
      <c r="C134">
        <v>130</v>
      </c>
      <c r="D134">
        <v>1273</v>
      </c>
      <c r="E134" t="s">
        <v>1131</v>
      </c>
      <c r="F134" t="str">
        <f t="shared" si="2"/>
        <v>INSERT INTO tbFinanceItemSeq(Report,ItemSeqID,ItemSN,ItemID) VALUES('MAD',133,130,1273)</v>
      </c>
    </row>
    <row r="135" spans="1:6">
      <c r="A135" t="s">
        <v>998</v>
      </c>
      <c r="B135">
        <v>134</v>
      </c>
      <c r="C135">
        <v>131</v>
      </c>
      <c r="D135">
        <v>1274</v>
      </c>
      <c r="E135" t="s">
        <v>1132</v>
      </c>
      <c r="F135" t="str">
        <f t="shared" si="2"/>
        <v>INSERT INTO tbFinanceItemSeq(Report,ItemSeqID,ItemSN,ItemID) VALUES('MAD',134,131,1274)</v>
      </c>
    </row>
    <row r="136" spans="1:6">
      <c r="A136" t="s">
        <v>998</v>
      </c>
      <c r="B136">
        <v>135</v>
      </c>
      <c r="C136">
        <v>132</v>
      </c>
      <c r="D136">
        <v>1275</v>
      </c>
      <c r="E136" t="s">
        <v>1133</v>
      </c>
      <c r="F136" t="str">
        <f t="shared" si="2"/>
        <v>INSERT INTO tbFinanceItemSeq(Report,ItemSeqID,ItemSN,ItemID) VALUES('MAD',135,132,1275)</v>
      </c>
    </row>
    <row r="137" spans="1:6">
      <c r="A137" t="s">
        <v>998</v>
      </c>
      <c r="B137">
        <v>136</v>
      </c>
      <c r="C137">
        <v>133</v>
      </c>
      <c r="D137">
        <v>1276</v>
      </c>
      <c r="E137" t="s">
        <v>1134</v>
      </c>
      <c r="F137" t="str">
        <f t="shared" si="2"/>
        <v>INSERT INTO tbFinanceItemSeq(Report,ItemSeqID,ItemSN,ItemID) VALUES('MAD',136,133,1276)</v>
      </c>
    </row>
    <row r="138" spans="1:6">
      <c r="A138" t="s">
        <v>998</v>
      </c>
      <c r="B138">
        <v>137</v>
      </c>
      <c r="C138">
        <v>134</v>
      </c>
      <c r="D138">
        <v>1277</v>
      </c>
      <c r="E138" t="s">
        <v>1135</v>
      </c>
      <c r="F138" t="str">
        <f t="shared" si="2"/>
        <v>INSERT INTO tbFinanceItemSeq(Report,ItemSeqID,ItemSN,ItemID) VALUES('MAD',137,134,1277)</v>
      </c>
    </row>
    <row r="139" spans="1:6">
      <c r="A139" t="s">
        <v>998</v>
      </c>
      <c r="B139">
        <v>138</v>
      </c>
      <c r="C139">
        <v>135</v>
      </c>
      <c r="D139">
        <v>1278</v>
      </c>
      <c r="E139" t="s">
        <v>1136</v>
      </c>
      <c r="F139" t="str">
        <f t="shared" si="2"/>
        <v>INSERT INTO tbFinanceItemSeq(Report,ItemSeqID,ItemSN,ItemID) VALUES('MAD',138,135,1278)</v>
      </c>
    </row>
    <row r="140" spans="1:6">
      <c r="A140" t="s">
        <v>998</v>
      </c>
      <c r="B140">
        <v>139</v>
      </c>
      <c r="C140">
        <v>136</v>
      </c>
      <c r="D140">
        <v>1279</v>
      </c>
      <c r="E140" t="s">
        <v>1137</v>
      </c>
      <c r="F140" t="str">
        <f t="shared" si="2"/>
        <v>INSERT INTO tbFinanceItemSeq(Report,ItemSeqID,ItemSN,ItemID) VALUES('MAD',139,136,1279)</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6"/>
  <sheetViews>
    <sheetView workbookViewId="0">
      <selection activeCell="B10" sqref="B10"/>
    </sheetView>
  </sheetViews>
  <sheetFormatPr defaultColWidth="8.85546875" defaultRowHeight="15"/>
  <cols>
    <col min="1" max="1" width="39" bestFit="1" customWidth="1"/>
    <col min="2" max="2" width="27.42578125" style="75" bestFit="1" customWidth="1"/>
    <col min="4" max="4" width="7.7109375" style="47" bestFit="1" customWidth="1"/>
  </cols>
  <sheetData>
    <row r="1" spans="1:4">
      <c r="A1" s="4" t="s">
        <v>71</v>
      </c>
      <c r="B1" s="63" t="s">
        <v>1186</v>
      </c>
      <c r="C1" s="4" t="s">
        <v>1260</v>
      </c>
      <c r="D1" s="4" t="s">
        <v>1273</v>
      </c>
    </row>
    <row r="2" spans="1:4">
      <c r="A2" t="s">
        <v>1187</v>
      </c>
      <c r="B2" s="64" t="s">
        <v>1140</v>
      </c>
      <c r="C2" t="b">
        <f>EXACT(A3,B3)</f>
        <v>1</v>
      </c>
    </row>
    <row r="3" spans="1:4">
      <c r="A3" t="s">
        <v>1188</v>
      </c>
      <c r="B3" s="64" t="s">
        <v>1188</v>
      </c>
      <c r="C3" t="b">
        <f t="shared" ref="C3:C38" si="0">EXACT(A4,B4)</f>
        <v>1</v>
      </c>
    </row>
    <row r="4" spans="1:4">
      <c r="A4" t="s">
        <v>1189</v>
      </c>
      <c r="B4" s="64" t="s">
        <v>1189</v>
      </c>
      <c r="C4" t="b">
        <f t="shared" si="0"/>
        <v>1</v>
      </c>
    </row>
    <row r="5" spans="1:4">
      <c r="A5" t="s">
        <v>1190</v>
      </c>
      <c r="B5" s="64" t="s">
        <v>1190</v>
      </c>
      <c r="C5" t="b">
        <f t="shared" si="0"/>
        <v>1</v>
      </c>
    </row>
    <row r="6" spans="1:4">
      <c r="A6" t="s">
        <v>1191</v>
      </c>
      <c r="B6" s="64" t="s">
        <v>1191</v>
      </c>
      <c r="C6" t="b">
        <f t="shared" si="0"/>
        <v>1</v>
      </c>
    </row>
    <row r="7" spans="1:4">
      <c r="A7" t="s">
        <v>1192</v>
      </c>
      <c r="B7" s="64" t="s">
        <v>1192</v>
      </c>
      <c r="C7" t="b">
        <f t="shared" si="0"/>
        <v>1</v>
      </c>
    </row>
    <row r="8" spans="1:4">
      <c r="A8" t="s">
        <v>1193</v>
      </c>
      <c r="B8" s="64" t="s">
        <v>1193</v>
      </c>
      <c r="C8" t="b">
        <f t="shared" si="0"/>
        <v>1</v>
      </c>
    </row>
    <row r="9" spans="1:4">
      <c r="A9" t="s">
        <v>1194</v>
      </c>
      <c r="B9" s="65" t="s">
        <v>1194</v>
      </c>
      <c r="C9" t="b">
        <f t="shared" si="0"/>
        <v>1</v>
      </c>
    </row>
    <row r="10" spans="1:4">
      <c r="A10" t="s">
        <v>1141</v>
      </c>
      <c r="B10" s="66" t="s">
        <v>1141</v>
      </c>
      <c r="C10" t="b">
        <f t="shared" si="0"/>
        <v>0</v>
      </c>
    </row>
    <row r="11" spans="1:4">
      <c r="A11" t="s">
        <v>1195</v>
      </c>
      <c r="B11" s="64" t="s">
        <v>1142</v>
      </c>
      <c r="C11" t="b">
        <f t="shared" si="0"/>
        <v>1</v>
      </c>
    </row>
    <row r="12" spans="1:4">
      <c r="A12" t="s">
        <v>1196</v>
      </c>
      <c r="B12" s="64" t="s">
        <v>1196</v>
      </c>
      <c r="C12" t="b">
        <f t="shared" si="0"/>
        <v>1</v>
      </c>
    </row>
    <row r="13" spans="1:4">
      <c r="A13" t="s">
        <v>1143</v>
      </c>
      <c r="B13" s="64" t="s">
        <v>1143</v>
      </c>
      <c r="C13" t="b">
        <f t="shared" si="0"/>
        <v>1</v>
      </c>
    </row>
    <row r="14" spans="1:4">
      <c r="A14" t="s">
        <v>1197</v>
      </c>
      <c r="B14" s="64" t="s">
        <v>1197</v>
      </c>
      <c r="C14" t="b">
        <f t="shared" si="0"/>
        <v>1</v>
      </c>
    </row>
    <row r="15" spans="1:4">
      <c r="A15" t="s">
        <v>1198</v>
      </c>
      <c r="B15" s="67" t="s">
        <v>1198</v>
      </c>
      <c r="C15" t="b">
        <f t="shared" si="0"/>
        <v>1</v>
      </c>
    </row>
    <row r="16" spans="1:4">
      <c r="A16" t="s">
        <v>1199</v>
      </c>
      <c r="B16" s="67" t="s">
        <v>1199</v>
      </c>
      <c r="C16" t="b">
        <f t="shared" si="0"/>
        <v>1</v>
      </c>
    </row>
    <row r="17" spans="1:3">
      <c r="A17" t="s">
        <v>1200</v>
      </c>
      <c r="B17" s="64" t="s">
        <v>1200</v>
      </c>
      <c r="C17" t="b">
        <f t="shared" si="0"/>
        <v>1</v>
      </c>
    </row>
    <row r="18" spans="1:3">
      <c r="A18" t="s">
        <v>1201</v>
      </c>
      <c r="B18" s="64" t="s">
        <v>1201</v>
      </c>
      <c r="C18" t="b">
        <f t="shared" si="0"/>
        <v>1</v>
      </c>
    </row>
    <row r="19" spans="1:3">
      <c r="A19" t="s">
        <v>1202</v>
      </c>
      <c r="B19" s="64" t="s">
        <v>1202</v>
      </c>
      <c r="C19" t="b">
        <f t="shared" si="0"/>
        <v>1</v>
      </c>
    </row>
    <row r="20" spans="1:3">
      <c r="A20" t="s">
        <v>1203</v>
      </c>
      <c r="B20" s="64" t="s">
        <v>1203</v>
      </c>
      <c r="C20" t="b">
        <f t="shared" si="0"/>
        <v>1</v>
      </c>
    </row>
    <row r="21" spans="1:3">
      <c r="A21" t="s">
        <v>1204</v>
      </c>
      <c r="B21" s="64" t="s">
        <v>1204</v>
      </c>
      <c r="C21" t="b">
        <f t="shared" si="0"/>
        <v>1</v>
      </c>
    </row>
    <row r="22" spans="1:3">
      <c r="A22" t="s">
        <v>1205</v>
      </c>
      <c r="B22" s="64" t="s">
        <v>1205</v>
      </c>
      <c r="C22" t="b">
        <f t="shared" si="0"/>
        <v>1</v>
      </c>
    </row>
    <row r="23" spans="1:3">
      <c r="A23" t="s">
        <v>1206</v>
      </c>
      <c r="B23" s="64" t="s">
        <v>1206</v>
      </c>
      <c r="C23" t="b">
        <f t="shared" si="0"/>
        <v>1</v>
      </c>
    </row>
    <row r="24" spans="1:3">
      <c r="A24" t="s">
        <v>1207</v>
      </c>
      <c r="B24" s="64" t="s">
        <v>1207</v>
      </c>
      <c r="C24" t="b">
        <f t="shared" si="0"/>
        <v>1</v>
      </c>
    </row>
    <row r="25" spans="1:3">
      <c r="A25" t="s">
        <v>1208</v>
      </c>
      <c r="B25" s="64" t="s">
        <v>1208</v>
      </c>
      <c r="C25" t="b">
        <f t="shared" si="0"/>
        <v>1</v>
      </c>
    </row>
    <row r="26" spans="1:3">
      <c r="A26" t="s">
        <v>1209</v>
      </c>
      <c r="B26" s="64" t="s">
        <v>1209</v>
      </c>
      <c r="C26" t="b">
        <f t="shared" si="0"/>
        <v>1</v>
      </c>
    </row>
    <row r="27" spans="1:3">
      <c r="A27" t="s">
        <v>1210</v>
      </c>
      <c r="B27" s="64" t="s">
        <v>1210</v>
      </c>
      <c r="C27" t="b">
        <f t="shared" si="0"/>
        <v>1</v>
      </c>
    </row>
    <row r="28" spans="1:3">
      <c r="A28" t="s">
        <v>1211</v>
      </c>
      <c r="B28" s="64" t="s">
        <v>1211</v>
      </c>
      <c r="C28" t="b">
        <f t="shared" si="0"/>
        <v>1</v>
      </c>
    </row>
    <row r="29" spans="1:3">
      <c r="A29" t="s">
        <v>1212</v>
      </c>
      <c r="B29" s="64" t="s">
        <v>1212</v>
      </c>
      <c r="C29" t="b">
        <f t="shared" si="0"/>
        <v>1</v>
      </c>
    </row>
    <row r="30" spans="1:3">
      <c r="A30" t="s">
        <v>1213</v>
      </c>
      <c r="B30" s="64" t="s">
        <v>1213</v>
      </c>
      <c r="C30" t="b">
        <f t="shared" si="0"/>
        <v>0</v>
      </c>
    </row>
    <row r="31" spans="1:3">
      <c r="A31" t="s">
        <v>1214</v>
      </c>
      <c r="B31" s="64" t="s">
        <v>1261</v>
      </c>
      <c r="C31" t="b">
        <f t="shared" si="0"/>
        <v>0</v>
      </c>
    </row>
    <row r="32" spans="1:3">
      <c r="A32" t="s">
        <v>1215</v>
      </c>
      <c r="B32" s="65" t="s">
        <v>1262</v>
      </c>
      <c r="C32" t="b">
        <f t="shared" si="0"/>
        <v>1</v>
      </c>
    </row>
    <row r="33" spans="1:4">
      <c r="A33" t="s">
        <v>1216</v>
      </c>
      <c r="B33" s="67" t="s">
        <v>1216</v>
      </c>
      <c r="C33" t="b">
        <f t="shared" si="0"/>
        <v>1</v>
      </c>
    </row>
    <row r="34" spans="1:4">
      <c r="A34" t="s">
        <v>1217</v>
      </c>
      <c r="B34" s="64" t="s">
        <v>1217</v>
      </c>
      <c r="C34" t="b">
        <f t="shared" si="0"/>
        <v>1</v>
      </c>
    </row>
    <row r="35" spans="1:4">
      <c r="A35" t="s">
        <v>1218</v>
      </c>
      <c r="B35" s="65" t="s">
        <v>1218</v>
      </c>
      <c r="C35" t="b">
        <f t="shared" si="0"/>
        <v>1</v>
      </c>
    </row>
    <row r="36" spans="1:4">
      <c r="A36" t="s">
        <v>1144</v>
      </c>
      <c r="B36" s="68" t="s">
        <v>1144</v>
      </c>
      <c r="C36" t="b">
        <f t="shared" si="0"/>
        <v>1</v>
      </c>
    </row>
    <row r="37" spans="1:4">
      <c r="A37" t="s">
        <v>1145</v>
      </c>
      <c r="B37" s="65" t="s">
        <v>1145</v>
      </c>
      <c r="C37" t="b">
        <f t="shared" si="0"/>
        <v>1</v>
      </c>
    </row>
    <row r="38" spans="1:4">
      <c r="A38" t="s">
        <v>1219</v>
      </c>
      <c r="B38" s="67" t="s">
        <v>1219</v>
      </c>
      <c r="C38" t="b">
        <f t="shared" si="0"/>
        <v>1</v>
      </c>
    </row>
    <row r="39" spans="1:4">
      <c r="A39" t="s">
        <v>1220</v>
      </c>
      <c r="B39" s="69" t="s">
        <v>1220</v>
      </c>
      <c r="C39" t="b">
        <f>EXACT(A41,B40)</f>
        <v>0</v>
      </c>
    </row>
    <row r="40" spans="1:4">
      <c r="B40" s="67" t="s">
        <v>1263</v>
      </c>
      <c r="C40" t="b">
        <f>EXACT(A41,B41)</f>
        <v>1</v>
      </c>
      <c r="D40" s="47" t="s">
        <v>75</v>
      </c>
    </row>
    <row r="41" spans="1:4">
      <c r="A41" t="s">
        <v>1146</v>
      </c>
      <c r="B41" s="68" t="s">
        <v>1146</v>
      </c>
      <c r="C41" t="b">
        <f t="shared" ref="C41:C68" si="1">EXACT(A42,B42)</f>
        <v>0</v>
      </c>
    </row>
    <row r="42" spans="1:4">
      <c r="A42" t="s">
        <v>1221</v>
      </c>
      <c r="B42" s="68" t="s">
        <v>1147</v>
      </c>
      <c r="C42" t="b">
        <f t="shared" si="1"/>
        <v>0</v>
      </c>
    </row>
    <row r="43" spans="1:4">
      <c r="A43" t="s">
        <v>1222</v>
      </c>
      <c r="B43" s="70" t="s">
        <v>1148</v>
      </c>
      <c r="C43" t="b">
        <f t="shared" si="1"/>
        <v>1</v>
      </c>
    </row>
    <row r="44" spans="1:4">
      <c r="A44" t="s">
        <v>1223</v>
      </c>
      <c r="B44" s="64" t="s">
        <v>1223</v>
      </c>
      <c r="C44" t="b">
        <f t="shared" si="1"/>
        <v>1</v>
      </c>
    </row>
    <row r="45" spans="1:4">
      <c r="A45" t="s">
        <v>1224</v>
      </c>
      <c r="B45" s="64" t="s">
        <v>1224</v>
      </c>
      <c r="C45" t="b">
        <f t="shared" si="1"/>
        <v>1</v>
      </c>
    </row>
    <row r="46" spans="1:4">
      <c r="A46" t="s">
        <v>1225</v>
      </c>
      <c r="B46" s="64" t="s">
        <v>1225</v>
      </c>
      <c r="C46" t="b">
        <f t="shared" si="1"/>
        <v>1</v>
      </c>
    </row>
    <row r="47" spans="1:4">
      <c r="A47" t="s">
        <v>1226</v>
      </c>
      <c r="B47" s="67" t="s">
        <v>1226</v>
      </c>
      <c r="C47" t="b">
        <f t="shared" si="1"/>
        <v>1</v>
      </c>
    </row>
    <row r="48" spans="1:4">
      <c r="A48" t="s">
        <v>1227</v>
      </c>
      <c r="B48" s="65" t="s">
        <v>1227</v>
      </c>
      <c r="C48" t="b">
        <f t="shared" si="1"/>
        <v>1</v>
      </c>
    </row>
    <row r="49" spans="1:3">
      <c r="A49" t="s">
        <v>1228</v>
      </c>
      <c r="B49" s="67" t="s">
        <v>1228</v>
      </c>
      <c r="C49" t="b">
        <f t="shared" si="1"/>
        <v>1</v>
      </c>
    </row>
    <row r="50" spans="1:3">
      <c r="A50" t="s">
        <v>1229</v>
      </c>
      <c r="B50" s="64" t="s">
        <v>1229</v>
      </c>
      <c r="C50" t="b">
        <f t="shared" si="1"/>
        <v>1</v>
      </c>
    </row>
    <row r="51" spans="1:3">
      <c r="A51" t="s">
        <v>1230</v>
      </c>
      <c r="B51" s="64" t="s">
        <v>1230</v>
      </c>
      <c r="C51" t="b">
        <f t="shared" si="1"/>
        <v>1</v>
      </c>
    </row>
    <row r="52" spans="1:3">
      <c r="A52" t="s">
        <v>1231</v>
      </c>
      <c r="B52" s="64" t="s">
        <v>1231</v>
      </c>
      <c r="C52" t="b">
        <f t="shared" si="1"/>
        <v>1</v>
      </c>
    </row>
    <row r="53" spans="1:3">
      <c r="A53" t="s">
        <v>1232</v>
      </c>
      <c r="B53" s="67" t="s">
        <v>1232</v>
      </c>
      <c r="C53" t="b">
        <f t="shared" si="1"/>
        <v>1</v>
      </c>
    </row>
    <row r="54" spans="1:3">
      <c r="A54" t="s">
        <v>1233</v>
      </c>
      <c r="B54" s="65" t="s">
        <v>1233</v>
      </c>
      <c r="C54" t="b">
        <f t="shared" si="1"/>
        <v>0</v>
      </c>
    </row>
    <row r="55" spans="1:3">
      <c r="A55" t="s">
        <v>1234</v>
      </c>
      <c r="B55" s="67" t="s">
        <v>1264</v>
      </c>
      <c r="C55" t="b">
        <f t="shared" si="1"/>
        <v>1</v>
      </c>
    </row>
    <row r="56" spans="1:3">
      <c r="A56" t="s">
        <v>1235</v>
      </c>
      <c r="B56" s="64" t="s">
        <v>1235</v>
      </c>
      <c r="C56" t="b">
        <f t="shared" si="1"/>
        <v>0</v>
      </c>
    </row>
    <row r="57" spans="1:3">
      <c r="A57" t="s">
        <v>1236</v>
      </c>
      <c r="B57" s="64" t="s">
        <v>1265</v>
      </c>
      <c r="C57" t="b">
        <f t="shared" si="1"/>
        <v>1</v>
      </c>
    </row>
    <row r="58" spans="1:3">
      <c r="A58" t="s">
        <v>1237</v>
      </c>
      <c r="B58" s="64" t="s">
        <v>1237</v>
      </c>
      <c r="C58" t="b">
        <f t="shared" si="1"/>
        <v>0</v>
      </c>
    </row>
    <row r="59" spans="1:3">
      <c r="A59" t="s">
        <v>1238</v>
      </c>
      <c r="B59" s="67" t="s">
        <v>1266</v>
      </c>
      <c r="C59" t="b">
        <f t="shared" si="1"/>
        <v>1</v>
      </c>
    </row>
    <row r="60" spans="1:3">
      <c r="A60" t="s">
        <v>1239</v>
      </c>
      <c r="B60" s="67" t="s">
        <v>1239</v>
      </c>
      <c r="C60" t="b">
        <f t="shared" si="1"/>
        <v>1</v>
      </c>
    </row>
    <row r="61" spans="1:3">
      <c r="A61" t="s">
        <v>1240</v>
      </c>
      <c r="B61" s="71" t="s">
        <v>1240</v>
      </c>
      <c r="C61" t="b">
        <f t="shared" si="1"/>
        <v>0</v>
      </c>
    </row>
    <row r="62" spans="1:3">
      <c r="A62" t="s">
        <v>1241</v>
      </c>
      <c r="B62" s="67" t="s">
        <v>1267</v>
      </c>
      <c r="C62" t="b">
        <f t="shared" si="1"/>
        <v>1</v>
      </c>
    </row>
    <row r="63" spans="1:3">
      <c r="A63" t="s">
        <v>1242</v>
      </c>
      <c r="B63" s="64" t="s">
        <v>1242</v>
      </c>
      <c r="C63" t="b">
        <f t="shared" si="1"/>
        <v>0</v>
      </c>
    </row>
    <row r="64" spans="1:3">
      <c r="A64" t="s">
        <v>948</v>
      </c>
      <c r="B64" s="67" t="s">
        <v>1149</v>
      </c>
      <c r="C64" t="b">
        <f t="shared" si="1"/>
        <v>0</v>
      </c>
    </row>
    <row r="65" spans="1:4">
      <c r="A65" t="s">
        <v>949</v>
      </c>
      <c r="B65" s="67" t="s">
        <v>1150</v>
      </c>
      <c r="C65" t="b">
        <f t="shared" si="1"/>
        <v>0</v>
      </c>
    </row>
    <row r="66" spans="1:4">
      <c r="A66" t="s">
        <v>950</v>
      </c>
      <c r="B66" s="67" t="s">
        <v>1151</v>
      </c>
      <c r="C66" t="b">
        <f t="shared" si="1"/>
        <v>0</v>
      </c>
    </row>
    <row r="67" spans="1:4">
      <c r="A67" t="s">
        <v>951</v>
      </c>
      <c r="B67" s="67" t="s">
        <v>1152</v>
      </c>
      <c r="C67" t="b">
        <f t="shared" si="1"/>
        <v>0</v>
      </c>
    </row>
    <row r="68" spans="1:4">
      <c r="A68" t="s">
        <v>952</v>
      </c>
      <c r="B68" s="67" t="s">
        <v>1153</v>
      </c>
      <c r="C68" t="b">
        <f t="shared" si="1"/>
        <v>0</v>
      </c>
    </row>
    <row r="69" spans="1:4">
      <c r="A69" t="s">
        <v>953</v>
      </c>
      <c r="B69" s="65" t="s">
        <v>1154</v>
      </c>
      <c r="C69" t="b">
        <f>EXACT(A72,B70)</f>
        <v>0</v>
      </c>
    </row>
    <row r="70" spans="1:4">
      <c r="B70" s="77" t="s">
        <v>1155</v>
      </c>
      <c r="C70" t="b">
        <f>EXACT(A73,B71)</f>
        <v>0</v>
      </c>
      <c r="D70" s="47" t="s">
        <v>75</v>
      </c>
    </row>
    <row r="71" spans="1:4">
      <c r="B71" s="77" t="s">
        <v>1156</v>
      </c>
      <c r="C71" t="b">
        <f>EXACT(A74,B72)</f>
        <v>0</v>
      </c>
      <c r="D71" s="47" t="s">
        <v>75</v>
      </c>
    </row>
    <row r="72" spans="1:4">
      <c r="A72" t="s">
        <v>1157</v>
      </c>
      <c r="B72" s="68" t="s">
        <v>1157</v>
      </c>
      <c r="C72" t="b">
        <f>EXACT(A73,B73)</f>
        <v>1</v>
      </c>
    </row>
    <row r="73" spans="1:4">
      <c r="A73" t="s">
        <v>746</v>
      </c>
      <c r="B73" s="70" t="s">
        <v>746</v>
      </c>
      <c r="C73" t="b">
        <f t="shared" ref="C73:C89" si="2">EXACT(A74,B74)</f>
        <v>1</v>
      </c>
    </row>
    <row r="74" spans="1:4">
      <c r="A74" t="s">
        <v>747</v>
      </c>
      <c r="B74" s="72" t="s">
        <v>747</v>
      </c>
      <c r="C74" t="b">
        <f t="shared" si="2"/>
        <v>1</v>
      </c>
    </row>
    <row r="75" spans="1:4">
      <c r="A75" t="s">
        <v>748</v>
      </c>
      <c r="B75" s="67" t="s">
        <v>748</v>
      </c>
      <c r="C75" t="b">
        <f t="shared" si="2"/>
        <v>1</v>
      </c>
    </row>
    <row r="76" spans="1:4">
      <c r="A76" t="s">
        <v>668</v>
      </c>
      <c r="B76" s="67" t="s">
        <v>668</v>
      </c>
      <c r="C76" t="b">
        <f t="shared" si="2"/>
        <v>1</v>
      </c>
    </row>
    <row r="77" spans="1:4">
      <c r="A77" t="s">
        <v>671</v>
      </c>
      <c r="B77" s="64" t="s">
        <v>671</v>
      </c>
      <c r="C77" t="b">
        <f t="shared" si="2"/>
        <v>1</v>
      </c>
    </row>
    <row r="78" spans="1:4">
      <c r="A78" t="s">
        <v>670</v>
      </c>
      <c r="B78" s="64" t="s">
        <v>670</v>
      </c>
      <c r="C78" t="b">
        <f t="shared" si="2"/>
        <v>1</v>
      </c>
    </row>
    <row r="79" spans="1:4">
      <c r="A79" t="s">
        <v>1158</v>
      </c>
      <c r="B79" s="64" t="s">
        <v>1158</v>
      </c>
      <c r="C79" t="b">
        <f t="shared" si="2"/>
        <v>1</v>
      </c>
    </row>
    <row r="80" spans="1:4">
      <c r="A80" t="s">
        <v>1159</v>
      </c>
      <c r="B80" s="64" t="s">
        <v>1159</v>
      </c>
      <c r="C80" t="b">
        <f t="shared" si="2"/>
        <v>1</v>
      </c>
    </row>
    <row r="81" spans="1:4">
      <c r="A81" t="s">
        <v>1160</v>
      </c>
      <c r="B81" s="67" t="s">
        <v>1160</v>
      </c>
      <c r="C81" t="b">
        <f t="shared" si="2"/>
        <v>1</v>
      </c>
    </row>
    <row r="82" spans="1:4">
      <c r="A82" t="s">
        <v>1161</v>
      </c>
      <c r="B82" s="67" t="s">
        <v>1161</v>
      </c>
      <c r="C82" t="b">
        <f t="shared" si="2"/>
        <v>1</v>
      </c>
    </row>
    <row r="83" spans="1:4">
      <c r="A83" t="s">
        <v>1162</v>
      </c>
      <c r="B83" s="64" t="s">
        <v>1162</v>
      </c>
      <c r="C83" t="b">
        <f t="shared" si="2"/>
        <v>1</v>
      </c>
    </row>
    <row r="84" spans="1:4">
      <c r="A84" t="s">
        <v>1163</v>
      </c>
      <c r="B84" s="64" t="s">
        <v>1163</v>
      </c>
      <c r="C84" t="b">
        <f t="shared" si="2"/>
        <v>1</v>
      </c>
    </row>
    <row r="85" spans="1:4">
      <c r="A85" t="s">
        <v>1164</v>
      </c>
      <c r="B85" s="67" t="s">
        <v>1164</v>
      </c>
      <c r="C85" t="b">
        <f t="shared" si="2"/>
        <v>1</v>
      </c>
    </row>
    <row r="86" spans="1:4">
      <c r="A86" t="s">
        <v>1165</v>
      </c>
      <c r="B86" s="67" t="s">
        <v>1165</v>
      </c>
      <c r="C86" t="b">
        <f t="shared" si="2"/>
        <v>1</v>
      </c>
    </row>
    <row r="87" spans="1:4">
      <c r="A87" t="s">
        <v>1166</v>
      </c>
      <c r="B87" s="67" t="s">
        <v>1166</v>
      </c>
      <c r="C87" t="b">
        <f t="shared" si="2"/>
        <v>1</v>
      </c>
    </row>
    <row r="88" spans="1:4">
      <c r="A88" t="s">
        <v>1167</v>
      </c>
      <c r="B88" s="67" t="s">
        <v>1167</v>
      </c>
      <c r="C88" t="b">
        <f t="shared" si="2"/>
        <v>1</v>
      </c>
    </row>
    <row r="89" spans="1:4">
      <c r="A89" t="s">
        <v>1168</v>
      </c>
      <c r="B89" s="67" t="s">
        <v>1168</v>
      </c>
      <c r="C89" t="b">
        <f t="shared" si="2"/>
        <v>1</v>
      </c>
    </row>
    <row r="90" spans="1:4">
      <c r="A90" t="s">
        <v>1169</v>
      </c>
      <c r="B90" s="67" t="s">
        <v>1169</v>
      </c>
      <c r="C90" t="b">
        <f>EXACT(A94,B91)</f>
        <v>0</v>
      </c>
    </row>
    <row r="91" spans="1:4">
      <c r="B91" s="77" t="s">
        <v>1155</v>
      </c>
      <c r="C91" t="b">
        <f>EXACT(A91,B91)</f>
        <v>0</v>
      </c>
      <c r="D91" s="47" t="s">
        <v>75</v>
      </c>
    </row>
    <row r="92" spans="1:4">
      <c r="B92" s="77" t="s">
        <v>1156</v>
      </c>
      <c r="C92" t="b">
        <f t="shared" ref="C92:C99" si="3">EXACT(A92,B92)</f>
        <v>0</v>
      </c>
      <c r="D92" s="47" t="s">
        <v>75</v>
      </c>
    </row>
    <row r="93" spans="1:4">
      <c r="B93" s="78" t="s">
        <v>1170</v>
      </c>
      <c r="C93" t="b">
        <f t="shared" si="3"/>
        <v>0</v>
      </c>
      <c r="D93" s="47" t="s">
        <v>75</v>
      </c>
    </row>
    <row r="94" spans="1:4">
      <c r="A94" t="s">
        <v>1171</v>
      </c>
      <c r="B94" s="66" t="s">
        <v>1171</v>
      </c>
      <c r="C94" t="b">
        <f t="shared" si="3"/>
        <v>1</v>
      </c>
    </row>
    <row r="95" spans="1:4">
      <c r="A95" t="s">
        <v>1172</v>
      </c>
      <c r="B95" s="64" t="s">
        <v>1172</v>
      </c>
      <c r="C95" t="b">
        <f t="shared" si="3"/>
        <v>1</v>
      </c>
    </row>
    <row r="96" spans="1:4">
      <c r="A96" t="s">
        <v>1173</v>
      </c>
      <c r="B96" s="67" t="s">
        <v>1173</v>
      </c>
      <c r="C96" t="b">
        <f t="shared" si="3"/>
        <v>1</v>
      </c>
    </row>
    <row r="97" spans="1:4">
      <c r="A97" t="s">
        <v>749</v>
      </c>
      <c r="B97" s="67" t="s">
        <v>749</v>
      </c>
      <c r="C97" t="b">
        <f t="shared" si="3"/>
        <v>1</v>
      </c>
    </row>
    <row r="98" spans="1:4">
      <c r="A98" t="s">
        <v>1174</v>
      </c>
      <c r="B98" s="67" t="s">
        <v>1174</v>
      </c>
      <c r="C98" t="b">
        <f t="shared" si="3"/>
        <v>1</v>
      </c>
    </row>
    <row r="99" spans="1:4">
      <c r="A99" t="s">
        <v>745</v>
      </c>
      <c r="B99" s="67" t="s">
        <v>745</v>
      </c>
      <c r="C99" t="b">
        <f t="shared" si="3"/>
        <v>1</v>
      </c>
    </row>
    <row r="100" spans="1:4">
      <c r="B100" s="79" t="s">
        <v>1268</v>
      </c>
      <c r="C100" t="b">
        <f>EXACT(A100,B100)</f>
        <v>0</v>
      </c>
      <c r="D100" s="47" t="s">
        <v>75</v>
      </c>
    </row>
    <row r="101" spans="1:4">
      <c r="A101" t="s">
        <v>1243</v>
      </c>
      <c r="B101" s="64" t="s">
        <v>1243</v>
      </c>
      <c r="C101" t="b">
        <f t="shared" ref="C101:C113" si="4">EXACT(A101,B101)</f>
        <v>1</v>
      </c>
    </row>
    <row r="102" spans="1:4">
      <c r="A102" t="s">
        <v>924</v>
      </c>
      <c r="B102" s="67" t="s">
        <v>1269</v>
      </c>
      <c r="C102" t="b">
        <f t="shared" si="4"/>
        <v>0</v>
      </c>
    </row>
    <row r="103" spans="1:4">
      <c r="A103" t="s">
        <v>942</v>
      </c>
      <c r="B103" s="67" t="s">
        <v>942</v>
      </c>
      <c r="C103" t="b">
        <f t="shared" si="4"/>
        <v>1</v>
      </c>
    </row>
    <row r="104" spans="1:4">
      <c r="A104" t="s">
        <v>1244</v>
      </c>
      <c r="B104" s="67" t="s">
        <v>1270</v>
      </c>
      <c r="C104" t="b">
        <f t="shared" si="4"/>
        <v>0</v>
      </c>
    </row>
    <row r="105" spans="1:4">
      <c r="A105" t="s">
        <v>1245</v>
      </c>
      <c r="B105" s="67" t="s">
        <v>1245</v>
      </c>
      <c r="C105" t="b">
        <f t="shared" si="4"/>
        <v>1</v>
      </c>
    </row>
    <row r="106" spans="1:4">
      <c r="A106" t="s">
        <v>1246</v>
      </c>
      <c r="B106" s="67" t="s">
        <v>1246</v>
      </c>
      <c r="C106" t="b">
        <f t="shared" si="4"/>
        <v>1</v>
      </c>
    </row>
    <row r="107" spans="1:4">
      <c r="A107" t="s">
        <v>1247</v>
      </c>
      <c r="B107" s="65" t="s">
        <v>1247</v>
      </c>
      <c r="C107" t="b">
        <f t="shared" si="4"/>
        <v>1</v>
      </c>
    </row>
    <row r="108" spans="1:4">
      <c r="A108" t="s">
        <v>1248</v>
      </c>
      <c r="B108" s="67" t="s">
        <v>1248</v>
      </c>
      <c r="C108" t="b">
        <f t="shared" si="4"/>
        <v>1</v>
      </c>
    </row>
    <row r="109" spans="1:4">
      <c r="A109" t="s">
        <v>1249</v>
      </c>
      <c r="B109" s="67" t="s">
        <v>1249</v>
      </c>
      <c r="C109" t="b">
        <f t="shared" si="4"/>
        <v>1</v>
      </c>
    </row>
    <row r="110" spans="1:4">
      <c r="A110" t="s">
        <v>1250</v>
      </c>
      <c r="B110" s="69" t="s">
        <v>1250</v>
      </c>
      <c r="C110" t="b">
        <f t="shared" si="4"/>
        <v>1</v>
      </c>
    </row>
    <row r="111" spans="1:4">
      <c r="A111" t="s">
        <v>926</v>
      </c>
      <c r="B111" s="67" t="s">
        <v>926</v>
      </c>
      <c r="C111" t="b">
        <f t="shared" si="4"/>
        <v>1</v>
      </c>
    </row>
    <row r="112" spans="1:4">
      <c r="A112" t="s">
        <v>927</v>
      </c>
      <c r="B112" s="65" t="s">
        <v>927</v>
      </c>
      <c r="C112" t="b">
        <f t="shared" si="4"/>
        <v>1</v>
      </c>
    </row>
    <row r="113" spans="1:4">
      <c r="A113" t="s">
        <v>1251</v>
      </c>
      <c r="B113" s="67" t="s">
        <v>1251</v>
      </c>
      <c r="C113" t="b">
        <f t="shared" si="4"/>
        <v>1</v>
      </c>
    </row>
    <row r="114" spans="1:4">
      <c r="B114" s="77" t="s">
        <v>1175</v>
      </c>
      <c r="C114" t="b">
        <f>EXACT(A114,B114)</f>
        <v>0</v>
      </c>
      <c r="D114" s="47" t="s">
        <v>75</v>
      </c>
    </row>
    <row r="115" spans="1:4">
      <c r="B115" s="77" t="s">
        <v>737</v>
      </c>
      <c r="C115" t="b">
        <f t="shared" ref="C115:C151" si="5">EXACT(A115,B115)</f>
        <v>0</v>
      </c>
      <c r="D115" s="47" t="s">
        <v>75</v>
      </c>
    </row>
    <row r="116" spans="1:4">
      <c r="B116" s="77" t="s">
        <v>738</v>
      </c>
      <c r="C116" t="b">
        <f t="shared" si="5"/>
        <v>0</v>
      </c>
      <c r="D116" s="47" t="s">
        <v>75</v>
      </c>
    </row>
    <row r="117" spans="1:4">
      <c r="B117" s="77" t="s">
        <v>1176</v>
      </c>
      <c r="C117" t="b">
        <f t="shared" si="5"/>
        <v>0</v>
      </c>
      <c r="D117" s="47" t="s">
        <v>75</v>
      </c>
    </row>
    <row r="118" spans="1:4">
      <c r="B118" s="77" t="s">
        <v>739</v>
      </c>
      <c r="C118" t="b">
        <f t="shared" si="5"/>
        <v>0</v>
      </c>
      <c r="D118" s="47" t="s">
        <v>75</v>
      </c>
    </row>
    <row r="119" spans="1:4">
      <c r="B119" s="77" t="s">
        <v>740</v>
      </c>
      <c r="C119" t="b">
        <f t="shared" si="5"/>
        <v>0</v>
      </c>
      <c r="D119" s="47" t="s">
        <v>75</v>
      </c>
    </row>
    <row r="120" spans="1:4">
      <c r="B120" s="77" t="s">
        <v>741</v>
      </c>
      <c r="C120" t="b">
        <f t="shared" si="5"/>
        <v>0</v>
      </c>
      <c r="D120" s="47" t="s">
        <v>75</v>
      </c>
    </row>
    <row r="121" spans="1:4">
      <c r="A121" t="s">
        <v>774</v>
      </c>
      <c r="B121" s="67" t="s">
        <v>774</v>
      </c>
      <c r="C121" t="b">
        <f t="shared" si="5"/>
        <v>1</v>
      </c>
    </row>
    <row r="122" spans="1:4">
      <c r="A122" t="s">
        <v>1177</v>
      </c>
      <c r="B122" s="67" t="s">
        <v>1177</v>
      </c>
      <c r="C122" t="b">
        <f t="shared" si="5"/>
        <v>1</v>
      </c>
    </row>
    <row r="123" spans="1:4">
      <c r="A123" t="s">
        <v>1178</v>
      </c>
      <c r="B123" s="67" t="s">
        <v>1178</v>
      </c>
      <c r="C123" t="b">
        <f t="shared" si="5"/>
        <v>1</v>
      </c>
    </row>
    <row r="124" spans="1:4">
      <c r="A124" t="s">
        <v>929</v>
      </c>
      <c r="B124" s="65" t="s">
        <v>929</v>
      </c>
      <c r="C124" t="b">
        <f t="shared" si="5"/>
        <v>1</v>
      </c>
    </row>
    <row r="125" spans="1:4">
      <c r="A125" t="s">
        <v>930</v>
      </c>
      <c r="B125" s="69" t="s">
        <v>930</v>
      </c>
      <c r="C125" t="b">
        <f t="shared" si="5"/>
        <v>1</v>
      </c>
    </row>
    <row r="126" spans="1:4">
      <c r="A126" t="s">
        <v>931</v>
      </c>
      <c r="B126" s="67" t="s">
        <v>931</v>
      </c>
      <c r="C126" t="b">
        <f t="shared" si="5"/>
        <v>1</v>
      </c>
    </row>
    <row r="127" spans="1:4">
      <c r="A127" t="s">
        <v>932</v>
      </c>
      <c r="B127" s="65" t="s">
        <v>932</v>
      </c>
      <c r="C127" t="b">
        <f t="shared" si="5"/>
        <v>1</v>
      </c>
    </row>
    <row r="128" spans="1:4">
      <c r="A128" t="s">
        <v>1252</v>
      </c>
      <c r="B128" s="67" t="s">
        <v>1252</v>
      </c>
      <c r="C128" t="b">
        <f t="shared" si="5"/>
        <v>1</v>
      </c>
    </row>
    <row r="129" spans="1:3">
      <c r="A129" t="s">
        <v>933</v>
      </c>
      <c r="B129" s="65" t="s">
        <v>933</v>
      </c>
      <c r="C129" t="b">
        <f t="shared" si="5"/>
        <v>1</v>
      </c>
    </row>
    <row r="130" spans="1:3">
      <c r="A130" t="s">
        <v>960</v>
      </c>
      <c r="B130" s="69" t="s">
        <v>1271</v>
      </c>
      <c r="C130" t="b">
        <f t="shared" si="5"/>
        <v>0</v>
      </c>
    </row>
    <row r="131" spans="1:3">
      <c r="A131" t="s">
        <v>1253</v>
      </c>
      <c r="B131" s="76" t="s">
        <v>1274</v>
      </c>
      <c r="C131" t="b">
        <f t="shared" si="5"/>
        <v>0</v>
      </c>
    </row>
    <row r="132" spans="1:3">
      <c r="A132" t="s">
        <v>1254</v>
      </c>
      <c r="B132" s="67" t="s">
        <v>1254</v>
      </c>
      <c r="C132" t="b">
        <f t="shared" si="5"/>
        <v>1</v>
      </c>
    </row>
    <row r="133" spans="1:3">
      <c r="A133" t="s">
        <v>935</v>
      </c>
      <c r="B133" s="67" t="s">
        <v>935</v>
      </c>
      <c r="C133" t="b">
        <f t="shared" si="5"/>
        <v>1</v>
      </c>
    </row>
    <row r="134" spans="1:3">
      <c r="A134" t="s">
        <v>1255</v>
      </c>
      <c r="B134" s="67" t="s">
        <v>1255</v>
      </c>
      <c r="C134" t="b">
        <f t="shared" si="5"/>
        <v>1</v>
      </c>
    </row>
    <row r="135" spans="1:3">
      <c r="A135" t="s">
        <v>1256</v>
      </c>
      <c r="B135" s="67" t="s">
        <v>1256</v>
      </c>
      <c r="C135" t="b">
        <f t="shared" si="5"/>
        <v>1</v>
      </c>
    </row>
    <row r="136" spans="1:3">
      <c r="A136" t="s">
        <v>936</v>
      </c>
      <c r="B136" s="65" t="s">
        <v>936</v>
      </c>
      <c r="C136" t="b">
        <f t="shared" si="5"/>
        <v>1</v>
      </c>
    </row>
    <row r="137" spans="1:3">
      <c r="A137" t="s">
        <v>937</v>
      </c>
      <c r="B137" s="67" t="s">
        <v>937</v>
      </c>
      <c r="C137" t="b">
        <f t="shared" si="5"/>
        <v>1</v>
      </c>
    </row>
    <row r="138" spans="1:3">
      <c r="A138" t="s">
        <v>938</v>
      </c>
      <c r="B138" s="67" t="s">
        <v>938</v>
      </c>
      <c r="C138" t="b">
        <f t="shared" si="5"/>
        <v>1</v>
      </c>
    </row>
    <row r="139" spans="1:3">
      <c r="A139" t="s">
        <v>939</v>
      </c>
      <c r="B139" s="64" t="s">
        <v>939</v>
      </c>
      <c r="C139" t="b">
        <f t="shared" si="5"/>
        <v>1</v>
      </c>
    </row>
    <row r="140" spans="1:3">
      <c r="A140" t="s">
        <v>1257</v>
      </c>
      <c r="B140" s="67" t="s">
        <v>1257</v>
      </c>
      <c r="C140" t="b">
        <f t="shared" si="5"/>
        <v>1</v>
      </c>
    </row>
    <row r="141" spans="1:3">
      <c r="A141" t="s">
        <v>1258</v>
      </c>
      <c r="B141" s="65" t="s">
        <v>1258</v>
      </c>
      <c r="C141" t="b">
        <f t="shared" si="5"/>
        <v>1</v>
      </c>
    </row>
    <row r="142" spans="1:3">
      <c r="A142" t="s">
        <v>944</v>
      </c>
      <c r="B142" s="67" t="s">
        <v>1272</v>
      </c>
      <c r="C142" t="b">
        <f t="shared" si="5"/>
        <v>0</v>
      </c>
    </row>
    <row r="143" spans="1:3">
      <c r="A143" t="s">
        <v>945</v>
      </c>
      <c r="B143" s="67" t="s">
        <v>945</v>
      </c>
      <c r="C143" t="b">
        <f t="shared" si="5"/>
        <v>1</v>
      </c>
    </row>
    <row r="144" spans="1:3">
      <c r="A144" t="s">
        <v>775</v>
      </c>
      <c r="B144" s="67" t="s">
        <v>775</v>
      </c>
      <c r="C144" t="b">
        <f t="shared" si="5"/>
        <v>1</v>
      </c>
    </row>
    <row r="145" spans="1:4">
      <c r="A145" t="s">
        <v>753</v>
      </c>
      <c r="B145" s="69" t="s">
        <v>753</v>
      </c>
      <c r="C145" t="b">
        <f t="shared" si="5"/>
        <v>1</v>
      </c>
    </row>
    <row r="146" spans="1:4">
      <c r="A146" t="s">
        <v>1179</v>
      </c>
      <c r="B146" s="67" t="s">
        <v>1179</v>
      </c>
      <c r="C146" t="b">
        <f t="shared" si="5"/>
        <v>1</v>
      </c>
    </row>
    <row r="147" spans="1:4">
      <c r="A147" t="s">
        <v>781</v>
      </c>
      <c r="B147" s="67" t="s">
        <v>1180</v>
      </c>
      <c r="C147" t="b">
        <f t="shared" si="5"/>
        <v>0</v>
      </c>
    </row>
    <row r="148" spans="1:4">
      <c r="A148" t="s">
        <v>756</v>
      </c>
      <c r="B148" s="67" t="s">
        <v>756</v>
      </c>
      <c r="C148" t="b">
        <f t="shared" si="5"/>
        <v>1</v>
      </c>
    </row>
    <row r="149" spans="1:4">
      <c r="A149" t="s">
        <v>1181</v>
      </c>
      <c r="B149" s="67" t="s">
        <v>1181</v>
      </c>
      <c r="C149" t="b">
        <f t="shared" si="5"/>
        <v>1</v>
      </c>
    </row>
    <row r="150" spans="1:4">
      <c r="A150" t="s">
        <v>1259</v>
      </c>
      <c r="B150" s="67" t="s">
        <v>1259</v>
      </c>
      <c r="C150" t="b">
        <f t="shared" si="5"/>
        <v>1</v>
      </c>
    </row>
    <row r="151" spans="1:4">
      <c r="A151" t="s">
        <v>1182</v>
      </c>
      <c r="B151" s="65" t="s">
        <v>1182</v>
      </c>
      <c r="C151" t="b">
        <f t="shared" si="5"/>
        <v>1</v>
      </c>
    </row>
    <row r="152" spans="1:4">
      <c r="B152" s="77" t="s">
        <v>1155</v>
      </c>
      <c r="C152" t="b">
        <f>EXACT(A152,B152)</f>
        <v>0</v>
      </c>
      <c r="D152" s="47" t="s">
        <v>75</v>
      </c>
    </row>
    <row r="153" spans="1:4">
      <c r="B153" s="77" t="s">
        <v>1156</v>
      </c>
      <c r="C153" t="b">
        <f>EXACT(A153,B153)</f>
        <v>0</v>
      </c>
      <c r="D153" s="47" t="s">
        <v>75</v>
      </c>
    </row>
    <row r="154" spans="1:4">
      <c r="A154" t="s">
        <v>1183</v>
      </c>
      <c r="B154" s="66" t="s">
        <v>1183</v>
      </c>
      <c r="C154" t="b">
        <f>EXACT(A154,B154)</f>
        <v>1</v>
      </c>
    </row>
    <row r="155" spans="1:4">
      <c r="A155" t="s">
        <v>1184</v>
      </c>
      <c r="B155" s="73" t="s">
        <v>1184</v>
      </c>
      <c r="C155" t="b">
        <f>EXACT(A155,B155)</f>
        <v>1</v>
      </c>
    </row>
    <row r="156" spans="1:4">
      <c r="A156" t="s">
        <v>1185</v>
      </c>
      <c r="B156" s="74" t="s">
        <v>1185</v>
      </c>
      <c r="C156" t="b">
        <f>EXACT(A156,B156)</f>
        <v>1</v>
      </c>
    </row>
  </sheetData>
  <conditionalFormatting sqref="D1 C1:C1048576">
    <cfRule type="cellIs" dxfId="4" priority="1" operator="equal">
      <formula>FALSE</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K156"/>
  <sheetViews>
    <sheetView topLeftCell="H125" workbookViewId="0">
      <selection activeCell="I153" sqref="I153"/>
    </sheetView>
  </sheetViews>
  <sheetFormatPr defaultColWidth="8.85546875" defaultRowHeight="15"/>
  <cols>
    <col min="3" max="3" width="15.28515625" bestFit="1" customWidth="1"/>
    <col min="4" max="4" width="10.28515625" bestFit="1" customWidth="1"/>
    <col min="5" max="5" width="12.42578125" bestFit="1" customWidth="1"/>
    <col min="7" max="7" width="22.140625" customWidth="1"/>
    <col min="8" max="8" width="15.42578125" bestFit="1" customWidth="1"/>
    <col min="9" max="9" width="39" bestFit="1" customWidth="1"/>
    <col min="10" max="10" width="87.7109375" customWidth="1"/>
    <col min="11" max="11" width="83.42578125" bestFit="1" customWidth="1"/>
  </cols>
  <sheetData>
    <row r="1" spans="1:11">
      <c r="A1" s="4" t="s">
        <v>73</v>
      </c>
      <c r="B1" s="4" t="s">
        <v>65</v>
      </c>
      <c r="C1" s="4" t="s">
        <v>1138</v>
      </c>
      <c r="D1" s="4" t="s">
        <v>66</v>
      </c>
      <c r="E1" s="4" t="s">
        <v>1139</v>
      </c>
      <c r="F1" s="4" t="s">
        <v>67</v>
      </c>
      <c r="G1" s="4" t="s">
        <v>68</v>
      </c>
      <c r="H1" s="4"/>
      <c r="I1" s="4" t="s">
        <v>71</v>
      </c>
      <c r="J1" s="4" t="s">
        <v>72</v>
      </c>
      <c r="K1" s="4" t="s">
        <v>1287</v>
      </c>
    </row>
    <row r="2" spans="1:11">
      <c r="A2" t="s">
        <v>74</v>
      </c>
      <c r="B2" t="s">
        <v>998</v>
      </c>
      <c r="C2">
        <v>1</v>
      </c>
      <c r="D2">
        <v>1</v>
      </c>
      <c r="E2">
        <v>0</v>
      </c>
      <c r="F2">
        <v>0</v>
      </c>
      <c r="G2">
        <v>1141</v>
      </c>
      <c r="I2" t="s">
        <v>999</v>
      </c>
      <c r="J2" t="str">
        <f t="shared" ref="J2:J33" si="0">IF(A2&lt;&gt;"Remove",CONCATENATE("INSERT INTO tbFinanceItemSeq(Report,ItemSeqID,ItemSN,ItemID) VALUES('",B2,"',",C2,",",E2,",",G2,")")," ")</f>
        <v>INSERT INTO tbFinanceItemSeq(Report,ItemSeqID,ItemSN,ItemID) VALUES('MAD',1,0,1141)</v>
      </c>
      <c r="K2" t="str">
        <f t="shared" ref="K2:K33" si="1">IF(A2&lt;&gt;"New","",CONCATENATE("INSERT INTO tbFinanceItem(ItemName) VALUES('",I2,"')"))</f>
        <v/>
      </c>
    </row>
    <row r="3" spans="1:11">
      <c r="A3" t="s">
        <v>74</v>
      </c>
      <c r="B3" t="s">
        <v>998</v>
      </c>
      <c r="C3">
        <v>2</v>
      </c>
      <c r="D3">
        <v>2</v>
      </c>
      <c r="E3">
        <v>1</v>
      </c>
      <c r="F3">
        <v>1</v>
      </c>
      <c r="G3">
        <v>1142</v>
      </c>
      <c r="H3" s="48">
        <v>6101</v>
      </c>
      <c r="I3" t="s">
        <v>1000</v>
      </c>
      <c r="J3" t="str">
        <f t="shared" si="0"/>
        <v>INSERT INTO tbFinanceItemSeq(Report,ItemSeqID,ItemSN,ItemID) VALUES('MAD',2,1,1142)</v>
      </c>
      <c r="K3" t="str">
        <f t="shared" si="1"/>
        <v/>
      </c>
    </row>
    <row r="4" spans="1:11">
      <c r="A4" t="s">
        <v>74</v>
      </c>
      <c r="B4" t="s">
        <v>998</v>
      </c>
      <c r="C4">
        <v>3</v>
      </c>
      <c r="D4">
        <v>3</v>
      </c>
      <c r="E4">
        <v>2</v>
      </c>
      <c r="F4">
        <v>2</v>
      </c>
      <c r="G4">
        <v>1143</v>
      </c>
      <c r="H4" s="48" t="s">
        <v>1288</v>
      </c>
      <c r="I4" t="s">
        <v>1001</v>
      </c>
      <c r="J4" t="str">
        <f t="shared" si="0"/>
        <v>INSERT INTO tbFinanceItemSeq(Report,ItemSeqID,ItemSN,ItemID) VALUES('MAD',3,2,1143)</v>
      </c>
      <c r="K4" t="str">
        <f t="shared" si="1"/>
        <v/>
      </c>
    </row>
    <row r="5" spans="1:11">
      <c r="A5" t="s">
        <v>74</v>
      </c>
      <c r="B5" t="s">
        <v>998</v>
      </c>
      <c r="C5">
        <v>4</v>
      </c>
      <c r="D5">
        <v>4</v>
      </c>
      <c r="E5">
        <v>3</v>
      </c>
      <c r="F5">
        <v>3</v>
      </c>
      <c r="G5">
        <v>1144</v>
      </c>
      <c r="H5" s="48" t="s">
        <v>1289</v>
      </c>
      <c r="I5" t="s">
        <v>1002</v>
      </c>
      <c r="J5" t="str">
        <f t="shared" si="0"/>
        <v>INSERT INTO tbFinanceItemSeq(Report,ItemSeqID,ItemSN,ItemID) VALUES('MAD',4,3,1144)</v>
      </c>
      <c r="K5" t="str">
        <f t="shared" si="1"/>
        <v/>
      </c>
    </row>
    <row r="6" spans="1:11">
      <c r="A6" t="s">
        <v>74</v>
      </c>
      <c r="B6" t="s">
        <v>998</v>
      </c>
      <c r="C6">
        <v>5</v>
      </c>
      <c r="D6">
        <v>5</v>
      </c>
      <c r="E6">
        <v>4</v>
      </c>
      <c r="F6">
        <v>4</v>
      </c>
      <c r="G6">
        <v>1145</v>
      </c>
      <c r="H6" s="48" t="s">
        <v>1290</v>
      </c>
      <c r="I6" t="s">
        <v>1003</v>
      </c>
      <c r="J6" t="str">
        <f t="shared" si="0"/>
        <v>INSERT INTO tbFinanceItemSeq(Report,ItemSeqID,ItemSN,ItemID) VALUES('MAD',5,4,1145)</v>
      </c>
      <c r="K6" t="str">
        <f t="shared" si="1"/>
        <v/>
      </c>
    </row>
    <row r="7" spans="1:11">
      <c r="A7" t="s">
        <v>74</v>
      </c>
      <c r="B7" t="s">
        <v>998</v>
      </c>
      <c r="C7">
        <v>6</v>
      </c>
      <c r="D7">
        <v>6</v>
      </c>
      <c r="E7">
        <v>5</v>
      </c>
      <c r="F7">
        <v>5</v>
      </c>
      <c r="G7">
        <v>1146</v>
      </c>
      <c r="H7" s="48" t="s">
        <v>1291</v>
      </c>
      <c r="I7" t="s">
        <v>1004</v>
      </c>
      <c r="J7" t="str">
        <f t="shared" si="0"/>
        <v>INSERT INTO tbFinanceItemSeq(Report,ItemSeqID,ItemSN,ItemID) VALUES('MAD',6,5,1146)</v>
      </c>
      <c r="K7" t="str">
        <f t="shared" si="1"/>
        <v/>
      </c>
    </row>
    <row r="8" spans="1:11">
      <c r="A8" t="s">
        <v>74</v>
      </c>
      <c r="B8" t="s">
        <v>998</v>
      </c>
      <c r="C8">
        <v>7</v>
      </c>
      <c r="D8">
        <v>7</v>
      </c>
      <c r="E8">
        <v>6</v>
      </c>
      <c r="F8">
        <v>6</v>
      </c>
      <c r="G8">
        <v>1147</v>
      </c>
      <c r="H8" s="48" t="s">
        <v>1292</v>
      </c>
      <c r="I8" t="s">
        <v>1005</v>
      </c>
      <c r="J8" t="str">
        <f t="shared" si="0"/>
        <v>INSERT INTO tbFinanceItemSeq(Report,ItemSeqID,ItemSN,ItemID) VALUES('MAD',7,6,1147)</v>
      </c>
      <c r="K8" t="str">
        <f t="shared" si="1"/>
        <v/>
      </c>
    </row>
    <row r="9" spans="1:11">
      <c r="A9" t="s">
        <v>74</v>
      </c>
      <c r="B9" t="s">
        <v>998</v>
      </c>
      <c r="C9">
        <v>8</v>
      </c>
      <c r="D9">
        <v>8</v>
      </c>
      <c r="E9">
        <v>7</v>
      </c>
      <c r="F9">
        <v>7</v>
      </c>
      <c r="G9">
        <v>1148</v>
      </c>
      <c r="H9" s="51" t="s">
        <v>1293</v>
      </c>
      <c r="I9" t="s">
        <v>1006</v>
      </c>
      <c r="J9" t="str">
        <f t="shared" si="0"/>
        <v>INSERT INTO tbFinanceItemSeq(Report,ItemSeqID,ItemSN,ItemID) VALUES('MAD',8,7,1148)</v>
      </c>
      <c r="K9" t="str">
        <f t="shared" si="1"/>
        <v/>
      </c>
    </row>
    <row r="10" spans="1:11">
      <c r="A10" t="s">
        <v>74</v>
      </c>
      <c r="B10" t="s">
        <v>998</v>
      </c>
      <c r="C10">
        <v>9</v>
      </c>
      <c r="D10">
        <v>9</v>
      </c>
      <c r="E10">
        <v>8</v>
      </c>
      <c r="F10">
        <v>8</v>
      </c>
      <c r="G10">
        <v>1149</v>
      </c>
      <c r="H10" s="50" t="s">
        <v>1294</v>
      </c>
      <c r="I10" t="s">
        <v>1007</v>
      </c>
      <c r="J10" t="str">
        <f t="shared" si="0"/>
        <v>INSERT INTO tbFinanceItemSeq(Report,ItemSeqID,ItemSN,ItemID) VALUES('MAD',9,8,1149)</v>
      </c>
      <c r="K10" t="str">
        <f t="shared" si="1"/>
        <v/>
      </c>
    </row>
    <row r="11" spans="1:11">
      <c r="A11" t="s">
        <v>74</v>
      </c>
      <c r="B11" t="s">
        <v>998</v>
      </c>
      <c r="C11">
        <v>10</v>
      </c>
      <c r="D11">
        <v>10</v>
      </c>
      <c r="E11">
        <v>0</v>
      </c>
      <c r="F11">
        <v>0</v>
      </c>
      <c r="G11">
        <v>1150</v>
      </c>
      <c r="H11" s="52"/>
      <c r="I11" t="s">
        <v>1008</v>
      </c>
      <c r="J11" t="str">
        <f t="shared" si="0"/>
        <v>INSERT INTO tbFinanceItemSeq(Report,ItemSeqID,ItemSN,ItemID) VALUES('MAD',10,0,1150)</v>
      </c>
      <c r="K11" t="str">
        <f t="shared" si="1"/>
        <v/>
      </c>
    </row>
    <row r="12" spans="1:11">
      <c r="A12" t="s">
        <v>74</v>
      </c>
      <c r="B12" t="s">
        <v>998</v>
      </c>
      <c r="C12">
        <v>11</v>
      </c>
      <c r="D12">
        <v>11</v>
      </c>
      <c r="E12">
        <v>9</v>
      </c>
      <c r="F12">
        <v>9</v>
      </c>
      <c r="G12">
        <v>1151</v>
      </c>
      <c r="H12" s="48" t="s">
        <v>1295</v>
      </c>
      <c r="I12" t="s">
        <v>1009</v>
      </c>
      <c r="J12" t="str">
        <f t="shared" si="0"/>
        <v>INSERT INTO tbFinanceItemSeq(Report,ItemSeqID,ItemSN,ItemID) VALUES('MAD',11,9,1151)</v>
      </c>
      <c r="K12" t="str">
        <f t="shared" si="1"/>
        <v/>
      </c>
    </row>
    <row r="13" spans="1:11">
      <c r="A13" t="s">
        <v>74</v>
      </c>
      <c r="B13" t="s">
        <v>998</v>
      </c>
      <c r="C13">
        <v>12</v>
      </c>
      <c r="D13">
        <v>12</v>
      </c>
      <c r="E13">
        <v>10</v>
      </c>
      <c r="F13">
        <v>10</v>
      </c>
      <c r="G13">
        <v>1152</v>
      </c>
      <c r="H13" s="48" t="s">
        <v>1296</v>
      </c>
      <c r="I13" t="s">
        <v>1010</v>
      </c>
      <c r="J13" t="str">
        <f t="shared" si="0"/>
        <v>INSERT INTO tbFinanceItemSeq(Report,ItemSeqID,ItemSN,ItemID) VALUES('MAD',12,10,1152)</v>
      </c>
      <c r="K13" t="str">
        <f t="shared" si="1"/>
        <v/>
      </c>
    </row>
    <row r="14" spans="1:11">
      <c r="A14" t="s">
        <v>74</v>
      </c>
      <c r="B14" t="s">
        <v>998</v>
      </c>
      <c r="C14">
        <v>13</v>
      </c>
      <c r="D14">
        <v>13</v>
      </c>
      <c r="E14">
        <v>11</v>
      </c>
      <c r="F14">
        <v>11</v>
      </c>
      <c r="G14">
        <v>1153</v>
      </c>
      <c r="H14" s="48" t="s">
        <v>1297</v>
      </c>
      <c r="I14" t="s">
        <v>1011</v>
      </c>
      <c r="J14" t="str">
        <f t="shared" si="0"/>
        <v>INSERT INTO tbFinanceItemSeq(Report,ItemSeqID,ItemSN,ItemID) VALUES('MAD',13,11,1153)</v>
      </c>
      <c r="K14" t="str">
        <f t="shared" si="1"/>
        <v/>
      </c>
    </row>
    <row r="15" spans="1:11">
      <c r="A15" t="s">
        <v>74</v>
      </c>
      <c r="B15" t="s">
        <v>998</v>
      </c>
      <c r="C15">
        <v>14</v>
      </c>
      <c r="D15">
        <v>14</v>
      </c>
      <c r="E15">
        <v>12</v>
      </c>
      <c r="F15">
        <v>12</v>
      </c>
      <c r="G15">
        <v>1154</v>
      </c>
      <c r="H15" s="48" t="s">
        <v>1298</v>
      </c>
      <c r="I15" t="s">
        <v>1012</v>
      </c>
      <c r="J15" t="str">
        <f t="shared" si="0"/>
        <v>INSERT INTO tbFinanceItemSeq(Report,ItemSeqID,ItemSN,ItemID) VALUES('MAD',14,12,1154)</v>
      </c>
      <c r="K15" t="str">
        <f t="shared" si="1"/>
        <v/>
      </c>
    </row>
    <row r="16" spans="1:11">
      <c r="A16" t="s">
        <v>74</v>
      </c>
      <c r="B16" t="s">
        <v>998</v>
      </c>
      <c r="C16">
        <v>15</v>
      </c>
      <c r="D16">
        <v>15</v>
      </c>
      <c r="E16">
        <v>13</v>
      </c>
      <c r="F16">
        <v>13</v>
      </c>
      <c r="G16">
        <v>1155</v>
      </c>
      <c r="H16" s="48" t="s">
        <v>1299</v>
      </c>
      <c r="I16" t="s">
        <v>1013</v>
      </c>
      <c r="J16" t="str">
        <f t="shared" si="0"/>
        <v>INSERT INTO tbFinanceItemSeq(Report,ItemSeqID,ItemSN,ItemID) VALUES('MAD',15,13,1155)</v>
      </c>
      <c r="K16" t="str">
        <f t="shared" si="1"/>
        <v/>
      </c>
    </row>
    <row r="17" spans="1:11">
      <c r="A17" t="s">
        <v>74</v>
      </c>
      <c r="B17" t="s">
        <v>998</v>
      </c>
      <c r="C17">
        <v>16</v>
      </c>
      <c r="D17">
        <v>16</v>
      </c>
      <c r="E17">
        <v>14</v>
      </c>
      <c r="F17">
        <v>14</v>
      </c>
      <c r="G17">
        <v>1156</v>
      </c>
      <c r="H17" s="48" t="s">
        <v>1300</v>
      </c>
      <c r="I17" t="s">
        <v>1014</v>
      </c>
      <c r="J17" t="str">
        <f t="shared" si="0"/>
        <v>INSERT INTO tbFinanceItemSeq(Report,ItemSeqID,ItemSN,ItemID) VALUES('MAD',16,14,1156)</v>
      </c>
      <c r="K17" t="str">
        <f t="shared" si="1"/>
        <v/>
      </c>
    </row>
    <row r="18" spans="1:11">
      <c r="A18" t="s">
        <v>74</v>
      </c>
      <c r="B18" t="s">
        <v>998</v>
      </c>
      <c r="C18">
        <v>17</v>
      </c>
      <c r="D18">
        <v>17</v>
      </c>
      <c r="E18">
        <v>15</v>
      </c>
      <c r="F18">
        <v>15</v>
      </c>
      <c r="G18">
        <v>1157</v>
      </c>
      <c r="H18" s="48" t="s">
        <v>1301</v>
      </c>
      <c r="I18" t="s">
        <v>1015</v>
      </c>
      <c r="J18" t="str">
        <f t="shared" si="0"/>
        <v>INSERT INTO tbFinanceItemSeq(Report,ItemSeqID,ItemSN,ItemID) VALUES('MAD',17,15,1157)</v>
      </c>
      <c r="K18" t="str">
        <f t="shared" si="1"/>
        <v/>
      </c>
    </row>
    <row r="19" spans="1:11">
      <c r="A19" t="s">
        <v>74</v>
      </c>
      <c r="B19" t="s">
        <v>998</v>
      </c>
      <c r="C19">
        <v>18</v>
      </c>
      <c r="D19">
        <v>18</v>
      </c>
      <c r="E19">
        <v>16</v>
      </c>
      <c r="F19">
        <v>16</v>
      </c>
      <c r="G19">
        <v>1158</v>
      </c>
      <c r="H19" s="48" t="s">
        <v>1302</v>
      </c>
      <c r="I19" t="s">
        <v>1016</v>
      </c>
      <c r="J19" t="str">
        <f t="shared" si="0"/>
        <v>INSERT INTO tbFinanceItemSeq(Report,ItemSeqID,ItemSN,ItemID) VALUES('MAD',18,16,1158)</v>
      </c>
      <c r="K19" t="str">
        <f t="shared" si="1"/>
        <v/>
      </c>
    </row>
    <row r="20" spans="1:11">
      <c r="A20" t="s">
        <v>74</v>
      </c>
      <c r="B20" t="s">
        <v>998</v>
      </c>
      <c r="C20">
        <v>19</v>
      </c>
      <c r="D20">
        <v>19</v>
      </c>
      <c r="E20">
        <v>17</v>
      </c>
      <c r="F20">
        <v>17</v>
      </c>
      <c r="G20">
        <v>1159</v>
      </c>
      <c r="H20" s="48" t="s">
        <v>1303</v>
      </c>
      <c r="I20" t="s">
        <v>1017</v>
      </c>
      <c r="J20" t="str">
        <f t="shared" si="0"/>
        <v>INSERT INTO tbFinanceItemSeq(Report,ItemSeqID,ItemSN,ItemID) VALUES('MAD',19,17,1159)</v>
      </c>
      <c r="K20" t="str">
        <f t="shared" si="1"/>
        <v/>
      </c>
    </row>
    <row r="21" spans="1:11">
      <c r="A21" t="s">
        <v>74</v>
      </c>
      <c r="B21" t="s">
        <v>998</v>
      </c>
      <c r="C21">
        <v>20</v>
      </c>
      <c r="D21">
        <v>20</v>
      </c>
      <c r="E21">
        <v>18</v>
      </c>
      <c r="F21">
        <v>18</v>
      </c>
      <c r="G21">
        <v>1160</v>
      </c>
      <c r="H21" s="48" t="s">
        <v>1304</v>
      </c>
      <c r="I21" t="s">
        <v>1018</v>
      </c>
      <c r="J21" t="str">
        <f t="shared" si="0"/>
        <v>INSERT INTO tbFinanceItemSeq(Report,ItemSeqID,ItemSN,ItemID) VALUES('MAD',20,18,1160)</v>
      </c>
      <c r="K21" t="str">
        <f t="shared" si="1"/>
        <v/>
      </c>
    </row>
    <row r="22" spans="1:11">
      <c r="A22" t="s">
        <v>74</v>
      </c>
      <c r="B22" t="s">
        <v>998</v>
      </c>
      <c r="C22">
        <v>21</v>
      </c>
      <c r="D22">
        <v>21</v>
      </c>
      <c r="E22">
        <v>19</v>
      </c>
      <c r="F22">
        <v>19</v>
      </c>
      <c r="G22">
        <v>1161</v>
      </c>
      <c r="H22" s="48" t="s">
        <v>1305</v>
      </c>
      <c r="I22" t="s">
        <v>1019</v>
      </c>
      <c r="J22" t="str">
        <f t="shared" si="0"/>
        <v>INSERT INTO tbFinanceItemSeq(Report,ItemSeqID,ItemSN,ItemID) VALUES('MAD',21,19,1161)</v>
      </c>
      <c r="K22" t="str">
        <f t="shared" si="1"/>
        <v/>
      </c>
    </row>
    <row r="23" spans="1:11">
      <c r="A23" t="s">
        <v>74</v>
      </c>
      <c r="B23" t="s">
        <v>998</v>
      </c>
      <c r="C23">
        <v>22</v>
      </c>
      <c r="D23">
        <v>22</v>
      </c>
      <c r="E23">
        <v>20</v>
      </c>
      <c r="F23">
        <v>20</v>
      </c>
      <c r="G23">
        <v>1162</v>
      </c>
      <c r="H23" s="48" t="s">
        <v>1306</v>
      </c>
      <c r="I23" t="s">
        <v>1020</v>
      </c>
      <c r="J23" t="str">
        <f t="shared" si="0"/>
        <v>INSERT INTO tbFinanceItemSeq(Report,ItemSeqID,ItemSN,ItemID) VALUES('MAD',22,20,1162)</v>
      </c>
      <c r="K23" t="str">
        <f t="shared" si="1"/>
        <v/>
      </c>
    </row>
    <row r="24" spans="1:11">
      <c r="A24" t="s">
        <v>74</v>
      </c>
      <c r="B24" t="s">
        <v>998</v>
      </c>
      <c r="C24">
        <v>23</v>
      </c>
      <c r="D24">
        <v>23</v>
      </c>
      <c r="E24">
        <v>21</v>
      </c>
      <c r="F24">
        <v>21</v>
      </c>
      <c r="G24">
        <v>1163</v>
      </c>
      <c r="H24" s="48" t="s">
        <v>1307</v>
      </c>
      <c r="I24" t="s">
        <v>1021</v>
      </c>
      <c r="J24" t="str">
        <f t="shared" si="0"/>
        <v>INSERT INTO tbFinanceItemSeq(Report,ItemSeqID,ItemSN,ItemID) VALUES('MAD',23,21,1163)</v>
      </c>
      <c r="K24" t="str">
        <f t="shared" si="1"/>
        <v/>
      </c>
    </row>
    <row r="25" spans="1:11">
      <c r="A25" t="s">
        <v>74</v>
      </c>
      <c r="B25" t="s">
        <v>998</v>
      </c>
      <c r="C25">
        <v>24</v>
      </c>
      <c r="D25">
        <v>24</v>
      </c>
      <c r="E25">
        <v>22</v>
      </c>
      <c r="F25">
        <v>22</v>
      </c>
      <c r="G25">
        <v>1164</v>
      </c>
      <c r="H25" s="48" t="s">
        <v>1308</v>
      </c>
      <c r="I25" t="s">
        <v>1022</v>
      </c>
      <c r="J25" t="str">
        <f t="shared" si="0"/>
        <v>INSERT INTO tbFinanceItemSeq(Report,ItemSeqID,ItemSN,ItemID) VALUES('MAD',24,22,1164)</v>
      </c>
      <c r="K25" t="str">
        <f t="shared" si="1"/>
        <v/>
      </c>
    </row>
    <row r="26" spans="1:11">
      <c r="A26" t="s">
        <v>74</v>
      </c>
      <c r="B26" t="s">
        <v>998</v>
      </c>
      <c r="C26">
        <v>25</v>
      </c>
      <c r="D26">
        <v>25</v>
      </c>
      <c r="E26">
        <v>23</v>
      </c>
      <c r="F26">
        <v>23</v>
      </c>
      <c r="G26">
        <v>1165</v>
      </c>
      <c r="H26" s="48" t="s">
        <v>1309</v>
      </c>
      <c r="I26" t="s">
        <v>1023</v>
      </c>
      <c r="J26" t="str">
        <f t="shared" si="0"/>
        <v>INSERT INTO tbFinanceItemSeq(Report,ItemSeqID,ItemSN,ItemID) VALUES('MAD',25,23,1165)</v>
      </c>
      <c r="K26" t="str">
        <f t="shared" si="1"/>
        <v/>
      </c>
    </row>
    <row r="27" spans="1:11">
      <c r="A27" t="s">
        <v>74</v>
      </c>
      <c r="B27" t="s">
        <v>998</v>
      </c>
      <c r="C27">
        <v>26</v>
      </c>
      <c r="D27">
        <v>26</v>
      </c>
      <c r="E27">
        <v>24</v>
      </c>
      <c r="F27">
        <v>24</v>
      </c>
      <c r="G27">
        <v>1166</v>
      </c>
      <c r="H27" s="48" t="s">
        <v>1310</v>
      </c>
      <c r="I27" t="s">
        <v>1024</v>
      </c>
      <c r="J27" t="str">
        <f t="shared" si="0"/>
        <v>INSERT INTO tbFinanceItemSeq(Report,ItemSeqID,ItemSN,ItemID) VALUES('MAD',26,24,1166)</v>
      </c>
      <c r="K27" t="str">
        <f t="shared" si="1"/>
        <v/>
      </c>
    </row>
    <row r="28" spans="1:11">
      <c r="A28" t="s">
        <v>74</v>
      </c>
      <c r="B28" t="s">
        <v>998</v>
      </c>
      <c r="C28">
        <v>27</v>
      </c>
      <c r="D28">
        <v>27</v>
      </c>
      <c r="E28">
        <v>25</v>
      </c>
      <c r="F28">
        <v>25</v>
      </c>
      <c r="G28">
        <v>1167</v>
      </c>
      <c r="H28" s="48" t="s">
        <v>1311</v>
      </c>
      <c r="I28" t="s">
        <v>1025</v>
      </c>
      <c r="J28" t="str">
        <f t="shared" si="0"/>
        <v>INSERT INTO tbFinanceItemSeq(Report,ItemSeqID,ItemSN,ItemID) VALUES('MAD',27,25,1167)</v>
      </c>
      <c r="K28" t="str">
        <f t="shared" si="1"/>
        <v/>
      </c>
    </row>
    <row r="29" spans="1:11">
      <c r="A29" t="s">
        <v>74</v>
      </c>
      <c r="B29" t="s">
        <v>998</v>
      </c>
      <c r="C29">
        <v>28</v>
      </c>
      <c r="D29">
        <v>28</v>
      </c>
      <c r="E29">
        <v>26</v>
      </c>
      <c r="F29">
        <v>26</v>
      </c>
      <c r="G29">
        <v>1168</v>
      </c>
      <c r="H29" s="48" t="s">
        <v>1312</v>
      </c>
      <c r="I29" t="s">
        <v>1026</v>
      </c>
      <c r="J29" t="str">
        <f t="shared" si="0"/>
        <v>INSERT INTO tbFinanceItemSeq(Report,ItemSeqID,ItemSN,ItemID) VALUES('MAD',28,26,1168)</v>
      </c>
      <c r="K29" t="str">
        <f t="shared" si="1"/>
        <v/>
      </c>
    </row>
    <row r="30" spans="1:11">
      <c r="A30" t="s">
        <v>74</v>
      </c>
      <c r="B30" t="s">
        <v>998</v>
      </c>
      <c r="C30">
        <v>29</v>
      </c>
      <c r="D30">
        <v>29</v>
      </c>
      <c r="E30">
        <v>27</v>
      </c>
      <c r="F30">
        <v>27</v>
      </c>
      <c r="G30">
        <v>1169</v>
      </c>
      <c r="H30" s="48" t="s">
        <v>1313</v>
      </c>
      <c r="I30" t="s">
        <v>1027</v>
      </c>
      <c r="J30" t="str">
        <f t="shared" si="0"/>
        <v>INSERT INTO tbFinanceItemSeq(Report,ItemSeqID,ItemSN,ItemID) VALUES('MAD',29,27,1169)</v>
      </c>
      <c r="K30" t="str">
        <f t="shared" si="1"/>
        <v/>
      </c>
    </row>
    <row r="31" spans="1:11">
      <c r="A31" t="s">
        <v>74</v>
      </c>
      <c r="B31" t="s">
        <v>998</v>
      </c>
      <c r="C31">
        <v>30</v>
      </c>
      <c r="D31">
        <v>30</v>
      </c>
      <c r="E31">
        <v>28</v>
      </c>
      <c r="F31">
        <v>28</v>
      </c>
      <c r="G31">
        <v>1170</v>
      </c>
      <c r="H31" s="48" t="s">
        <v>1314</v>
      </c>
      <c r="I31" t="s">
        <v>1028</v>
      </c>
      <c r="J31" t="str">
        <f t="shared" si="0"/>
        <v>INSERT INTO tbFinanceItemSeq(Report,ItemSeqID,ItemSN,ItemID) VALUES('MAD',30,28,1170)</v>
      </c>
      <c r="K31" t="str">
        <f t="shared" si="1"/>
        <v/>
      </c>
    </row>
    <row r="32" spans="1:11">
      <c r="A32" t="s">
        <v>74</v>
      </c>
      <c r="B32" t="s">
        <v>998</v>
      </c>
      <c r="C32">
        <v>31</v>
      </c>
      <c r="D32">
        <v>31</v>
      </c>
      <c r="E32">
        <v>29</v>
      </c>
      <c r="F32">
        <v>29</v>
      </c>
      <c r="G32">
        <v>1171</v>
      </c>
      <c r="H32" s="48" t="s">
        <v>1315</v>
      </c>
      <c r="I32" t="s">
        <v>1029</v>
      </c>
      <c r="J32" t="str">
        <f t="shared" si="0"/>
        <v>INSERT INTO tbFinanceItemSeq(Report,ItemSeqID,ItemSN,ItemID) VALUES('MAD',31,29,1171)</v>
      </c>
      <c r="K32" t="str">
        <f t="shared" si="1"/>
        <v/>
      </c>
    </row>
    <row r="33" spans="1:11">
      <c r="A33" t="s">
        <v>74</v>
      </c>
      <c r="B33" t="s">
        <v>998</v>
      </c>
      <c r="C33">
        <v>32</v>
      </c>
      <c r="D33">
        <v>32</v>
      </c>
      <c r="E33">
        <v>30</v>
      </c>
      <c r="F33">
        <v>30</v>
      </c>
      <c r="G33">
        <v>1172</v>
      </c>
      <c r="H33" s="48" t="s">
        <v>1316</v>
      </c>
      <c r="I33" t="s">
        <v>1030</v>
      </c>
      <c r="J33" t="str">
        <f t="shared" si="0"/>
        <v>INSERT INTO tbFinanceItemSeq(Report,ItemSeqID,ItemSN,ItemID) VALUES('MAD',32,30,1172)</v>
      </c>
      <c r="K33" t="str">
        <f t="shared" si="1"/>
        <v/>
      </c>
    </row>
    <row r="34" spans="1:11">
      <c r="A34" t="s">
        <v>74</v>
      </c>
      <c r="B34" t="s">
        <v>998</v>
      </c>
      <c r="C34">
        <v>33</v>
      </c>
      <c r="D34">
        <v>33</v>
      </c>
      <c r="E34">
        <v>31</v>
      </c>
      <c r="F34">
        <v>31</v>
      </c>
      <c r="G34">
        <v>1173</v>
      </c>
      <c r="H34" s="48" t="s">
        <v>1317</v>
      </c>
      <c r="I34" t="s">
        <v>1031</v>
      </c>
      <c r="J34" t="str">
        <f t="shared" ref="J34:J65" si="2">IF(A34&lt;&gt;"Remove",CONCATENATE("INSERT INTO tbFinanceItemSeq(Report,ItemSeqID,ItemSN,ItemID) VALUES('",B34,"',",C34,",",E34,",",G34,")")," ")</f>
        <v>INSERT INTO tbFinanceItemSeq(Report,ItemSeqID,ItemSN,ItemID) VALUES('MAD',33,31,1173)</v>
      </c>
      <c r="K34" t="str">
        <f t="shared" ref="K34:K65" si="3">IF(A34&lt;&gt;"New","",CONCATENATE("INSERT INTO tbFinanceItem(ItemName) VALUES('",I34,"')"))</f>
        <v/>
      </c>
    </row>
    <row r="35" spans="1:11">
      <c r="A35" t="s">
        <v>74</v>
      </c>
      <c r="B35" t="s">
        <v>998</v>
      </c>
      <c r="C35">
        <v>34</v>
      </c>
      <c r="D35">
        <v>34</v>
      </c>
      <c r="E35">
        <v>32</v>
      </c>
      <c r="F35">
        <v>32</v>
      </c>
      <c r="G35">
        <v>1174</v>
      </c>
      <c r="H35" s="51" t="s">
        <v>1318</v>
      </c>
      <c r="I35" t="s">
        <v>1032</v>
      </c>
      <c r="J35" t="str">
        <f t="shared" si="2"/>
        <v>INSERT INTO tbFinanceItemSeq(Report,ItemSeqID,ItemSN,ItemID) VALUES('MAD',34,32,1174)</v>
      </c>
      <c r="K35" t="str">
        <f t="shared" si="3"/>
        <v/>
      </c>
    </row>
    <row r="36" spans="1:11">
      <c r="A36" t="s">
        <v>74</v>
      </c>
      <c r="B36" t="s">
        <v>998</v>
      </c>
      <c r="C36">
        <v>35</v>
      </c>
      <c r="D36">
        <v>35</v>
      </c>
      <c r="E36">
        <v>33</v>
      </c>
      <c r="F36">
        <v>33</v>
      </c>
      <c r="G36">
        <v>1175</v>
      </c>
      <c r="H36" s="53" t="s">
        <v>1319</v>
      </c>
      <c r="I36" t="s">
        <v>1033</v>
      </c>
      <c r="J36" t="str">
        <f t="shared" si="2"/>
        <v>INSERT INTO tbFinanceItemSeq(Report,ItemSeqID,ItemSN,ItemID) VALUES('MAD',35,33,1175)</v>
      </c>
      <c r="K36" t="str">
        <f t="shared" si="3"/>
        <v/>
      </c>
    </row>
    <row r="37" spans="1:11">
      <c r="A37" t="s">
        <v>74</v>
      </c>
      <c r="B37" t="s">
        <v>998</v>
      </c>
      <c r="C37">
        <v>36</v>
      </c>
      <c r="D37">
        <v>36</v>
      </c>
      <c r="E37">
        <v>34</v>
      </c>
      <c r="F37">
        <v>34</v>
      </c>
      <c r="G37">
        <v>1176</v>
      </c>
      <c r="H37" s="48" t="s">
        <v>1320</v>
      </c>
      <c r="I37" t="s">
        <v>1034</v>
      </c>
      <c r="J37" t="str">
        <f t="shared" si="2"/>
        <v>INSERT INTO tbFinanceItemSeq(Report,ItemSeqID,ItemSN,ItemID) VALUES('MAD',36,34,1176)</v>
      </c>
      <c r="K37" t="str">
        <f t="shared" si="3"/>
        <v/>
      </c>
    </row>
    <row r="38" spans="1:11">
      <c r="A38" t="s">
        <v>74</v>
      </c>
      <c r="B38" t="s">
        <v>998</v>
      </c>
      <c r="C38">
        <v>37</v>
      </c>
      <c r="D38">
        <v>37</v>
      </c>
      <c r="E38">
        <v>35</v>
      </c>
      <c r="F38">
        <v>35</v>
      </c>
      <c r="G38">
        <v>1177</v>
      </c>
      <c r="H38" s="48" t="s">
        <v>1321</v>
      </c>
      <c r="I38" t="s">
        <v>1035</v>
      </c>
      <c r="J38" t="str">
        <f t="shared" si="2"/>
        <v>INSERT INTO tbFinanceItemSeq(Report,ItemSeqID,ItemSN,ItemID) VALUES('MAD',37,35,1177)</v>
      </c>
      <c r="K38" t="str">
        <f t="shared" si="3"/>
        <v/>
      </c>
    </row>
    <row r="39" spans="1:11">
      <c r="A39" t="s">
        <v>74</v>
      </c>
      <c r="B39" t="s">
        <v>998</v>
      </c>
      <c r="C39">
        <v>38</v>
      </c>
      <c r="D39">
        <v>38</v>
      </c>
      <c r="E39">
        <v>36</v>
      </c>
      <c r="F39">
        <v>36</v>
      </c>
      <c r="G39">
        <v>1178</v>
      </c>
      <c r="H39" s="51" t="s">
        <v>1322</v>
      </c>
      <c r="I39" t="s">
        <v>1036</v>
      </c>
      <c r="J39" t="str">
        <f t="shared" si="2"/>
        <v>INSERT INTO tbFinanceItemSeq(Report,ItemSeqID,ItemSN,ItemID) VALUES('MAD',38,36,1178)</v>
      </c>
      <c r="K39" t="str">
        <f t="shared" si="3"/>
        <v/>
      </c>
    </row>
    <row r="40" spans="1:11" s="3" customFormat="1">
      <c r="A40" s="3" t="s">
        <v>75</v>
      </c>
      <c r="B40" s="3" t="s">
        <v>998</v>
      </c>
      <c r="C40" s="3">
        <v>39</v>
      </c>
      <c r="E40" s="3">
        <v>37</v>
      </c>
      <c r="G40" s="3" t="str">
        <f>CONCATENATE("(SELECT ItemID FROM tbFinanceItem where ItemName = '",I40,"')")</f>
        <v>(SELECT ItemID FROM tbFinanceItem where ItemName = '(MAD)Direct Exps-Others')</v>
      </c>
      <c r="H40" s="51" t="s">
        <v>1323</v>
      </c>
      <c r="I40" s="80" t="s">
        <v>1275</v>
      </c>
      <c r="J40" s="3" t="str">
        <f t="shared" si="2"/>
        <v>INSERT INTO tbFinanceItemSeq(Report,ItemSeqID,ItemSN,ItemID) VALUES('MAD',39,37,(SELECT ItemID FROM tbFinanceItem where ItemName = '(MAD)Direct Exps-Others'))</v>
      </c>
      <c r="K40" s="3" t="str">
        <f t="shared" si="3"/>
        <v>INSERT INTO tbFinanceItem(ItemName) VALUES('(MAD)Direct Exps-Others')</v>
      </c>
    </row>
    <row r="41" spans="1:11">
      <c r="A41" t="s">
        <v>74</v>
      </c>
      <c r="B41" t="s">
        <v>998</v>
      </c>
      <c r="C41">
        <v>40</v>
      </c>
      <c r="D41">
        <v>39</v>
      </c>
      <c r="E41">
        <v>38</v>
      </c>
      <c r="F41">
        <v>37</v>
      </c>
      <c r="G41">
        <v>1179</v>
      </c>
      <c r="H41" s="53" t="s">
        <v>1324</v>
      </c>
      <c r="I41" t="s">
        <v>1037</v>
      </c>
      <c r="J41" t="str">
        <f t="shared" si="2"/>
        <v>INSERT INTO tbFinanceItemSeq(Report,ItemSeqID,ItemSN,ItemID) VALUES('MAD',40,38,1179)</v>
      </c>
      <c r="K41" t="str">
        <f t="shared" si="3"/>
        <v/>
      </c>
    </row>
    <row r="42" spans="1:11">
      <c r="A42" t="s">
        <v>74</v>
      </c>
      <c r="B42" t="s">
        <v>998</v>
      </c>
      <c r="C42">
        <v>41</v>
      </c>
      <c r="D42">
        <v>40</v>
      </c>
      <c r="E42">
        <v>39</v>
      </c>
      <c r="F42">
        <v>38</v>
      </c>
      <c r="G42">
        <v>1180</v>
      </c>
      <c r="H42" s="54" t="s">
        <v>1325</v>
      </c>
      <c r="I42" t="s">
        <v>1038</v>
      </c>
      <c r="J42" t="str">
        <f t="shared" si="2"/>
        <v>INSERT INTO tbFinanceItemSeq(Report,ItemSeqID,ItemSN,ItemID) VALUES('MAD',41,39,1180)</v>
      </c>
      <c r="K42" t="str">
        <f t="shared" si="3"/>
        <v/>
      </c>
    </row>
    <row r="43" spans="1:11">
      <c r="A43" t="s">
        <v>74</v>
      </c>
      <c r="B43" t="s">
        <v>998</v>
      </c>
      <c r="C43">
        <v>42</v>
      </c>
      <c r="D43">
        <v>41</v>
      </c>
      <c r="E43">
        <v>0</v>
      </c>
      <c r="F43">
        <v>0</v>
      </c>
      <c r="G43">
        <v>1181</v>
      </c>
      <c r="H43" s="55"/>
      <c r="I43" t="s">
        <v>1039</v>
      </c>
      <c r="J43" t="str">
        <f t="shared" si="2"/>
        <v>INSERT INTO tbFinanceItemSeq(Report,ItemSeqID,ItemSN,ItemID) VALUES('MAD',42,0,1181)</v>
      </c>
      <c r="K43" t="str">
        <f t="shared" si="3"/>
        <v/>
      </c>
    </row>
    <row r="44" spans="1:11">
      <c r="A44" t="s">
        <v>74</v>
      </c>
      <c r="B44" t="s">
        <v>998</v>
      </c>
      <c r="C44">
        <v>43</v>
      </c>
      <c r="D44">
        <v>42</v>
      </c>
      <c r="E44">
        <v>40</v>
      </c>
      <c r="F44">
        <v>39</v>
      </c>
      <c r="G44">
        <v>1182</v>
      </c>
      <c r="H44" s="48" t="s">
        <v>1326</v>
      </c>
      <c r="I44" t="s">
        <v>1040</v>
      </c>
      <c r="J44" t="str">
        <f t="shared" si="2"/>
        <v>INSERT INTO tbFinanceItemSeq(Report,ItemSeqID,ItemSN,ItemID) VALUES('MAD',43,40,1182)</v>
      </c>
      <c r="K44" t="str">
        <f t="shared" si="3"/>
        <v/>
      </c>
    </row>
    <row r="45" spans="1:11">
      <c r="A45" t="s">
        <v>74</v>
      </c>
      <c r="B45" t="s">
        <v>998</v>
      </c>
      <c r="C45">
        <v>44</v>
      </c>
      <c r="D45">
        <v>43</v>
      </c>
      <c r="E45">
        <v>41</v>
      </c>
      <c r="F45">
        <v>40</v>
      </c>
      <c r="G45">
        <v>1183</v>
      </c>
      <c r="H45" s="48" t="s">
        <v>1327</v>
      </c>
      <c r="I45" t="s">
        <v>1041</v>
      </c>
      <c r="J45" t="str">
        <f t="shared" si="2"/>
        <v>INSERT INTO tbFinanceItemSeq(Report,ItemSeqID,ItemSN,ItemID) VALUES('MAD',44,41,1183)</v>
      </c>
      <c r="K45" t="str">
        <f t="shared" si="3"/>
        <v/>
      </c>
    </row>
    <row r="46" spans="1:11">
      <c r="A46" t="s">
        <v>74</v>
      </c>
      <c r="B46" t="s">
        <v>998</v>
      </c>
      <c r="C46">
        <v>45</v>
      </c>
      <c r="D46">
        <v>44</v>
      </c>
      <c r="E46">
        <v>42</v>
      </c>
      <c r="F46">
        <v>41</v>
      </c>
      <c r="G46">
        <v>1184</v>
      </c>
      <c r="H46" s="48" t="s">
        <v>1328</v>
      </c>
      <c r="I46" t="s">
        <v>1042</v>
      </c>
      <c r="J46" t="str">
        <f t="shared" si="2"/>
        <v>INSERT INTO tbFinanceItemSeq(Report,ItemSeqID,ItemSN,ItemID) VALUES('MAD',45,42,1184)</v>
      </c>
      <c r="K46" t="str">
        <f t="shared" si="3"/>
        <v/>
      </c>
    </row>
    <row r="47" spans="1:11">
      <c r="A47" t="s">
        <v>74</v>
      </c>
      <c r="B47" t="s">
        <v>998</v>
      </c>
      <c r="C47">
        <v>46</v>
      </c>
      <c r="D47">
        <v>45</v>
      </c>
      <c r="E47">
        <v>43</v>
      </c>
      <c r="F47">
        <v>42</v>
      </c>
      <c r="G47">
        <v>1185</v>
      </c>
      <c r="H47" s="48" t="s">
        <v>1329</v>
      </c>
      <c r="I47" t="s">
        <v>1043</v>
      </c>
      <c r="J47" t="str">
        <f t="shared" si="2"/>
        <v>INSERT INTO tbFinanceItemSeq(Report,ItemSeqID,ItemSN,ItemID) VALUES('MAD',46,43,1185)</v>
      </c>
      <c r="K47" t="str">
        <f t="shared" si="3"/>
        <v/>
      </c>
    </row>
    <row r="48" spans="1:11">
      <c r="A48" t="s">
        <v>74</v>
      </c>
      <c r="B48" t="s">
        <v>998</v>
      </c>
      <c r="C48">
        <v>47</v>
      </c>
      <c r="D48">
        <v>46</v>
      </c>
      <c r="E48">
        <v>44</v>
      </c>
      <c r="F48">
        <v>43</v>
      </c>
      <c r="G48">
        <v>1186</v>
      </c>
      <c r="H48" s="48" t="s">
        <v>1330</v>
      </c>
      <c r="I48" t="s">
        <v>1044</v>
      </c>
      <c r="J48" t="str">
        <f t="shared" si="2"/>
        <v>INSERT INTO tbFinanceItemSeq(Report,ItemSeqID,ItemSN,ItemID) VALUES('MAD',47,44,1186)</v>
      </c>
      <c r="K48" t="str">
        <f t="shared" si="3"/>
        <v/>
      </c>
    </row>
    <row r="49" spans="1:11">
      <c r="A49" t="s">
        <v>74</v>
      </c>
      <c r="B49" t="s">
        <v>998</v>
      </c>
      <c r="C49">
        <v>48</v>
      </c>
      <c r="D49">
        <v>47</v>
      </c>
      <c r="E49">
        <v>45</v>
      </c>
      <c r="F49">
        <v>44</v>
      </c>
      <c r="G49">
        <v>1187</v>
      </c>
      <c r="H49" s="48" t="s">
        <v>1331</v>
      </c>
      <c r="I49" t="s">
        <v>1045</v>
      </c>
      <c r="J49" t="str">
        <f t="shared" si="2"/>
        <v>INSERT INTO tbFinanceItemSeq(Report,ItemSeqID,ItemSN,ItemID) VALUES('MAD',48,45,1187)</v>
      </c>
      <c r="K49" t="str">
        <f t="shared" si="3"/>
        <v/>
      </c>
    </row>
    <row r="50" spans="1:11">
      <c r="A50" t="s">
        <v>74</v>
      </c>
      <c r="B50" t="s">
        <v>998</v>
      </c>
      <c r="C50">
        <v>49</v>
      </c>
      <c r="D50">
        <v>48</v>
      </c>
      <c r="E50">
        <v>46</v>
      </c>
      <c r="F50">
        <v>45</v>
      </c>
      <c r="G50">
        <v>1188</v>
      </c>
      <c r="H50" s="48" t="s">
        <v>1332</v>
      </c>
      <c r="I50" t="s">
        <v>1046</v>
      </c>
      <c r="J50" t="str">
        <f t="shared" si="2"/>
        <v>INSERT INTO tbFinanceItemSeq(Report,ItemSeqID,ItemSN,ItemID) VALUES('MAD',49,46,1188)</v>
      </c>
      <c r="K50" t="str">
        <f t="shared" si="3"/>
        <v/>
      </c>
    </row>
    <row r="51" spans="1:11">
      <c r="A51" t="s">
        <v>74</v>
      </c>
      <c r="B51" t="s">
        <v>998</v>
      </c>
      <c r="C51">
        <v>50</v>
      </c>
      <c r="D51">
        <v>49</v>
      </c>
      <c r="E51">
        <v>47</v>
      </c>
      <c r="F51">
        <v>46</v>
      </c>
      <c r="G51">
        <v>1189</v>
      </c>
      <c r="H51" s="48" t="s">
        <v>1333</v>
      </c>
      <c r="I51" t="s">
        <v>1047</v>
      </c>
      <c r="J51" t="str">
        <f t="shared" si="2"/>
        <v>INSERT INTO tbFinanceItemSeq(Report,ItemSeqID,ItemSN,ItemID) VALUES('MAD',50,47,1189)</v>
      </c>
      <c r="K51" t="str">
        <f t="shared" si="3"/>
        <v/>
      </c>
    </row>
    <row r="52" spans="1:11">
      <c r="A52" t="s">
        <v>74</v>
      </c>
      <c r="B52" t="s">
        <v>998</v>
      </c>
      <c r="C52">
        <v>51</v>
      </c>
      <c r="D52">
        <v>50</v>
      </c>
      <c r="E52">
        <v>48</v>
      </c>
      <c r="F52">
        <v>47</v>
      </c>
      <c r="G52">
        <v>1190</v>
      </c>
      <c r="H52" s="48" t="s">
        <v>1334</v>
      </c>
      <c r="I52" t="s">
        <v>1048</v>
      </c>
      <c r="J52" t="str">
        <f t="shared" si="2"/>
        <v>INSERT INTO tbFinanceItemSeq(Report,ItemSeqID,ItemSN,ItemID) VALUES('MAD',51,48,1190)</v>
      </c>
      <c r="K52" t="str">
        <f t="shared" si="3"/>
        <v/>
      </c>
    </row>
    <row r="53" spans="1:11">
      <c r="A53" t="s">
        <v>74</v>
      </c>
      <c r="B53" t="s">
        <v>998</v>
      </c>
      <c r="C53">
        <v>52</v>
      </c>
      <c r="D53">
        <v>51</v>
      </c>
      <c r="E53">
        <v>49</v>
      </c>
      <c r="F53">
        <v>48</v>
      </c>
      <c r="G53">
        <v>1191</v>
      </c>
      <c r="H53" s="48" t="s">
        <v>1335</v>
      </c>
      <c r="I53" t="s">
        <v>1049</v>
      </c>
      <c r="J53" t="str">
        <f t="shared" si="2"/>
        <v>INSERT INTO tbFinanceItemSeq(Report,ItemSeqID,ItemSN,ItemID) VALUES('MAD',52,49,1191)</v>
      </c>
      <c r="K53" t="str">
        <f t="shared" si="3"/>
        <v/>
      </c>
    </row>
    <row r="54" spans="1:11">
      <c r="A54" t="s">
        <v>74</v>
      </c>
      <c r="B54" t="s">
        <v>998</v>
      </c>
      <c r="C54">
        <v>53</v>
      </c>
      <c r="D54">
        <v>52</v>
      </c>
      <c r="E54">
        <v>50</v>
      </c>
      <c r="F54">
        <v>49</v>
      </c>
      <c r="G54">
        <v>1192</v>
      </c>
      <c r="H54" s="48" t="s">
        <v>1336</v>
      </c>
      <c r="I54" t="s">
        <v>1050</v>
      </c>
      <c r="J54" t="str">
        <f t="shared" si="2"/>
        <v>INSERT INTO tbFinanceItemSeq(Report,ItemSeqID,ItemSN,ItemID) VALUES('MAD',53,50,1192)</v>
      </c>
      <c r="K54" t="str">
        <f t="shared" si="3"/>
        <v/>
      </c>
    </row>
    <row r="55" spans="1:11">
      <c r="A55" t="s">
        <v>74</v>
      </c>
      <c r="B55" t="s">
        <v>998</v>
      </c>
      <c r="C55">
        <v>54</v>
      </c>
      <c r="D55">
        <v>53</v>
      </c>
      <c r="E55">
        <v>51</v>
      </c>
      <c r="F55">
        <v>50</v>
      </c>
      <c r="G55">
        <v>1193</v>
      </c>
      <c r="H55" s="48" t="s">
        <v>1337</v>
      </c>
      <c r="I55" t="s">
        <v>1051</v>
      </c>
      <c r="J55" t="str">
        <f t="shared" si="2"/>
        <v>INSERT INTO tbFinanceItemSeq(Report,ItemSeqID,ItemSN,ItemID) VALUES('MAD',54,51,1193)</v>
      </c>
      <c r="K55" t="str">
        <f t="shared" si="3"/>
        <v/>
      </c>
    </row>
    <row r="56" spans="1:11">
      <c r="A56" t="s">
        <v>74</v>
      </c>
      <c r="B56" t="s">
        <v>998</v>
      </c>
      <c r="C56">
        <v>55</v>
      </c>
      <c r="D56">
        <v>54</v>
      </c>
      <c r="E56">
        <v>52</v>
      </c>
      <c r="F56">
        <v>51</v>
      </c>
      <c r="G56">
        <v>1194</v>
      </c>
      <c r="H56" s="48" t="s">
        <v>1338</v>
      </c>
      <c r="I56" t="s">
        <v>1052</v>
      </c>
      <c r="J56" t="str">
        <f t="shared" si="2"/>
        <v>INSERT INTO tbFinanceItemSeq(Report,ItemSeqID,ItemSN,ItemID) VALUES('MAD',55,52,1194)</v>
      </c>
      <c r="K56" t="str">
        <f t="shared" si="3"/>
        <v/>
      </c>
    </row>
    <row r="57" spans="1:11">
      <c r="A57" t="s">
        <v>74</v>
      </c>
      <c r="B57" t="s">
        <v>998</v>
      </c>
      <c r="C57">
        <v>56</v>
      </c>
      <c r="D57">
        <v>55</v>
      </c>
      <c r="E57">
        <v>53</v>
      </c>
      <c r="F57">
        <v>52</v>
      </c>
      <c r="G57">
        <v>1195</v>
      </c>
      <c r="H57" s="48" t="s">
        <v>1339</v>
      </c>
      <c r="I57" t="s">
        <v>1053</v>
      </c>
      <c r="J57" t="str">
        <f t="shared" si="2"/>
        <v>INSERT INTO tbFinanceItemSeq(Report,ItemSeqID,ItemSN,ItemID) VALUES('MAD',56,53,1195)</v>
      </c>
      <c r="K57" t="str">
        <f t="shared" si="3"/>
        <v/>
      </c>
    </row>
    <row r="58" spans="1:11">
      <c r="A58" t="s">
        <v>74</v>
      </c>
      <c r="B58" t="s">
        <v>998</v>
      </c>
      <c r="C58">
        <v>57</v>
      </c>
      <c r="D58">
        <v>56</v>
      </c>
      <c r="E58">
        <v>54</v>
      </c>
      <c r="F58">
        <v>53</v>
      </c>
      <c r="G58">
        <v>1196</v>
      </c>
      <c r="H58" s="48" t="s">
        <v>1340</v>
      </c>
      <c r="I58" t="s">
        <v>1054</v>
      </c>
      <c r="J58" t="str">
        <f t="shared" si="2"/>
        <v>INSERT INTO tbFinanceItemSeq(Report,ItemSeqID,ItemSN,ItemID) VALUES('MAD',57,54,1196)</v>
      </c>
      <c r="K58" t="str">
        <f t="shared" si="3"/>
        <v/>
      </c>
    </row>
    <row r="59" spans="1:11">
      <c r="A59" t="s">
        <v>74</v>
      </c>
      <c r="B59" t="s">
        <v>998</v>
      </c>
      <c r="C59">
        <v>58</v>
      </c>
      <c r="D59">
        <v>57</v>
      </c>
      <c r="E59">
        <v>55</v>
      </c>
      <c r="F59">
        <v>54</v>
      </c>
      <c r="G59">
        <v>1197</v>
      </c>
      <c r="H59" s="48" t="s">
        <v>1341</v>
      </c>
      <c r="I59" t="s">
        <v>1055</v>
      </c>
      <c r="J59" t="str">
        <f t="shared" si="2"/>
        <v>INSERT INTO tbFinanceItemSeq(Report,ItemSeqID,ItemSN,ItemID) VALUES('MAD',58,55,1197)</v>
      </c>
      <c r="K59" t="str">
        <f t="shared" si="3"/>
        <v/>
      </c>
    </row>
    <row r="60" spans="1:11">
      <c r="A60" t="s">
        <v>74</v>
      </c>
      <c r="B60" t="s">
        <v>998</v>
      </c>
      <c r="C60">
        <v>59</v>
      </c>
      <c r="D60">
        <v>58</v>
      </c>
      <c r="E60">
        <v>56</v>
      </c>
      <c r="F60">
        <v>55</v>
      </c>
      <c r="G60">
        <v>1198</v>
      </c>
      <c r="H60" s="48" t="s">
        <v>1342</v>
      </c>
      <c r="I60" t="s">
        <v>1056</v>
      </c>
      <c r="J60" t="str">
        <f t="shared" si="2"/>
        <v>INSERT INTO tbFinanceItemSeq(Report,ItemSeqID,ItemSN,ItemID) VALUES('MAD',59,56,1198)</v>
      </c>
      <c r="K60" t="str">
        <f t="shared" si="3"/>
        <v/>
      </c>
    </row>
    <row r="61" spans="1:11">
      <c r="A61" t="s">
        <v>74</v>
      </c>
      <c r="B61" t="s">
        <v>998</v>
      </c>
      <c r="C61">
        <v>60</v>
      </c>
      <c r="D61">
        <v>59</v>
      </c>
      <c r="E61">
        <v>57</v>
      </c>
      <c r="F61">
        <v>56</v>
      </c>
      <c r="G61">
        <v>1199</v>
      </c>
      <c r="H61" s="56" t="s">
        <v>1343</v>
      </c>
      <c r="I61" t="s">
        <v>1057</v>
      </c>
      <c r="J61" t="str">
        <f t="shared" si="2"/>
        <v>INSERT INTO tbFinanceItemSeq(Report,ItemSeqID,ItemSN,ItemID) VALUES('MAD',60,57,1199)</v>
      </c>
      <c r="K61" t="str">
        <f t="shared" si="3"/>
        <v/>
      </c>
    </row>
    <row r="62" spans="1:11">
      <c r="A62" t="s">
        <v>74</v>
      </c>
      <c r="B62" t="s">
        <v>998</v>
      </c>
      <c r="C62">
        <v>61</v>
      </c>
      <c r="D62">
        <v>60</v>
      </c>
      <c r="E62">
        <v>58</v>
      </c>
      <c r="F62">
        <v>57</v>
      </c>
      <c r="G62">
        <v>1200</v>
      </c>
      <c r="H62" s="48" t="s">
        <v>1344</v>
      </c>
      <c r="I62" t="s">
        <v>1058</v>
      </c>
      <c r="J62" t="str">
        <f t="shared" si="2"/>
        <v>INSERT INTO tbFinanceItemSeq(Report,ItemSeqID,ItemSN,ItemID) VALUES('MAD',61,58,1200)</v>
      </c>
      <c r="K62" t="str">
        <f t="shared" si="3"/>
        <v/>
      </c>
    </row>
    <row r="63" spans="1:11">
      <c r="A63" t="s">
        <v>74</v>
      </c>
      <c r="B63" t="s">
        <v>998</v>
      </c>
      <c r="C63">
        <v>62</v>
      </c>
      <c r="D63">
        <v>61</v>
      </c>
      <c r="E63">
        <v>59</v>
      </c>
      <c r="F63">
        <v>58</v>
      </c>
      <c r="G63">
        <v>1201</v>
      </c>
      <c r="H63" s="48" t="s">
        <v>1345</v>
      </c>
      <c r="I63" t="s">
        <v>1059</v>
      </c>
      <c r="J63" t="str">
        <f t="shared" si="2"/>
        <v>INSERT INTO tbFinanceItemSeq(Report,ItemSeqID,ItemSN,ItemID) VALUES('MAD',62,59,1201)</v>
      </c>
      <c r="K63" t="str">
        <f t="shared" si="3"/>
        <v/>
      </c>
    </row>
    <row r="64" spans="1:11">
      <c r="A64" t="s">
        <v>74</v>
      </c>
      <c r="B64" t="s">
        <v>998</v>
      </c>
      <c r="C64">
        <v>63</v>
      </c>
      <c r="D64">
        <v>62</v>
      </c>
      <c r="E64">
        <v>60</v>
      </c>
      <c r="F64">
        <v>59</v>
      </c>
      <c r="G64">
        <v>1202</v>
      </c>
      <c r="H64" s="48" t="s">
        <v>1346</v>
      </c>
      <c r="I64" t="s">
        <v>1060</v>
      </c>
      <c r="J64" t="str">
        <f t="shared" si="2"/>
        <v>INSERT INTO tbFinanceItemSeq(Report,ItemSeqID,ItemSN,ItemID) VALUES('MAD',63,60,1202)</v>
      </c>
      <c r="K64" t="str">
        <f t="shared" si="3"/>
        <v/>
      </c>
    </row>
    <row r="65" spans="1:11">
      <c r="A65" t="s">
        <v>74</v>
      </c>
      <c r="B65" t="s">
        <v>998</v>
      </c>
      <c r="C65">
        <v>64</v>
      </c>
      <c r="D65">
        <v>63</v>
      </c>
      <c r="E65">
        <v>61</v>
      </c>
      <c r="F65">
        <v>60</v>
      </c>
      <c r="G65">
        <v>1203</v>
      </c>
      <c r="H65" s="48" t="s">
        <v>1347</v>
      </c>
      <c r="I65" t="s">
        <v>1061</v>
      </c>
      <c r="J65" t="str">
        <f t="shared" si="2"/>
        <v>INSERT INTO tbFinanceItemSeq(Report,ItemSeqID,ItemSN,ItemID) VALUES('MAD',64,61,1203)</v>
      </c>
      <c r="K65" t="str">
        <f t="shared" si="3"/>
        <v/>
      </c>
    </row>
    <row r="66" spans="1:11">
      <c r="A66" t="s">
        <v>74</v>
      </c>
      <c r="B66" t="s">
        <v>998</v>
      </c>
      <c r="C66">
        <v>65</v>
      </c>
      <c r="D66">
        <v>64</v>
      </c>
      <c r="E66">
        <v>62</v>
      </c>
      <c r="F66">
        <v>61</v>
      </c>
      <c r="G66">
        <v>1204</v>
      </c>
      <c r="H66" s="48" t="s">
        <v>1348</v>
      </c>
      <c r="I66" t="s">
        <v>1062</v>
      </c>
      <c r="J66" t="str">
        <f t="shared" ref="J66:J97" si="4">IF(A66&lt;&gt;"Remove",CONCATENATE("INSERT INTO tbFinanceItemSeq(Report,ItemSeqID,ItemSN,ItemID) VALUES('",B66,"',",C66,",",E66,",",G66,")")," ")</f>
        <v>INSERT INTO tbFinanceItemSeq(Report,ItemSeqID,ItemSN,ItemID) VALUES('MAD',65,62,1204)</v>
      </c>
      <c r="K66" t="str">
        <f t="shared" ref="K66:K97" si="5">IF(A66&lt;&gt;"New","",CONCATENATE("INSERT INTO tbFinanceItem(ItemName) VALUES('",I66,"')"))</f>
        <v/>
      </c>
    </row>
    <row r="67" spans="1:11">
      <c r="A67" t="s">
        <v>74</v>
      </c>
      <c r="B67" t="s">
        <v>998</v>
      </c>
      <c r="C67">
        <v>66</v>
      </c>
      <c r="D67">
        <v>65</v>
      </c>
      <c r="E67">
        <v>63</v>
      </c>
      <c r="F67">
        <v>62</v>
      </c>
      <c r="G67">
        <v>1205</v>
      </c>
      <c r="H67" s="48" t="s">
        <v>1349</v>
      </c>
      <c r="I67" t="s">
        <v>1063</v>
      </c>
      <c r="J67" t="str">
        <f t="shared" si="4"/>
        <v>INSERT INTO tbFinanceItemSeq(Report,ItemSeqID,ItemSN,ItemID) VALUES('MAD',66,63,1205)</v>
      </c>
      <c r="K67" t="str">
        <f t="shared" si="5"/>
        <v/>
      </c>
    </row>
    <row r="68" spans="1:11">
      <c r="A68" t="s">
        <v>74</v>
      </c>
      <c r="B68" t="s">
        <v>998</v>
      </c>
      <c r="C68">
        <v>67</v>
      </c>
      <c r="D68">
        <v>66</v>
      </c>
      <c r="E68">
        <v>64</v>
      </c>
      <c r="F68">
        <v>63</v>
      </c>
      <c r="G68">
        <v>1206</v>
      </c>
      <c r="H68" s="48" t="s">
        <v>1350</v>
      </c>
      <c r="I68" t="s">
        <v>1064</v>
      </c>
      <c r="J68" t="str">
        <f t="shared" si="4"/>
        <v>INSERT INTO tbFinanceItemSeq(Report,ItemSeqID,ItemSN,ItemID) VALUES('MAD',67,64,1206)</v>
      </c>
      <c r="K68" t="str">
        <f t="shared" si="5"/>
        <v/>
      </c>
    </row>
    <row r="69" spans="1:11">
      <c r="A69" t="s">
        <v>74</v>
      </c>
      <c r="B69" t="s">
        <v>998</v>
      </c>
      <c r="C69">
        <v>68</v>
      </c>
      <c r="D69">
        <v>67</v>
      </c>
      <c r="E69">
        <v>65</v>
      </c>
      <c r="F69">
        <v>64</v>
      </c>
      <c r="G69">
        <v>1207</v>
      </c>
      <c r="H69" s="51" t="s">
        <v>1351</v>
      </c>
      <c r="I69" t="s">
        <v>1065</v>
      </c>
      <c r="J69" t="str">
        <f t="shared" si="4"/>
        <v>INSERT INTO tbFinanceItemSeq(Report,ItemSeqID,ItemSN,ItemID) VALUES('MAD',68,65,1207)</v>
      </c>
      <c r="K69" t="str">
        <f t="shared" si="5"/>
        <v/>
      </c>
    </row>
    <row r="70" spans="1:11" s="3" customFormat="1">
      <c r="A70" s="3" t="s">
        <v>75</v>
      </c>
      <c r="B70" s="3" t="s">
        <v>998</v>
      </c>
      <c r="C70" s="3">
        <v>69</v>
      </c>
      <c r="E70">
        <v>66</v>
      </c>
      <c r="G70" s="3" t="str">
        <f>CONCATENATE("(SELECT ItemID FROM tbFinanceItem where ItemName = '",I70,"')")</f>
        <v>(SELECT ItemID FROM tbFinanceItem where ItemName = '(MAD)IL-QA Allocated Cost')</v>
      </c>
      <c r="H70" s="48"/>
      <c r="I70" s="3" t="s">
        <v>2687</v>
      </c>
      <c r="J70" s="3" t="str">
        <f t="shared" si="4"/>
        <v>INSERT INTO tbFinanceItemSeq(Report,ItemSeqID,ItemSN,ItemID) VALUES('MAD',69,66,(SELECT ItemID FROM tbFinanceItem where ItemName = '(MAD)IL-QA Allocated Cost'))</v>
      </c>
      <c r="K70" s="3" t="str">
        <f t="shared" si="5"/>
        <v>INSERT INTO tbFinanceItem(ItemName) VALUES('(MAD)IL-QA Allocated Cost')</v>
      </c>
    </row>
    <row r="71" spans="1:11" s="3" customFormat="1">
      <c r="A71" s="3" t="s">
        <v>75</v>
      </c>
      <c r="B71" s="3" t="s">
        <v>998</v>
      </c>
      <c r="C71" s="3">
        <v>70</v>
      </c>
      <c r="E71">
        <v>67</v>
      </c>
      <c r="G71" s="3" t="str">
        <f>CONCATENATE("(SELECT ItemID FROM tbFinanceItem where ItemName = '",I71,"')")</f>
        <v>(SELECT ItemID FROM tbFinanceItem where ItemName = '(MAD)IL-PM Allocated Cost')</v>
      </c>
      <c r="H71" s="48"/>
      <c r="I71" s="3" t="s">
        <v>2688</v>
      </c>
      <c r="J71" s="3" t="str">
        <f t="shared" si="4"/>
        <v>INSERT INTO tbFinanceItemSeq(Report,ItemSeqID,ItemSN,ItemID) VALUES('MAD',70,67,(SELECT ItemID FROM tbFinanceItem where ItemName = '(MAD)IL-PM Allocated Cost'))</v>
      </c>
      <c r="K71" s="3" t="str">
        <f t="shared" si="5"/>
        <v>INSERT INTO tbFinanceItem(ItemName) VALUES('(MAD)IL-PM Allocated Cost')</v>
      </c>
    </row>
    <row r="72" spans="1:11">
      <c r="A72" t="s">
        <v>74</v>
      </c>
      <c r="B72" t="s">
        <v>998</v>
      </c>
      <c r="C72">
        <v>71</v>
      </c>
      <c r="D72">
        <v>68</v>
      </c>
      <c r="E72">
        <v>68</v>
      </c>
      <c r="F72">
        <v>65</v>
      </c>
      <c r="G72">
        <v>1208</v>
      </c>
      <c r="H72" s="53" t="s">
        <v>1352</v>
      </c>
      <c r="I72" t="s">
        <v>1066</v>
      </c>
      <c r="J72" t="str">
        <f t="shared" si="4"/>
        <v>INSERT INTO tbFinanceItemSeq(Report,ItemSeqID,ItemSN,ItemID) VALUES('MAD',71,68,1208)</v>
      </c>
      <c r="K72" t="str">
        <f t="shared" si="5"/>
        <v/>
      </c>
    </row>
    <row r="73" spans="1:11">
      <c r="A73" t="s">
        <v>74</v>
      </c>
      <c r="B73" t="s">
        <v>998</v>
      </c>
      <c r="C73">
        <v>72</v>
      </c>
      <c r="D73">
        <v>69</v>
      </c>
      <c r="E73">
        <v>69</v>
      </c>
      <c r="F73">
        <v>66</v>
      </c>
      <c r="G73">
        <v>1209</v>
      </c>
      <c r="H73" s="49" t="s">
        <v>1353</v>
      </c>
      <c r="I73" t="s">
        <v>1067</v>
      </c>
      <c r="J73" t="str">
        <f t="shared" si="4"/>
        <v>INSERT INTO tbFinanceItemSeq(Report,ItemSeqID,ItemSN,ItemID) VALUES('MAD',72,69,1209)</v>
      </c>
      <c r="K73" t="str">
        <f t="shared" si="5"/>
        <v/>
      </c>
    </row>
    <row r="74" spans="1:11">
      <c r="A74" t="s">
        <v>74</v>
      </c>
      <c r="B74" t="s">
        <v>998</v>
      </c>
      <c r="C74">
        <v>73</v>
      </c>
      <c r="D74">
        <v>70</v>
      </c>
      <c r="E74">
        <v>70</v>
      </c>
      <c r="F74">
        <v>67</v>
      </c>
      <c r="G74">
        <v>1210</v>
      </c>
      <c r="H74" s="49" t="s">
        <v>1354</v>
      </c>
      <c r="I74" t="s">
        <v>1068</v>
      </c>
      <c r="J74" t="str">
        <f t="shared" si="4"/>
        <v>INSERT INTO tbFinanceItemSeq(Report,ItemSeqID,ItemSN,ItemID) VALUES('MAD',73,70,1210)</v>
      </c>
      <c r="K74" t="str">
        <f t="shared" si="5"/>
        <v/>
      </c>
    </row>
    <row r="75" spans="1:11">
      <c r="A75" t="s">
        <v>74</v>
      </c>
      <c r="B75" t="s">
        <v>998</v>
      </c>
      <c r="C75">
        <v>74</v>
      </c>
      <c r="D75">
        <v>71</v>
      </c>
      <c r="E75">
        <v>71</v>
      </c>
      <c r="F75">
        <v>68</v>
      </c>
      <c r="G75">
        <v>1211</v>
      </c>
      <c r="H75" s="49" t="s">
        <v>1355</v>
      </c>
      <c r="I75" t="s">
        <v>1069</v>
      </c>
      <c r="J75" t="str">
        <f t="shared" si="4"/>
        <v>INSERT INTO tbFinanceItemSeq(Report,ItemSeqID,ItemSN,ItemID) VALUES('MAD',74,71,1211)</v>
      </c>
      <c r="K75" t="str">
        <f t="shared" si="5"/>
        <v/>
      </c>
    </row>
    <row r="76" spans="1:11">
      <c r="A76" t="s">
        <v>74</v>
      </c>
      <c r="B76" t="s">
        <v>998</v>
      </c>
      <c r="C76">
        <v>75</v>
      </c>
      <c r="D76">
        <v>72</v>
      </c>
      <c r="E76">
        <v>72</v>
      </c>
      <c r="F76">
        <v>69</v>
      </c>
      <c r="G76">
        <v>1212</v>
      </c>
      <c r="H76" s="49" t="s">
        <v>1356</v>
      </c>
      <c r="I76" t="s">
        <v>1070</v>
      </c>
      <c r="J76" t="str">
        <f t="shared" si="4"/>
        <v>INSERT INTO tbFinanceItemSeq(Report,ItemSeqID,ItemSN,ItemID) VALUES('MAD',75,72,1212)</v>
      </c>
      <c r="K76" t="str">
        <f t="shared" si="5"/>
        <v/>
      </c>
    </row>
    <row r="77" spans="1:11">
      <c r="A77" t="s">
        <v>74</v>
      </c>
      <c r="B77" t="s">
        <v>998</v>
      </c>
      <c r="C77">
        <v>76</v>
      </c>
      <c r="D77">
        <v>73</v>
      </c>
      <c r="E77">
        <v>73</v>
      </c>
      <c r="F77">
        <v>70</v>
      </c>
      <c r="G77">
        <v>1213</v>
      </c>
      <c r="H77" s="49" t="s">
        <v>1357</v>
      </c>
      <c r="I77" t="s">
        <v>1071</v>
      </c>
      <c r="J77" t="str">
        <f t="shared" si="4"/>
        <v>INSERT INTO tbFinanceItemSeq(Report,ItemSeqID,ItemSN,ItemID) VALUES('MAD',76,73,1213)</v>
      </c>
      <c r="K77" t="str">
        <f t="shared" si="5"/>
        <v/>
      </c>
    </row>
    <row r="78" spans="1:11">
      <c r="A78" t="s">
        <v>74</v>
      </c>
      <c r="B78" t="s">
        <v>998</v>
      </c>
      <c r="C78">
        <v>77</v>
      </c>
      <c r="D78">
        <v>74</v>
      </c>
      <c r="E78">
        <v>74</v>
      </c>
      <c r="F78">
        <v>71</v>
      </c>
      <c r="G78">
        <v>1214</v>
      </c>
      <c r="H78" s="49" t="s">
        <v>1358</v>
      </c>
      <c r="I78" t="s">
        <v>1072</v>
      </c>
      <c r="J78" t="str">
        <f t="shared" si="4"/>
        <v>INSERT INTO tbFinanceItemSeq(Report,ItemSeqID,ItemSN,ItemID) VALUES('MAD',77,74,1214)</v>
      </c>
      <c r="K78" t="str">
        <f t="shared" si="5"/>
        <v/>
      </c>
    </row>
    <row r="79" spans="1:11">
      <c r="A79" t="s">
        <v>74</v>
      </c>
      <c r="B79" t="s">
        <v>998</v>
      </c>
      <c r="C79">
        <v>78</v>
      </c>
      <c r="D79">
        <v>75</v>
      </c>
      <c r="E79">
        <v>75</v>
      </c>
      <c r="F79">
        <v>72</v>
      </c>
      <c r="G79">
        <v>1215</v>
      </c>
      <c r="H79" s="49" t="s">
        <v>1359</v>
      </c>
      <c r="I79" t="s">
        <v>1073</v>
      </c>
      <c r="J79" t="str">
        <f t="shared" si="4"/>
        <v>INSERT INTO tbFinanceItemSeq(Report,ItemSeqID,ItemSN,ItemID) VALUES('MAD',78,75,1215)</v>
      </c>
      <c r="K79" t="str">
        <f t="shared" si="5"/>
        <v/>
      </c>
    </row>
    <row r="80" spans="1:11">
      <c r="A80" t="s">
        <v>74</v>
      </c>
      <c r="B80" t="s">
        <v>998</v>
      </c>
      <c r="C80">
        <v>79</v>
      </c>
      <c r="D80">
        <v>76</v>
      </c>
      <c r="E80">
        <v>76</v>
      </c>
      <c r="F80">
        <v>73</v>
      </c>
      <c r="G80">
        <v>1216</v>
      </c>
      <c r="H80" s="49" t="s">
        <v>1360</v>
      </c>
      <c r="I80" t="s">
        <v>1074</v>
      </c>
      <c r="J80" t="str">
        <f t="shared" si="4"/>
        <v>INSERT INTO tbFinanceItemSeq(Report,ItemSeqID,ItemSN,ItemID) VALUES('MAD',79,76,1216)</v>
      </c>
      <c r="K80" t="str">
        <f t="shared" si="5"/>
        <v/>
      </c>
    </row>
    <row r="81" spans="1:11">
      <c r="A81" t="s">
        <v>74</v>
      </c>
      <c r="B81" t="s">
        <v>998</v>
      </c>
      <c r="C81">
        <v>80</v>
      </c>
      <c r="D81">
        <v>77</v>
      </c>
      <c r="E81">
        <v>77</v>
      </c>
      <c r="F81">
        <v>74</v>
      </c>
      <c r="G81">
        <v>1217</v>
      </c>
      <c r="H81" s="49" t="s">
        <v>1361</v>
      </c>
      <c r="I81" t="s">
        <v>1075</v>
      </c>
      <c r="J81" t="str">
        <f t="shared" si="4"/>
        <v>INSERT INTO tbFinanceItemSeq(Report,ItemSeqID,ItemSN,ItemID) VALUES('MAD',80,77,1217)</v>
      </c>
      <c r="K81" t="str">
        <f t="shared" si="5"/>
        <v/>
      </c>
    </row>
    <row r="82" spans="1:11">
      <c r="A82" t="s">
        <v>74</v>
      </c>
      <c r="B82" t="s">
        <v>998</v>
      </c>
      <c r="C82">
        <v>81</v>
      </c>
      <c r="D82">
        <v>78</v>
      </c>
      <c r="E82">
        <v>78</v>
      </c>
      <c r="F82">
        <v>75</v>
      </c>
      <c r="G82">
        <v>1218</v>
      </c>
      <c r="H82" s="49" t="s">
        <v>1362</v>
      </c>
      <c r="I82" t="s">
        <v>1076</v>
      </c>
      <c r="J82" t="str">
        <f t="shared" si="4"/>
        <v>INSERT INTO tbFinanceItemSeq(Report,ItemSeqID,ItemSN,ItemID) VALUES('MAD',81,78,1218)</v>
      </c>
      <c r="K82" t="str">
        <f t="shared" si="5"/>
        <v/>
      </c>
    </row>
    <row r="83" spans="1:11">
      <c r="A83" t="s">
        <v>74</v>
      </c>
      <c r="B83" t="s">
        <v>998</v>
      </c>
      <c r="C83">
        <v>82</v>
      </c>
      <c r="D83">
        <v>79</v>
      </c>
      <c r="E83">
        <v>79</v>
      </c>
      <c r="F83">
        <v>76</v>
      </c>
      <c r="G83">
        <v>1219</v>
      </c>
      <c r="H83" s="49" t="s">
        <v>1363</v>
      </c>
      <c r="I83" t="s">
        <v>1077</v>
      </c>
      <c r="J83" t="str">
        <f t="shared" si="4"/>
        <v>INSERT INTO tbFinanceItemSeq(Report,ItemSeqID,ItemSN,ItemID) VALUES('MAD',82,79,1219)</v>
      </c>
      <c r="K83" t="str">
        <f t="shared" si="5"/>
        <v/>
      </c>
    </row>
    <row r="84" spans="1:11">
      <c r="A84" t="s">
        <v>74</v>
      </c>
      <c r="B84" t="s">
        <v>998</v>
      </c>
      <c r="C84">
        <v>83</v>
      </c>
      <c r="D84">
        <v>80</v>
      </c>
      <c r="E84">
        <v>80</v>
      </c>
      <c r="F84">
        <v>77</v>
      </c>
      <c r="G84">
        <v>1220</v>
      </c>
      <c r="H84" s="49" t="s">
        <v>1364</v>
      </c>
      <c r="I84" t="s">
        <v>1078</v>
      </c>
      <c r="J84" t="str">
        <f t="shared" si="4"/>
        <v>INSERT INTO tbFinanceItemSeq(Report,ItemSeqID,ItemSN,ItemID) VALUES('MAD',83,80,1220)</v>
      </c>
      <c r="K84" t="str">
        <f t="shared" si="5"/>
        <v/>
      </c>
    </row>
    <row r="85" spans="1:11">
      <c r="A85" t="s">
        <v>74</v>
      </c>
      <c r="B85" t="s">
        <v>998</v>
      </c>
      <c r="C85">
        <v>84</v>
      </c>
      <c r="D85">
        <v>81</v>
      </c>
      <c r="E85">
        <v>81</v>
      </c>
      <c r="F85">
        <v>78</v>
      </c>
      <c r="G85">
        <v>1221</v>
      </c>
      <c r="H85" s="56" t="s">
        <v>1365</v>
      </c>
      <c r="I85" t="s">
        <v>1079</v>
      </c>
      <c r="J85" t="str">
        <f t="shared" si="4"/>
        <v>INSERT INTO tbFinanceItemSeq(Report,ItemSeqID,ItemSN,ItemID) VALUES('MAD',84,81,1221)</v>
      </c>
      <c r="K85" t="str">
        <f t="shared" si="5"/>
        <v/>
      </c>
    </row>
    <row r="86" spans="1:11">
      <c r="A86" t="s">
        <v>74</v>
      </c>
      <c r="B86" t="s">
        <v>998</v>
      </c>
      <c r="C86">
        <v>85</v>
      </c>
      <c r="D86">
        <v>82</v>
      </c>
      <c r="E86">
        <v>82</v>
      </c>
      <c r="F86">
        <v>79</v>
      </c>
      <c r="G86">
        <v>1222</v>
      </c>
      <c r="H86" s="49" t="s">
        <v>1366</v>
      </c>
      <c r="I86" t="s">
        <v>1080</v>
      </c>
      <c r="J86" t="str">
        <f t="shared" si="4"/>
        <v>INSERT INTO tbFinanceItemSeq(Report,ItemSeqID,ItemSN,ItemID) VALUES('MAD',85,82,1222)</v>
      </c>
      <c r="K86" t="str">
        <f t="shared" si="5"/>
        <v/>
      </c>
    </row>
    <row r="87" spans="1:11">
      <c r="A87" t="s">
        <v>74</v>
      </c>
      <c r="B87" t="s">
        <v>998</v>
      </c>
      <c r="C87">
        <v>86</v>
      </c>
      <c r="D87">
        <v>83</v>
      </c>
      <c r="E87">
        <v>83</v>
      </c>
      <c r="F87">
        <v>80</v>
      </c>
      <c r="G87">
        <v>1223</v>
      </c>
      <c r="H87" s="49" t="s">
        <v>1367</v>
      </c>
      <c r="I87" t="s">
        <v>1081</v>
      </c>
      <c r="J87" t="str">
        <f t="shared" si="4"/>
        <v>INSERT INTO tbFinanceItemSeq(Report,ItemSeqID,ItemSN,ItemID) VALUES('MAD',86,83,1223)</v>
      </c>
      <c r="K87" t="str">
        <f t="shared" si="5"/>
        <v/>
      </c>
    </row>
    <row r="88" spans="1:11">
      <c r="A88" t="s">
        <v>74</v>
      </c>
      <c r="B88" t="s">
        <v>998</v>
      </c>
      <c r="C88">
        <v>87</v>
      </c>
      <c r="D88">
        <v>84</v>
      </c>
      <c r="E88">
        <v>84</v>
      </c>
      <c r="F88">
        <v>81</v>
      </c>
      <c r="G88">
        <v>1224</v>
      </c>
      <c r="H88" s="49" t="s">
        <v>1368</v>
      </c>
      <c r="I88" t="s">
        <v>1082</v>
      </c>
      <c r="J88" t="str">
        <f t="shared" si="4"/>
        <v>INSERT INTO tbFinanceItemSeq(Report,ItemSeqID,ItemSN,ItemID) VALUES('MAD',87,84,1224)</v>
      </c>
      <c r="K88" t="str">
        <f t="shared" si="5"/>
        <v/>
      </c>
    </row>
    <row r="89" spans="1:11">
      <c r="A89" t="s">
        <v>74</v>
      </c>
      <c r="B89" t="s">
        <v>998</v>
      </c>
      <c r="C89">
        <v>88</v>
      </c>
      <c r="D89">
        <v>85</v>
      </c>
      <c r="E89">
        <v>85</v>
      </c>
      <c r="F89">
        <v>82</v>
      </c>
      <c r="G89">
        <v>1225</v>
      </c>
      <c r="H89" s="49" t="s">
        <v>1369</v>
      </c>
      <c r="I89" t="s">
        <v>1083</v>
      </c>
      <c r="J89" t="str">
        <f t="shared" si="4"/>
        <v>INSERT INTO tbFinanceItemSeq(Report,ItemSeqID,ItemSN,ItemID) VALUES('MAD',88,85,1225)</v>
      </c>
      <c r="K89" t="str">
        <f t="shared" si="5"/>
        <v/>
      </c>
    </row>
    <row r="90" spans="1:11">
      <c r="A90" t="s">
        <v>74</v>
      </c>
      <c r="B90" t="s">
        <v>998</v>
      </c>
      <c r="C90">
        <v>89</v>
      </c>
      <c r="D90">
        <v>86</v>
      </c>
      <c r="E90">
        <v>86</v>
      </c>
      <c r="F90">
        <v>83</v>
      </c>
      <c r="G90">
        <v>1226</v>
      </c>
      <c r="H90" s="49" t="s">
        <v>1370</v>
      </c>
      <c r="I90" t="s">
        <v>1084</v>
      </c>
      <c r="J90" t="str">
        <f t="shared" si="4"/>
        <v>INSERT INTO tbFinanceItemSeq(Report,ItemSeqID,ItemSN,ItemID) VALUES('MAD',89,86,1226)</v>
      </c>
      <c r="K90" t="str">
        <f t="shared" si="5"/>
        <v/>
      </c>
    </row>
    <row r="91" spans="1:11" s="3" customFormat="1">
      <c r="A91" s="3" t="s">
        <v>75</v>
      </c>
      <c r="B91" s="3" t="s">
        <v>998</v>
      </c>
      <c r="C91" s="3">
        <v>90</v>
      </c>
      <c r="E91">
        <v>87</v>
      </c>
      <c r="G91" s="3" t="str">
        <f>CONCATENATE("(SELECT ItemID FROM tbFinanceItem where ItemName = '",I91,"')")</f>
        <v>(SELECT ItemID FROM tbFinanceItem where ItemName = '(MAD)VO-QA Allocated Cost')</v>
      </c>
      <c r="H91" s="49"/>
      <c r="I91" s="3" t="s">
        <v>2689</v>
      </c>
      <c r="J91" s="3" t="str">
        <f t="shared" si="4"/>
        <v>INSERT INTO tbFinanceItemSeq(Report,ItemSeqID,ItemSN,ItemID) VALUES('MAD',90,87,(SELECT ItemID FROM tbFinanceItem where ItemName = '(MAD)VO-QA Allocated Cost'))</v>
      </c>
      <c r="K91" s="3" t="str">
        <f t="shared" si="5"/>
        <v>INSERT INTO tbFinanceItem(ItemName) VALUES('(MAD)VO-QA Allocated Cost')</v>
      </c>
    </row>
    <row r="92" spans="1:11" s="3" customFormat="1">
      <c r="A92" s="3" t="s">
        <v>75</v>
      </c>
      <c r="B92" s="3" t="s">
        <v>998</v>
      </c>
      <c r="C92" s="3">
        <v>91</v>
      </c>
      <c r="E92">
        <v>88</v>
      </c>
      <c r="G92" s="3" t="str">
        <f>CONCATENATE("(SELECT ItemID FROM tbFinanceItem where ItemName = '",I92,"')")</f>
        <v>(SELECT ItemID FROM tbFinanceItem where ItemName = '(MAD)VO-PM Allocated Cost')</v>
      </c>
      <c r="H92" s="49"/>
      <c r="I92" s="3" t="s">
        <v>2690</v>
      </c>
      <c r="J92" s="3" t="str">
        <f t="shared" si="4"/>
        <v>INSERT INTO tbFinanceItemSeq(Report,ItemSeqID,ItemSN,ItemID) VALUES('MAD',91,88,(SELECT ItemID FROM tbFinanceItem where ItemName = '(MAD)VO-PM Allocated Cost'))</v>
      </c>
      <c r="K92" s="3" t="str">
        <f t="shared" si="5"/>
        <v>INSERT INTO tbFinanceItem(ItemName) VALUES('(MAD)VO-PM Allocated Cost')</v>
      </c>
    </row>
    <row r="93" spans="1:11" s="3" customFormat="1">
      <c r="A93" s="3" t="s">
        <v>75</v>
      </c>
      <c r="B93" s="3" t="s">
        <v>998</v>
      </c>
      <c r="C93" s="3">
        <v>92</v>
      </c>
      <c r="E93">
        <v>89</v>
      </c>
      <c r="G93" s="3" t="str">
        <f>CONCATENATE("(SELECT ItemID FROM tbFinanceItem where ItemName = '",I93,"')")</f>
        <v>(SELECT ItemID FROM tbFinanceItem where ItemName = '(MAD)Other Variable Overhead')</v>
      </c>
      <c r="H93" s="50" t="s">
        <v>1371</v>
      </c>
      <c r="I93" s="3" t="s">
        <v>1278</v>
      </c>
      <c r="J93" s="3" t="str">
        <f t="shared" si="4"/>
        <v>INSERT INTO tbFinanceItemSeq(Report,ItemSeqID,ItemSN,ItemID) VALUES('MAD',92,89,(SELECT ItemID FROM tbFinanceItem where ItemName = '(MAD)Other Variable Overhead'))</v>
      </c>
      <c r="K93" s="3" t="str">
        <f t="shared" si="5"/>
        <v>INSERT INTO tbFinanceItem(ItemName) VALUES('(MAD)Other Variable Overhead')</v>
      </c>
    </row>
    <row r="94" spans="1:11">
      <c r="A94" t="s">
        <v>74</v>
      </c>
      <c r="B94" t="s">
        <v>998</v>
      </c>
      <c r="C94">
        <v>93</v>
      </c>
      <c r="D94">
        <v>87</v>
      </c>
      <c r="E94">
        <v>90</v>
      </c>
      <c r="F94">
        <v>84</v>
      </c>
      <c r="G94">
        <v>1227</v>
      </c>
      <c r="H94" s="50" t="s">
        <v>1372</v>
      </c>
      <c r="I94" t="s">
        <v>1085</v>
      </c>
      <c r="J94" t="str">
        <f t="shared" si="4"/>
        <v>INSERT INTO tbFinanceItemSeq(Report,ItemSeqID,ItemSN,ItemID) VALUES('MAD',93,90,1227)</v>
      </c>
      <c r="K94" t="str">
        <f t="shared" si="5"/>
        <v/>
      </c>
    </row>
    <row r="95" spans="1:11">
      <c r="A95" t="s">
        <v>74</v>
      </c>
      <c r="B95" t="s">
        <v>998</v>
      </c>
      <c r="C95">
        <v>94</v>
      </c>
      <c r="D95">
        <v>88</v>
      </c>
      <c r="E95">
        <v>91</v>
      </c>
      <c r="F95">
        <v>85</v>
      </c>
      <c r="G95">
        <v>1228</v>
      </c>
      <c r="H95" s="48" t="s">
        <v>1373</v>
      </c>
      <c r="I95" t="s">
        <v>1086</v>
      </c>
      <c r="J95" t="str">
        <f t="shared" si="4"/>
        <v>INSERT INTO tbFinanceItemSeq(Report,ItemSeqID,ItemSN,ItemID) VALUES('MAD',94,91,1228)</v>
      </c>
      <c r="K95" t="str">
        <f t="shared" si="5"/>
        <v/>
      </c>
    </row>
    <row r="96" spans="1:11">
      <c r="A96" t="s">
        <v>74</v>
      </c>
      <c r="B96" t="s">
        <v>998</v>
      </c>
      <c r="C96">
        <v>95</v>
      </c>
      <c r="D96">
        <v>89</v>
      </c>
      <c r="E96">
        <v>92</v>
      </c>
      <c r="F96">
        <v>86</v>
      </c>
      <c r="G96">
        <v>1229</v>
      </c>
      <c r="H96" s="48" t="s">
        <v>1374</v>
      </c>
      <c r="I96" t="s">
        <v>1087</v>
      </c>
      <c r="J96" t="str">
        <f t="shared" si="4"/>
        <v>INSERT INTO tbFinanceItemSeq(Report,ItemSeqID,ItemSN,ItemID) VALUES('MAD',95,92,1229)</v>
      </c>
      <c r="K96" t="str">
        <f t="shared" si="5"/>
        <v/>
      </c>
    </row>
    <row r="97" spans="1:11">
      <c r="A97" t="s">
        <v>74</v>
      </c>
      <c r="B97" t="s">
        <v>998</v>
      </c>
      <c r="C97">
        <v>96</v>
      </c>
      <c r="D97">
        <v>90</v>
      </c>
      <c r="E97">
        <v>93</v>
      </c>
      <c r="F97">
        <v>87</v>
      </c>
      <c r="G97">
        <v>1230</v>
      </c>
      <c r="H97" s="48" t="s">
        <v>1375</v>
      </c>
      <c r="I97" t="s">
        <v>1088</v>
      </c>
      <c r="J97" t="str">
        <f t="shared" si="4"/>
        <v>INSERT INTO tbFinanceItemSeq(Report,ItemSeqID,ItemSN,ItemID) VALUES('MAD',96,93,1230)</v>
      </c>
      <c r="K97" t="str">
        <f t="shared" si="5"/>
        <v/>
      </c>
    </row>
    <row r="98" spans="1:11">
      <c r="A98" t="s">
        <v>74</v>
      </c>
      <c r="B98" t="s">
        <v>998</v>
      </c>
      <c r="C98">
        <v>97</v>
      </c>
      <c r="D98">
        <v>91</v>
      </c>
      <c r="E98">
        <v>94</v>
      </c>
      <c r="F98">
        <v>88</v>
      </c>
      <c r="G98">
        <v>1231</v>
      </c>
      <c r="H98" s="48" t="s">
        <v>1376</v>
      </c>
      <c r="I98" t="s">
        <v>1089</v>
      </c>
      <c r="J98" t="str">
        <f t="shared" ref="J98:J129" si="6">IF(A98&lt;&gt;"Remove",CONCATENATE("INSERT INTO tbFinanceItemSeq(Report,ItemSeqID,ItemSN,ItemID) VALUES('",B98,"',",C98,",",E98,",",G98,")")," ")</f>
        <v>INSERT INTO tbFinanceItemSeq(Report,ItemSeqID,ItemSN,ItemID) VALUES('MAD',97,94,1231)</v>
      </c>
      <c r="K98" t="str">
        <f t="shared" ref="K98:K129" si="7">IF(A98&lt;&gt;"New","",CONCATENATE("INSERT INTO tbFinanceItem(ItemName) VALUES('",I98,"')"))</f>
        <v/>
      </c>
    </row>
    <row r="99" spans="1:11">
      <c r="A99" t="s">
        <v>74</v>
      </c>
      <c r="B99" t="s">
        <v>998</v>
      </c>
      <c r="C99">
        <v>98</v>
      </c>
      <c r="D99">
        <v>92</v>
      </c>
      <c r="E99">
        <v>95</v>
      </c>
      <c r="F99">
        <v>89</v>
      </c>
      <c r="G99">
        <v>1232</v>
      </c>
      <c r="H99" s="48" t="s">
        <v>1377</v>
      </c>
      <c r="I99" t="s">
        <v>1090</v>
      </c>
      <c r="J99" t="str">
        <f t="shared" si="6"/>
        <v>INSERT INTO tbFinanceItemSeq(Report,ItemSeqID,ItemSN,ItemID) VALUES('MAD',98,95,1232)</v>
      </c>
      <c r="K99" t="str">
        <f t="shared" si="7"/>
        <v/>
      </c>
    </row>
    <row r="100" spans="1:11" s="3" customFormat="1">
      <c r="A100" s="3" t="s">
        <v>75</v>
      </c>
      <c r="B100" s="3" t="s">
        <v>998</v>
      </c>
      <c r="C100" s="3">
        <v>99</v>
      </c>
      <c r="E100">
        <v>96</v>
      </c>
      <c r="G100" s="3" t="str">
        <f>CONCATENATE("(SELECT ItemID FROM tbFinanceItem where ItemName = '",I100,"')")</f>
        <v>(SELECT ItemID FROM tbFinanceItem where ItemName = '(MAD)R&amp;M-Factory')</v>
      </c>
      <c r="H100" s="48" t="s">
        <v>1378</v>
      </c>
      <c r="I100" s="3" t="s">
        <v>1279</v>
      </c>
      <c r="J100" s="3" t="str">
        <f t="shared" si="6"/>
        <v>INSERT INTO tbFinanceItemSeq(Report,ItemSeqID,ItemSN,ItemID) VALUES('MAD',99,96,(SELECT ItemID FROM tbFinanceItem where ItemName = '(MAD)R&amp;M-Factory'))</v>
      </c>
      <c r="K100" s="3" t="str">
        <f t="shared" si="7"/>
        <v>INSERT INTO tbFinanceItem(ItemName) VALUES('(MAD)R&amp;M-Factory')</v>
      </c>
    </row>
    <row r="101" spans="1:11">
      <c r="A101" t="s">
        <v>74</v>
      </c>
      <c r="B101" t="s">
        <v>998</v>
      </c>
      <c r="C101">
        <v>100</v>
      </c>
      <c r="D101">
        <v>93</v>
      </c>
      <c r="E101">
        <v>97</v>
      </c>
      <c r="F101">
        <v>90</v>
      </c>
      <c r="G101">
        <v>1233</v>
      </c>
      <c r="H101" s="58" t="s">
        <v>1379</v>
      </c>
      <c r="I101" t="s">
        <v>1091</v>
      </c>
      <c r="J101" t="str">
        <f t="shared" si="6"/>
        <v>INSERT INTO tbFinanceItemSeq(Report,ItemSeqID,ItemSN,ItemID) VALUES('MAD',100,97,1233)</v>
      </c>
      <c r="K101" t="str">
        <f t="shared" si="7"/>
        <v/>
      </c>
    </row>
    <row r="102" spans="1:11">
      <c r="A102" t="s">
        <v>74</v>
      </c>
      <c r="B102" t="s">
        <v>998</v>
      </c>
      <c r="C102">
        <v>101</v>
      </c>
      <c r="D102">
        <v>94</v>
      </c>
      <c r="E102">
        <v>98</v>
      </c>
      <c r="F102">
        <v>91</v>
      </c>
      <c r="G102">
        <v>1234</v>
      </c>
      <c r="H102" s="58" t="s">
        <v>1380</v>
      </c>
      <c r="I102" t="s">
        <v>1092</v>
      </c>
      <c r="J102" t="str">
        <f t="shared" si="6"/>
        <v>INSERT INTO tbFinanceItemSeq(Report,ItemSeqID,ItemSN,ItemID) VALUES('MAD',101,98,1234)</v>
      </c>
      <c r="K102" t="str">
        <f t="shared" si="7"/>
        <v/>
      </c>
    </row>
    <row r="103" spans="1:11">
      <c r="A103" t="s">
        <v>74</v>
      </c>
      <c r="B103" t="s">
        <v>998</v>
      </c>
      <c r="C103">
        <v>102</v>
      </c>
      <c r="D103">
        <v>95</v>
      </c>
      <c r="E103">
        <v>99</v>
      </c>
      <c r="F103">
        <v>92</v>
      </c>
      <c r="G103">
        <v>1235</v>
      </c>
      <c r="H103" s="58" t="s">
        <v>1381</v>
      </c>
      <c r="I103" t="s">
        <v>1093</v>
      </c>
      <c r="J103" t="str">
        <f t="shared" si="6"/>
        <v>INSERT INTO tbFinanceItemSeq(Report,ItemSeqID,ItemSN,ItemID) VALUES('MAD',102,99,1235)</v>
      </c>
      <c r="K103" t="str">
        <f t="shared" si="7"/>
        <v/>
      </c>
    </row>
    <row r="104" spans="1:11">
      <c r="A104" t="s">
        <v>74</v>
      </c>
      <c r="B104" t="s">
        <v>998</v>
      </c>
      <c r="C104">
        <v>103</v>
      </c>
      <c r="D104">
        <v>96</v>
      </c>
      <c r="E104">
        <v>100</v>
      </c>
      <c r="F104">
        <v>93</v>
      </c>
      <c r="G104">
        <v>1236</v>
      </c>
      <c r="H104" s="58" t="s">
        <v>1382</v>
      </c>
      <c r="I104" t="s">
        <v>1094</v>
      </c>
      <c r="J104" t="str">
        <f t="shared" si="6"/>
        <v>INSERT INTO tbFinanceItemSeq(Report,ItemSeqID,ItemSN,ItemID) VALUES('MAD',103,100,1236)</v>
      </c>
      <c r="K104" t="str">
        <f t="shared" si="7"/>
        <v/>
      </c>
    </row>
    <row r="105" spans="1:11">
      <c r="A105" t="s">
        <v>74</v>
      </c>
      <c r="B105" t="s">
        <v>998</v>
      </c>
      <c r="C105">
        <v>104</v>
      </c>
      <c r="D105">
        <v>97</v>
      </c>
      <c r="E105">
        <v>101</v>
      </c>
      <c r="F105">
        <v>94</v>
      </c>
      <c r="G105">
        <v>1237</v>
      </c>
      <c r="H105" s="58" t="s">
        <v>1383</v>
      </c>
      <c r="I105" t="s">
        <v>1095</v>
      </c>
      <c r="J105" t="str">
        <f t="shared" si="6"/>
        <v>INSERT INTO tbFinanceItemSeq(Report,ItemSeqID,ItemSN,ItemID) VALUES('MAD',104,101,1237)</v>
      </c>
      <c r="K105" t="str">
        <f t="shared" si="7"/>
        <v/>
      </c>
    </row>
    <row r="106" spans="1:11">
      <c r="A106" t="s">
        <v>74</v>
      </c>
      <c r="B106" t="s">
        <v>998</v>
      </c>
      <c r="C106">
        <v>105</v>
      </c>
      <c r="D106">
        <v>98</v>
      </c>
      <c r="E106">
        <v>102</v>
      </c>
      <c r="F106">
        <v>95</v>
      </c>
      <c r="G106">
        <v>1238</v>
      </c>
      <c r="H106" s="58" t="s">
        <v>1384</v>
      </c>
      <c r="I106" t="s">
        <v>1096</v>
      </c>
      <c r="J106" t="str">
        <f t="shared" si="6"/>
        <v>INSERT INTO tbFinanceItemSeq(Report,ItemSeqID,ItemSN,ItemID) VALUES('MAD',105,102,1238)</v>
      </c>
      <c r="K106" t="str">
        <f t="shared" si="7"/>
        <v/>
      </c>
    </row>
    <row r="107" spans="1:11">
      <c r="A107" t="s">
        <v>74</v>
      </c>
      <c r="B107" t="s">
        <v>998</v>
      </c>
      <c r="C107">
        <v>106</v>
      </c>
      <c r="D107">
        <v>99</v>
      </c>
      <c r="E107">
        <v>103</v>
      </c>
      <c r="F107">
        <v>96</v>
      </c>
      <c r="G107">
        <v>1239</v>
      </c>
      <c r="H107" s="58" t="s">
        <v>1385</v>
      </c>
      <c r="I107" t="s">
        <v>1097</v>
      </c>
      <c r="J107" t="str">
        <f t="shared" si="6"/>
        <v>INSERT INTO tbFinanceItemSeq(Report,ItemSeqID,ItemSN,ItemID) VALUES('MAD',106,103,1239)</v>
      </c>
      <c r="K107" t="str">
        <f t="shared" si="7"/>
        <v/>
      </c>
    </row>
    <row r="108" spans="1:11">
      <c r="A108" t="s">
        <v>74</v>
      </c>
      <c r="B108" t="s">
        <v>998</v>
      </c>
      <c r="C108">
        <v>107</v>
      </c>
      <c r="D108">
        <v>100</v>
      </c>
      <c r="E108">
        <v>104</v>
      </c>
      <c r="F108">
        <v>97</v>
      </c>
      <c r="G108">
        <v>1240</v>
      </c>
      <c r="H108" s="58" t="s">
        <v>1386</v>
      </c>
      <c r="I108" t="s">
        <v>1098</v>
      </c>
      <c r="J108" t="str">
        <f t="shared" si="6"/>
        <v>INSERT INTO tbFinanceItemSeq(Report,ItemSeqID,ItemSN,ItemID) VALUES('MAD',107,104,1240)</v>
      </c>
      <c r="K108" t="str">
        <f t="shared" si="7"/>
        <v/>
      </c>
    </row>
    <row r="109" spans="1:11">
      <c r="A109" t="s">
        <v>74</v>
      </c>
      <c r="B109" t="s">
        <v>998</v>
      </c>
      <c r="C109">
        <v>108</v>
      </c>
      <c r="D109">
        <v>101</v>
      </c>
      <c r="E109">
        <v>105</v>
      </c>
      <c r="F109">
        <v>98</v>
      </c>
      <c r="G109">
        <v>1241</v>
      </c>
      <c r="H109" s="58" t="s">
        <v>1387</v>
      </c>
      <c r="I109" t="s">
        <v>1099</v>
      </c>
      <c r="J109" t="str">
        <f t="shared" si="6"/>
        <v>INSERT INTO tbFinanceItemSeq(Report,ItemSeqID,ItemSN,ItemID) VALUES('MAD',108,105,1241)</v>
      </c>
      <c r="K109" t="str">
        <f t="shared" si="7"/>
        <v/>
      </c>
    </row>
    <row r="110" spans="1:11">
      <c r="A110" t="s">
        <v>74</v>
      </c>
      <c r="B110" t="s">
        <v>998</v>
      </c>
      <c r="C110">
        <v>109</v>
      </c>
      <c r="D110">
        <v>102</v>
      </c>
      <c r="E110">
        <v>106</v>
      </c>
      <c r="F110">
        <v>99</v>
      </c>
      <c r="G110">
        <v>1242</v>
      </c>
      <c r="H110" s="58" t="s">
        <v>1388</v>
      </c>
      <c r="I110" t="s">
        <v>1100</v>
      </c>
      <c r="J110" t="str">
        <f t="shared" si="6"/>
        <v>INSERT INTO tbFinanceItemSeq(Report,ItemSeqID,ItemSN,ItemID) VALUES('MAD',109,106,1242)</v>
      </c>
      <c r="K110" t="str">
        <f t="shared" si="7"/>
        <v/>
      </c>
    </row>
    <row r="111" spans="1:11">
      <c r="A111" t="s">
        <v>74</v>
      </c>
      <c r="B111" t="s">
        <v>998</v>
      </c>
      <c r="C111">
        <v>110</v>
      </c>
      <c r="D111">
        <v>103</v>
      </c>
      <c r="E111">
        <v>107</v>
      </c>
      <c r="F111">
        <v>100</v>
      </c>
      <c r="G111">
        <v>1243</v>
      </c>
      <c r="H111" s="58" t="s">
        <v>1389</v>
      </c>
      <c r="I111" t="s">
        <v>1101</v>
      </c>
      <c r="J111" t="str">
        <f t="shared" si="6"/>
        <v>INSERT INTO tbFinanceItemSeq(Report,ItemSeqID,ItemSN,ItemID) VALUES('MAD',110,107,1243)</v>
      </c>
      <c r="K111" t="str">
        <f t="shared" si="7"/>
        <v/>
      </c>
    </row>
    <row r="112" spans="1:11">
      <c r="A112" t="s">
        <v>74</v>
      </c>
      <c r="B112" t="s">
        <v>998</v>
      </c>
      <c r="C112">
        <v>111</v>
      </c>
      <c r="D112">
        <v>104</v>
      </c>
      <c r="E112">
        <v>108</v>
      </c>
      <c r="F112">
        <v>101</v>
      </c>
      <c r="G112">
        <v>1244</v>
      </c>
      <c r="H112" s="58" t="s">
        <v>1390</v>
      </c>
      <c r="I112" t="s">
        <v>1102</v>
      </c>
      <c r="J112" t="str">
        <f t="shared" si="6"/>
        <v>INSERT INTO tbFinanceItemSeq(Report,ItemSeqID,ItemSN,ItemID) VALUES('MAD',111,108,1244)</v>
      </c>
      <c r="K112" t="str">
        <f t="shared" si="7"/>
        <v/>
      </c>
    </row>
    <row r="113" spans="1:11">
      <c r="A113" t="s">
        <v>74</v>
      </c>
      <c r="B113" t="s">
        <v>998</v>
      </c>
      <c r="C113">
        <v>112</v>
      </c>
      <c r="D113">
        <v>105</v>
      </c>
      <c r="E113">
        <v>109</v>
      </c>
      <c r="F113">
        <v>102</v>
      </c>
      <c r="G113">
        <v>1245</v>
      </c>
      <c r="H113" s="58" t="s">
        <v>1391</v>
      </c>
      <c r="I113" t="s">
        <v>1103</v>
      </c>
      <c r="J113" t="str">
        <f t="shared" si="6"/>
        <v>INSERT INTO tbFinanceItemSeq(Report,ItemSeqID,ItemSN,ItemID) VALUES('MAD',112,109,1245)</v>
      </c>
      <c r="K113" t="str">
        <f t="shared" si="7"/>
        <v/>
      </c>
    </row>
    <row r="114" spans="1:11" s="3" customFormat="1">
      <c r="A114" s="3" t="s">
        <v>75</v>
      </c>
      <c r="B114" s="3" t="s">
        <v>998</v>
      </c>
      <c r="C114" s="3">
        <v>113</v>
      </c>
      <c r="E114">
        <v>110</v>
      </c>
      <c r="G114" s="3" t="str">
        <f>CONCATENATE("(SELECT ItemID FROM tbFinanceItem where ItemName = '",I114,"')")</f>
        <v>(SELECT ItemID FROM tbFinanceItem where ItemName = '(MAD)Upkeep-Plant')</v>
      </c>
      <c r="H114" s="58">
        <v>6614</v>
      </c>
      <c r="I114" s="3" t="s">
        <v>1280</v>
      </c>
      <c r="J114" s="3" t="str">
        <f t="shared" si="6"/>
        <v>INSERT INTO tbFinanceItemSeq(Report,ItemSeqID,ItemSN,ItemID) VALUES('MAD',113,110,(SELECT ItemID FROM tbFinanceItem where ItemName = '(MAD)Upkeep-Plant'))</v>
      </c>
      <c r="K114" s="3" t="str">
        <f t="shared" si="7"/>
        <v>INSERT INTO tbFinanceItem(ItemName) VALUES('(MAD)Upkeep-Plant')</v>
      </c>
    </row>
    <row r="115" spans="1:11" s="3" customFormat="1">
      <c r="A115" s="3" t="s">
        <v>75</v>
      </c>
      <c r="B115" s="3" t="s">
        <v>998</v>
      </c>
      <c r="C115" s="3">
        <v>114</v>
      </c>
      <c r="E115">
        <v>111</v>
      </c>
      <c r="G115" s="3" t="str">
        <f t="shared" ref="G115:G120" si="8">CONCATENATE("(SELECT ItemID FROM tbFinanceItem where ItemName = '",I115,"')")</f>
        <v>(SELECT ItemID FROM tbFinanceItem where ItemName = '(MAD)Upkeep-Machinery')</v>
      </c>
      <c r="H115" s="58">
        <v>6615</v>
      </c>
      <c r="I115" s="3" t="s">
        <v>1281</v>
      </c>
      <c r="J115" s="3" t="str">
        <f t="shared" si="6"/>
        <v>INSERT INTO tbFinanceItemSeq(Report,ItemSeqID,ItemSN,ItemID) VALUES('MAD',114,111,(SELECT ItemID FROM tbFinanceItem where ItemName = '(MAD)Upkeep-Machinery'))</v>
      </c>
      <c r="K115" s="3" t="str">
        <f t="shared" si="7"/>
        <v>INSERT INTO tbFinanceItem(ItemName) VALUES('(MAD)Upkeep-Machinery')</v>
      </c>
    </row>
    <row r="116" spans="1:11" s="3" customFormat="1">
      <c r="A116" s="3" t="s">
        <v>75</v>
      </c>
      <c r="B116" s="3" t="s">
        <v>998</v>
      </c>
      <c r="C116" s="3">
        <v>115</v>
      </c>
      <c r="E116">
        <v>112</v>
      </c>
      <c r="G116" s="3" t="str">
        <f t="shared" si="8"/>
        <v>(SELECT ItemID FROM tbFinanceItem where ItemName = '(MAD)Upkeep-Equipment')</v>
      </c>
      <c r="H116" s="58">
        <v>6616</v>
      </c>
      <c r="I116" s="3" t="s">
        <v>1282</v>
      </c>
      <c r="J116" s="3" t="str">
        <f t="shared" si="6"/>
        <v>INSERT INTO tbFinanceItemSeq(Report,ItemSeqID,ItemSN,ItemID) VALUES('MAD',115,112,(SELECT ItemID FROM tbFinanceItem where ItemName = '(MAD)Upkeep-Equipment'))</v>
      </c>
      <c r="K116" s="3" t="str">
        <f t="shared" si="7"/>
        <v>INSERT INTO tbFinanceItem(ItemName) VALUES('(MAD)Upkeep-Equipment')</v>
      </c>
    </row>
    <row r="117" spans="1:11" s="3" customFormat="1">
      <c r="A117" s="3" t="s">
        <v>75</v>
      </c>
      <c r="B117" s="3" t="s">
        <v>998</v>
      </c>
      <c r="C117" s="3">
        <v>116</v>
      </c>
      <c r="E117">
        <v>113</v>
      </c>
      <c r="G117" s="3" t="str">
        <f t="shared" si="8"/>
        <v>(SELECT ItemID FROM tbFinanceItem where ItemName = '(MAD)Upkeep-Racks &amp; Cylinders')</v>
      </c>
      <c r="H117" s="58">
        <v>6617</v>
      </c>
      <c r="I117" s="3" t="s">
        <v>1283</v>
      </c>
      <c r="J117" s="3" t="str">
        <f t="shared" si="6"/>
        <v>INSERT INTO tbFinanceItemSeq(Report,ItemSeqID,ItemSN,ItemID) VALUES('MAD',116,113,(SELECT ItemID FROM tbFinanceItem where ItemName = '(MAD)Upkeep-Racks &amp; Cylinders'))</v>
      </c>
      <c r="K117" s="3" t="str">
        <f t="shared" si="7"/>
        <v>INSERT INTO tbFinanceItem(ItemName) VALUES('(MAD)Upkeep-Racks &amp; Cylinders')</v>
      </c>
    </row>
    <row r="118" spans="1:11" s="3" customFormat="1">
      <c r="A118" s="3" t="s">
        <v>75</v>
      </c>
      <c r="B118" s="3" t="s">
        <v>998</v>
      </c>
      <c r="C118" s="3">
        <v>117</v>
      </c>
      <c r="E118">
        <v>114</v>
      </c>
      <c r="G118" s="3" t="str">
        <f>CONCATENATE("(SELECT ItemID FROM tbFinanceItem where ItemName = '",I118,"')")</f>
        <v>(SELECT ItemID FROM tbFinanceItem where ItemName = '(MAD)Upkeep-Furniture &amp; Fitting')</v>
      </c>
      <c r="H118" s="58">
        <v>6618</v>
      </c>
      <c r="I118" s="3" t="s">
        <v>1284</v>
      </c>
      <c r="J118" s="3" t="str">
        <f t="shared" si="6"/>
        <v>INSERT INTO tbFinanceItemSeq(Report,ItemSeqID,ItemSN,ItemID) VALUES('MAD',117,114,(SELECT ItemID FROM tbFinanceItem where ItemName = '(MAD)Upkeep-Furniture &amp; Fitting'))</v>
      </c>
      <c r="K118" s="3" t="str">
        <f t="shared" si="7"/>
        <v>INSERT INTO tbFinanceItem(ItemName) VALUES('(MAD)Upkeep-Furniture &amp; Fitting')</v>
      </c>
    </row>
    <row r="119" spans="1:11" s="3" customFormat="1">
      <c r="A119" s="3" t="s">
        <v>75</v>
      </c>
      <c r="B119" s="3" t="s">
        <v>998</v>
      </c>
      <c r="C119" s="3">
        <v>118</v>
      </c>
      <c r="E119">
        <v>115</v>
      </c>
      <c r="G119" s="3" t="str">
        <f t="shared" si="8"/>
        <v>(SELECT ItemID FROM tbFinanceItem where ItemName = '(MAD)Upkeep-Office Equip')</v>
      </c>
      <c r="H119" s="58">
        <v>6619</v>
      </c>
      <c r="I119" s="3" t="s">
        <v>1285</v>
      </c>
      <c r="J119" s="3" t="str">
        <f t="shared" si="6"/>
        <v>INSERT INTO tbFinanceItemSeq(Report,ItemSeqID,ItemSN,ItemID) VALUES('MAD',118,115,(SELECT ItemID FROM tbFinanceItem where ItemName = '(MAD)Upkeep-Office Equip'))</v>
      </c>
      <c r="K119" s="3" t="str">
        <f t="shared" si="7"/>
        <v>INSERT INTO tbFinanceItem(ItemName) VALUES('(MAD)Upkeep-Office Equip')</v>
      </c>
    </row>
    <row r="120" spans="1:11" s="3" customFormat="1">
      <c r="A120" s="3" t="s">
        <v>75</v>
      </c>
      <c r="B120" s="3" t="s">
        <v>998</v>
      </c>
      <c r="C120" s="3">
        <v>119</v>
      </c>
      <c r="E120">
        <v>116</v>
      </c>
      <c r="G120" s="3" t="str">
        <f t="shared" si="8"/>
        <v>(SELECT ItemID FROM tbFinanceItem where ItemName = '(MAD)Upkeep-Computers')</v>
      </c>
      <c r="H120" s="58" t="s">
        <v>1392</v>
      </c>
      <c r="I120" s="3" t="s">
        <v>1286</v>
      </c>
      <c r="J120" s="3" t="str">
        <f t="shared" si="6"/>
        <v>INSERT INTO tbFinanceItemSeq(Report,ItemSeqID,ItemSN,ItemID) VALUES('MAD',119,116,(SELECT ItemID FROM tbFinanceItem where ItemName = '(MAD)Upkeep-Computers'))</v>
      </c>
      <c r="K120" s="3" t="str">
        <f t="shared" si="7"/>
        <v>INSERT INTO tbFinanceItem(ItemName) VALUES('(MAD)Upkeep-Computers')</v>
      </c>
    </row>
    <row r="121" spans="1:11">
      <c r="A121" t="s">
        <v>74</v>
      </c>
      <c r="B121" t="s">
        <v>998</v>
      </c>
      <c r="C121">
        <v>120</v>
      </c>
      <c r="D121">
        <v>106</v>
      </c>
      <c r="E121">
        <v>117</v>
      </c>
      <c r="F121">
        <v>103</v>
      </c>
      <c r="G121">
        <v>1246</v>
      </c>
      <c r="H121" s="59" t="s">
        <v>1393</v>
      </c>
      <c r="I121" t="s">
        <v>1104</v>
      </c>
      <c r="J121" t="str">
        <f t="shared" si="6"/>
        <v>INSERT INTO tbFinanceItemSeq(Report,ItemSeqID,ItemSN,ItemID) VALUES('MAD',120,117,1246)</v>
      </c>
      <c r="K121" t="str">
        <f t="shared" si="7"/>
        <v/>
      </c>
    </row>
    <row r="122" spans="1:11">
      <c r="A122" t="s">
        <v>74</v>
      </c>
      <c r="B122" t="s">
        <v>998</v>
      </c>
      <c r="C122">
        <v>121</v>
      </c>
      <c r="D122">
        <v>107</v>
      </c>
      <c r="E122">
        <v>118</v>
      </c>
      <c r="F122">
        <v>104</v>
      </c>
      <c r="G122">
        <v>1247</v>
      </c>
      <c r="H122" s="59" t="s">
        <v>1394</v>
      </c>
      <c r="I122" t="s">
        <v>1105</v>
      </c>
      <c r="J122" t="str">
        <f t="shared" si="6"/>
        <v>INSERT INTO tbFinanceItemSeq(Report,ItemSeqID,ItemSN,ItemID) VALUES('MAD',121,118,1247)</v>
      </c>
      <c r="K122" t="str">
        <f t="shared" si="7"/>
        <v/>
      </c>
    </row>
    <row r="123" spans="1:11">
      <c r="A123" t="s">
        <v>74</v>
      </c>
      <c r="B123" t="s">
        <v>998</v>
      </c>
      <c r="C123">
        <v>122</v>
      </c>
      <c r="D123">
        <v>108</v>
      </c>
      <c r="E123">
        <v>119</v>
      </c>
      <c r="F123">
        <v>105</v>
      </c>
      <c r="G123">
        <v>1248</v>
      </c>
      <c r="H123" s="59" t="s">
        <v>1395</v>
      </c>
      <c r="I123" t="s">
        <v>1106</v>
      </c>
      <c r="J123" t="str">
        <f t="shared" si="6"/>
        <v>INSERT INTO tbFinanceItemSeq(Report,ItemSeqID,ItemSN,ItemID) VALUES('MAD',122,119,1248)</v>
      </c>
      <c r="K123" t="str">
        <f t="shared" si="7"/>
        <v/>
      </c>
    </row>
    <row r="124" spans="1:11">
      <c r="A124" t="s">
        <v>74</v>
      </c>
      <c r="B124" t="s">
        <v>998</v>
      </c>
      <c r="C124">
        <v>123</v>
      </c>
      <c r="D124">
        <v>109</v>
      </c>
      <c r="E124">
        <v>120</v>
      </c>
      <c r="F124">
        <v>106</v>
      </c>
      <c r="G124">
        <v>1249</v>
      </c>
      <c r="H124" s="58" t="s">
        <v>1396</v>
      </c>
      <c r="I124" t="s">
        <v>1107</v>
      </c>
      <c r="J124" t="str">
        <f t="shared" si="6"/>
        <v>INSERT INTO tbFinanceItemSeq(Report,ItemSeqID,ItemSN,ItemID) VALUES('MAD',123,120,1249)</v>
      </c>
      <c r="K124" t="str">
        <f t="shared" si="7"/>
        <v/>
      </c>
    </row>
    <row r="125" spans="1:11">
      <c r="A125" t="s">
        <v>74</v>
      </c>
      <c r="B125" t="s">
        <v>998</v>
      </c>
      <c r="C125">
        <v>124</v>
      </c>
      <c r="D125">
        <v>110</v>
      </c>
      <c r="E125">
        <v>121</v>
      </c>
      <c r="F125">
        <v>107</v>
      </c>
      <c r="G125">
        <v>1250</v>
      </c>
      <c r="H125" s="58" t="s">
        <v>1397</v>
      </c>
      <c r="I125" t="s">
        <v>1108</v>
      </c>
      <c r="J125" t="str">
        <f t="shared" si="6"/>
        <v>INSERT INTO tbFinanceItemSeq(Report,ItemSeqID,ItemSN,ItemID) VALUES('MAD',124,121,1250)</v>
      </c>
      <c r="K125" t="str">
        <f t="shared" si="7"/>
        <v/>
      </c>
    </row>
    <row r="126" spans="1:11">
      <c r="A126" t="s">
        <v>74</v>
      </c>
      <c r="B126" t="s">
        <v>998</v>
      </c>
      <c r="C126">
        <v>125</v>
      </c>
      <c r="D126">
        <v>111</v>
      </c>
      <c r="E126">
        <v>122</v>
      </c>
      <c r="F126">
        <v>108</v>
      </c>
      <c r="G126">
        <v>1251</v>
      </c>
      <c r="H126" s="58" t="s">
        <v>1398</v>
      </c>
      <c r="I126" t="s">
        <v>1109</v>
      </c>
      <c r="J126" t="str">
        <f t="shared" si="6"/>
        <v>INSERT INTO tbFinanceItemSeq(Report,ItemSeqID,ItemSN,ItemID) VALUES('MAD',125,122,1251)</v>
      </c>
      <c r="K126" t="str">
        <f t="shared" si="7"/>
        <v/>
      </c>
    </row>
    <row r="127" spans="1:11">
      <c r="A127" t="s">
        <v>74</v>
      </c>
      <c r="B127" t="s">
        <v>998</v>
      </c>
      <c r="C127">
        <v>126</v>
      </c>
      <c r="D127">
        <v>112</v>
      </c>
      <c r="E127">
        <v>123</v>
      </c>
      <c r="F127">
        <v>109</v>
      </c>
      <c r="G127">
        <v>1252</v>
      </c>
      <c r="H127" s="58" t="s">
        <v>1399</v>
      </c>
      <c r="I127" t="s">
        <v>1110</v>
      </c>
      <c r="J127" t="str">
        <f t="shared" si="6"/>
        <v>INSERT INTO tbFinanceItemSeq(Report,ItemSeqID,ItemSN,ItemID) VALUES('MAD',126,123,1252)</v>
      </c>
      <c r="K127" t="str">
        <f t="shared" si="7"/>
        <v/>
      </c>
    </row>
    <row r="128" spans="1:11">
      <c r="A128" t="s">
        <v>74</v>
      </c>
      <c r="B128" t="s">
        <v>998</v>
      </c>
      <c r="C128">
        <v>127</v>
      </c>
      <c r="D128">
        <v>113</v>
      </c>
      <c r="E128">
        <v>124</v>
      </c>
      <c r="F128">
        <v>110</v>
      </c>
      <c r="G128">
        <v>1253</v>
      </c>
      <c r="H128" s="58" t="s">
        <v>1400</v>
      </c>
      <c r="I128" t="s">
        <v>1111</v>
      </c>
      <c r="J128" t="str">
        <f t="shared" si="6"/>
        <v>INSERT INTO tbFinanceItemSeq(Report,ItemSeqID,ItemSN,ItemID) VALUES('MAD',127,124,1253)</v>
      </c>
      <c r="K128" t="str">
        <f t="shared" si="7"/>
        <v/>
      </c>
    </row>
    <row r="129" spans="1:11">
      <c r="A129" t="s">
        <v>74</v>
      </c>
      <c r="B129" t="s">
        <v>998</v>
      </c>
      <c r="C129">
        <v>128</v>
      </c>
      <c r="D129">
        <v>114</v>
      </c>
      <c r="E129">
        <v>125</v>
      </c>
      <c r="F129">
        <v>111</v>
      </c>
      <c r="G129">
        <v>1254</v>
      </c>
      <c r="H129" s="58" t="s">
        <v>1401</v>
      </c>
      <c r="I129" t="s">
        <v>1112</v>
      </c>
      <c r="J129" t="str">
        <f t="shared" si="6"/>
        <v>INSERT INTO tbFinanceItemSeq(Report,ItemSeqID,ItemSN,ItemID) VALUES('MAD',128,125,1254)</v>
      </c>
      <c r="K129" t="str">
        <f t="shared" si="7"/>
        <v/>
      </c>
    </row>
    <row r="130" spans="1:11">
      <c r="A130" t="s">
        <v>74</v>
      </c>
      <c r="B130" t="s">
        <v>998</v>
      </c>
      <c r="C130">
        <v>129</v>
      </c>
      <c r="D130">
        <v>115</v>
      </c>
      <c r="E130">
        <v>126</v>
      </c>
      <c r="F130">
        <v>112</v>
      </c>
      <c r="G130">
        <v>1255</v>
      </c>
      <c r="H130" s="58" t="s">
        <v>1402</v>
      </c>
      <c r="I130" t="s">
        <v>1113</v>
      </c>
      <c r="J130" t="str">
        <f t="shared" ref="J130:J154" si="9">IF(A130&lt;&gt;"Remove",CONCATENATE("INSERT INTO tbFinanceItemSeq(Report,ItemSeqID,ItemSN,ItemID) VALUES('",B130,"',",C130,",",E130,",",G130,")")," ")</f>
        <v>INSERT INTO tbFinanceItemSeq(Report,ItemSeqID,ItemSN,ItemID) VALUES('MAD',129,126,1255)</v>
      </c>
      <c r="K130" t="str">
        <f t="shared" ref="K130:K154" si="10">IF(A130&lt;&gt;"New","",CONCATENATE("INSERT INTO tbFinanceItem(ItemName) VALUES('",I130,"')"))</f>
        <v/>
      </c>
    </row>
    <row r="131" spans="1:11">
      <c r="A131" t="s">
        <v>74</v>
      </c>
      <c r="B131" t="s">
        <v>998</v>
      </c>
      <c r="C131">
        <v>130</v>
      </c>
      <c r="D131">
        <v>116</v>
      </c>
      <c r="E131">
        <v>127</v>
      </c>
      <c r="F131">
        <v>113</v>
      </c>
      <c r="G131">
        <v>1256</v>
      </c>
      <c r="H131" s="58" t="s">
        <v>1403</v>
      </c>
      <c r="I131" t="s">
        <v>1114</v>
      </c>
      <c r="J131" t="str">
        <f t="shared" si="9"/>
        <v>INSERT INTO tbFinanceItemSeq(Report,ItemSeqID,ItemSN,ItemID) VALUES('MAD',130,127,1256)</v>
      </c>
      <c r="K131" t="str">
        <f t="shared" si="10"/>
        <v/>
      </c>
    </row>
    <row r="132" spans="1:11">
      <c r="A132" t="s">
        <v>74</v>
      </c>
      <c r="B132" t="s">
        <v>998</v>
      </c>
      <c r="C132">
        <v>131</v>
      </c>
      <c r="D132">
        <v>117</v>
      </c>
      <c r="E132">
        <v>128</v>
      </c>
      <c r="F132">
        <v>114</v>
      </c>
      <c r="G132">
        <v>1257</v>
      </c>
      <c r="H132" s="58" t="s">
        <v>1404</v>
      </c>
      <c r="I132" t="s">
        <v>1115</v>
      </c>
      <c r="J132" t="str">
        <f t="shared" si="9"/>
        <v>INSERT INTO tbFinanceItemSeq(Report,ItemSeqID,ItemSN,ItemID) VALUES('MAD',131,128,1257)</v>
      </c>
      <c r="K132" t="str">
        <f t="shared" si="10"/>
        <v/>
      </c>
    </row>
    <row r="133" spans="1:11">
      <c r="A133" t="s">
        <v>74</v>
      </c>
      <c r="B133" t="s">
        <v>998</v>
      </c>
      <c r="C133">
        <v>132</v>
      </c>
      <c r="D133">
        <v>118</v>
      </c>
      <c r="E133">
        <v>129</v>
      </c>
      <c r="F133">
        <v>115</v>
      </c>
      <c r="G133">
        <v>1258</v>
      </c>
      <c r="H133" s="58" t="s">
        <v>1405</v>
      </c>
      <c r="I133" t="s">
        <v>1116</v>
      </c>
      <c r="J133" t="str">
        <f t="shared" si="9"/>
        <v>INSERT INTO tbFinanceItemSeq(Report,ItemSeqID,ItemSN,ItemID) VALUES('MAD',132,129,1258)</v>
      </c>
      <c r="K133" t="str">
        <f t="shared" si="10"/>
        <v/>
      </c>
    </row>
    <row r="134" spans="1:11">
      <c r="A134" t="s">
        <v>74</v>
      </c>
      <c r="B134" t="s">
        <v>998</v>
      </c>
      <c r="C134">
        <v>133</v>
      </c>
      <c r="D134">
        <v>119</v>
      </c>
      <c r="E134">
        <v>130</v>
      </c>
      <c r="F134">
        <v>116</v>
      </c>
      <c r="G134">
        <v>1259</v>
      </c>
      <c r="H134" s="58" t="s">
        <v>1406</v>
      </c>
      <c r="I134" t="s">
        <v>1117</v>
      </c>
      <c r="J134" t="str">
        <f t="shared" si="9"/>
        <v>INSERT INTO tbFinanceItemSeq(Report,ItemSeqID,ItemSN,ItemID) VALUES('MAD',133,130,1259)</v>
      </c>
      <c r="K134" t="str">
        <f t="shared" si="10"/>
        <v/>
      </c>
    </row>
    <row r="135" spans="1:11">
      <c r="A135" t="s">
        <v>74</v>
      </c>
      <c r="B135" t="s">
        <v>998</v>
      </c>
      <c r="C135">
        <v>134</v>
      </c>
      <c r="D135">
        <v>120</v>
      </c>
      <c r="E135">
        <v>131</v>
      </c>
      <c r="F135">
        <v>117</v>
      </c>
      <c r="G135">
        <v>1260</v>
      </c>
      <c r="H135" s="58" t="s">
        <v>1407</v>
      </c>
      <c r="I135" t="s">
        <v>1118</v>
      </c>
      <c r="J135" t="str">
        <f t="shared" si="9"/>
        <v>INSERT INTO tbFinanceItemSeq(Report,ItemSeqID,ItemSN,ItemID) VALUES('MAD',134,131,1260)</v>
      </c>
      <c r="K135" t="str">
        <f t="shared" si="10"/>
        <v/>
      </c>
    </row>
    <row r="136" spans="1:11">
      <c r="A136" t="s">
        <v>74</v>
      </c>
      <c r="B136" t="s">
        <v>998</v>
      </c>
      <c r="C136">
        <v>135</v>
      </c>
      <c r="D136">
        <v>121</v>
      </c>
      <c r="E136">
        <v>132</v>
      </c>
      <c r="F136">
        <v>118</v>
      </c>
      <c r="G136">
        <v>1261</v>
      </c>
      <c r="H136" s="60" t="s">
        <v>1408</v>
      </c>
      <c r="I136" t="s">
        <v>1119</v>
      </c>
      <c r="J136" t="str">
        <f t="shared" si="9"/>
        <v>INSERT INTO tbFinanceItemSeq(Report,ItemSeqID,ItemSN,ItemID) VALUES('MAD',135,132,1261)</v>
      </c>
      <c r="K136" t="str">
        <f t="shared" si="10"/>
        <v/>
      </c>
    </row>
    <row r="137" spans="1:11">
      <c r="A137" t="s">
        <v>74</v>
      </c>
      <c r="B137" t="s">
        <v>998</v>
      </c>
      <c r="C137">
        <v>136</v>
      </c>
      <c r="D137">
        <v>122</v>
      </c>
      <c r="E137">
        <v>133</v>
      </c>
      <c r="F137">
        <v>119</v>
      </c>
      <c r="G137">
        <v>1262</v>
      </c>
      <c r="H137" s="60" t="s">
        <v>1409</v>
      </c>
      <c r="I137" t="s">
        <v>1120</v>
      </c>
      <c r="J137" t="str">
        <f t="shared" si="9"/>
        <v>INSERT INTO tbFinanceItemSeq(Report,ItemSeqID,ItemSN,ItemID) VALUES('MAD',136,133,1262)</v>
      </c>
      <c r="K137" t="str">
        <f t="shared" si="10"/>
        <v/>
      </c>
    </row>
    <row r="138" spans="1:11">
      <c r="A138" t="s">
        <v>74</v>
      </c>
      <c r="B138" t="s">
        <v>998</v>
      </c>
      <c r="C138">
        <v>137</v>
      </c>
      <c r="D138">
        <v>123</v>
      </c>
      <c r="E138">
        <v>134</v>
      </c>
      <c r="F138">
        <v>120</v>
      </c>
      <c r="G138">
        <v>1263</v>
      </c>
      <c r="H138" s="60" t="s">
        <v>1410</v>
      </c>
      <c r="I138" t="s">
        <v>1121</v>
      </c>
      <c r="J138" t="str">
        <f t="shared" si="9"/>
        <v>INSERT INTO tbFinanceItemSeq(Report,ItemSeqID,ItemSN,ItemID) VALUES('MAD',137,134,1263)</v>
      </c>
      <c r="K138" t="str">
        <f t="shared" si="10"/>
        <v/>
      </c>
    </row>
    <row r="139" spans="1:11">
      <c r="A139" t="s">
        <v>74</v>
      </c>
      <c r="B139" t="s">
        <v>998</v>
      </c>
      <c r="C139">
        <v>138</v>
      </c>
      <c r="D139">
        <v>124</v>
      </c>
      <c r="E139">
        <v>135</v>
      </c>
      <c r="F139">
        <v>121</v>
      </c>
      <c r="G139">
        <v>1264</v>
      </c>
      <c r="H139" s="60" t="s">
        <v>1411</v>
      </c>
      <c r="I139" t="s">
        <v>1122</v>
      </c>
      <c r="J139" t="str">
        <f t="shared" si="9"/>
        <v>INSERT INTO tbFinanceItemSeq(Report,ItemSeqID,ItemSN,ItemID) VALUES('MAD',138,135,1264)</v>
      </c>
      <c r="K139" t="str">
        <f t="shared" si="10"/>
        <v/>
      </c>
    </row>
    <row r="140" spans="1:11">
      <c r="A140" t="s">
        <v>74</v>
      </c>
      <c r="B140" t="s">
        <v>998</v>
      </c>
      <c r="C140">
        <v>139</v>
      </c>
      <c r="D140">
        <v>125</v>
      </c>
      <c r="E140">
        <v>136</v>
      </c>
      <c r="F140">
        <v>122</v>
      </c>
      <c r="G140">
        <v>1265</v>
      </c>
      <c r="H140" s="60" t="s">
        <v>1412</v>
      </c>
      <c r="I140" t="s">
        <v>1123</v>
      </c>
      <c r="J140" t="str">
        <f t="shared" si="9"/>
        <v>INSERT INTO tbFinanceItemSeq(Report,ItemSeqID,ItemSN,ItemID) VALUES('MAD',139,136,1265)</v>
      </c>
      <c r="K140" t="str">
        <f t="shared" si="10"/>
        <v/>
      </c>
    </row>
    <row r="141" spans="1:11">
      <c r="A141" t="s">
        <v>74</v>
      </c>
      <c r="B141" t="s">
        <v>998</v>
      </c>
      <c r="C141">
        <v>140</v>
      </c>
      <c r="D141">
        <v>126</v>
      </c>
      <c r="E141">
        <v>137</v>
      </c>
      <c r="F141">
        <v>123</v>
      </c>
      <c r="G141">
        <v>1266</v>
      </c>
      <c r="H141" s="60" t="s">
        <v>1413</v>
      </c>
      <c r="I141" t="s">
        <v>1124</v>
      </c>
      <c r="J141" t="str">
        <f t="shared" si="9"/>
        <v>INSERT INTO tbFinanceItemSeq(Report,ItemSeqID,ItemSN,ItemID) VALUES('MAD',140,137,1266)</v>
      </c>
      <c r="K141" t="str">
        <f t="shared" si="10"/>
        <v/>
      </c>
    </row>
    <row r="142" spans="1:11">
      <c r="A142" t="s">
        <v>74</v>
      </c>
      <c r="B142" t="s">
        <v>998</v>
      </c>
      <c r="C142">
        <v>141</v>
      </c>
      <c r="D142">
        <v>127</v>
      </c>
      <c r="E142">
        <v>138</v>
      </c>
      <c r="F142">
        <v>124</v>
      </c>
      <c r="G142">
        <v>1267</v>
      </c>
      <c r="H142" s="60" t="s">
        <v>1414</v>
      </c>
      <c r="I142" t="s">
        <v>1125</v>
      </c>
      <c r="J142" t="str">
        <f t="shared" si="9"/>
        <v>INSERT INTO tbFinanceItemSeq(Report,ItemSeqID,ItemSN,ItemID) VALUES('MAD',141,138,1267)</v>
      </c>
      <c r="K142" t="str">
        <f t="shared" si="10"/>
        <v/>
      </c>
    </row>
    <row r="143" spans="1:11">
      <c r="A143" t="s">
        <v>74</v>
      </c>
      <c r="B143" t="s">
        <v>998</v>
      </c>
      <c r="C143">
        <v>142</v>
      </c>
      <c r="D143">
        <v>128</v>
      </c>
      <c r="E143">
        <v>139</v>
      </c>
      <c r="F143">
        <v>125</v>
      </c>
      <c r="G143">
        <v>1268</v>
      </c>
      <c r="H143" s="60" t="s">
        <v>1415</v>
      </c>
      <c r="I143" t="s">
        <v>1126</v>
      </c>
      <c r="J143" t="str">
        <f t="shared" si="9"/>
        <v>INSERT INTO tbFinanceItemSeq(Report,ItemSeqID,ItemSN,ItemID) VALUES('MAD',142,139,1268)</v>
      </c>
      <c r="K143" t="str">
        <f t="shared" si="10"/>
        <v/>
      </c>
    </row>
    <row r="144" spans="1:11">
      <c r="A144" t="s">
        <v>74</v>
      </c>
      <c r="B144" t="s">
        <v>998</v>
      </c>
      <c r="C144">
        <v>143</v>
      </c>
      <c r="D144">
        <v>129</v>
      </c>
      <c r="E144">
        <v>140</v>
      </c>
      <c r="F144">
        <v>126</v>
      </c>
      <c r="G144">
        <v>1269</v>
      </c>
      <c r="H144" s="60" t="s">
        <v>1416</v>
      </c>
      <c r="I144" t="s">
        <v>1127</v>
      </c>
      <c r="J144" t="str">
        <f t="shared" si="9"/>
        <v>INSERT INTO tbFinanceItemSeq(Report,ItemSeqID,ItemSN,ItemID) VALUES('MAD',143,140,1269)</v>
      </c>
      <c r="K144" t="str">
        <f t="shared" si="10"/>
        <v/>
      </c>
    </row>
    <row r="145" spans="1:11">
      <c r="A145" t="s">
        <v>74</v>
      </c>
      <c r="B145" t="s">
        <v>998</v>
      </c>
      <c r="C145">
        <v>144</v>
      </c>
      <c r="D145">
        <v>130</v>
      </c>
      <c r="E145">
        <v>141</v>
      </c>
      <c r="F145">
        <v>127</v>
      </c>
      <c r="G145">
        <v>1270</v>
      </c>
      <c r="H145" s="60" t="s">
        <v>1417</v>
      </c>
      <c r="I145" t="s">
        <v>1128</v>
      </c>
      <c r="J145" t="str">
        <f t="shared" si="9"/>
        <v>INSERT INTO tbFinanceItemSeq(Report,ItemSeqID,ItemSN,ItemID) VALUES('MAD',144,141,1270)</v>
      </c>
      <c r="K145" t="str">
        <f t="shared" si="10"/>
        <v/>
      </c>
    </row>
    <row r="146" spans="1:11">
      <c r="A146" t="s">
        <v>74</v>
      </c>
      <c r="B146" t="s">
        <v>998</v>
      </c>
      <c r="C146">
        <v>145</v>
      </c>
      <c r="D146">
        <v>131</v>
      </c>
      <c r="E146">
        <v>142</v>
      </c>
      <c r="F146">
        <v>128</v>
      </c>
      <c r="G146">
        <v>1271</v>
      </c>
      <c r="H146" s="60" t="s">
        <v>1418</v>
      </c>
      <c r="I146" t="s">
        <v>1129</v>
      </c>
      <c r="J146" t="str">
        <f t="shared" si="9"/>
        <v>INSERT INTO tbFinanceItemSeq(Report,ItemSeqID,ItemSN,ItemID) VALUES('MAD',145,142,1271)</v>
      </c>
      <c r="K146" t="str">
        <f t="shared" si="10"/>
        <v/>
      </c>
    </row>
    <row r="147" spans="1:11">
      <c r="A147" t="s">
        <v>74</v>
      </c>
      <c r="B147" t="s">
        <v>998</v>
      </c>
      <c r="C147">
        <v>146</v>
      </c>
      <c r="D147">
        <v>132</v>
      </c>
      <c r="E147">
        <v>143</v>
      </c>
      <c r="F147">
        <v>129</v>
      </c>
      <c r="G147">
        <v>1272</v>
      </c>
      <c r="H147" s="60" t="s">
        <v>1419</v>
      </c>
      <c r="I147" t="s">
        <v>1130</v>
      </c>
      <c r="J147" t="str">
        <f t="shared" si="9"/>
        <v>INSERT INTO tbFinanceItemSeq(Report,ItemSeqID,ItemSN,ItemID) VALUES('MAD',146,143,1272)</v>
      </c>
      <c r="K147" t="str">
        <f t="shared" si="10"/>
        <v/>
      </c>
    </row>
    <row r="148" spans="1:11">
      <c r="A148" t="s">
        <v>74</v>
      </c>
      <c r="B148" t="s">
        <v>998</v>
      </c>
      <c r="C148">
        <v>147</v>
      </c>
      <c r="D148">
        <v>133</v>
      </c>
      <c r="E148">
        <v>144</v>
      </c>
      <c r="F148">
        <v>130</v>
      </c>
      <c r="G148">
        <v>1273</v>
      </c>
      <c r="H148" s="60" t="s">
        <v>1420</v>
      </c>
      <c r="I148" t="s">
        <v>1131</v>
      </c>
      <c r="J148" t="str">
        <f t="shared" si="9"/>
        <v>INSERT INTO tbFinanceItemSeq(Report,ItemSeqID,ItemSN,ItemID) VALUES('MAD',147,144,1273)</v>
      </c>
      <c r="K148" t="str">
        <f t="shared" si="10"/>
        <v/>
      </c>
    </row>
    <row r="149" spans="1:11">
      <c r="A149" t="s">
        <v>74</v>
      </c>
      <c r="B149" t="s">
        <v>998</v>
      </c>
      <c r="C149">
        <v>148</v>
      </c>
      <c r="D149">
        <v>134</v>
      </c>
      <c r="E149">
        <v>145</v>
      </c>
      <c r="F149">
        <v>131</v>
      </c>
      <c r="G149">
        <v>1274</v>
      </c>
      <c r="H149" s="60" t="s">
        <v>1421</v>
      </c>
      <c r="I149" t="s">
        <v>1132</v>
      </c>
      <c r="J149" t="str">
        <f t="shared" si="9"/>
        <v>INSERT INTO tbFinanceItemSeq(Report,ItemSeqID,ItemSN,ItemID) VALUES('MAD',148,145,1274)</v>
      </c>
      <c r="K149" t="str">
        <f t="shared" si="10"/>
        <v/>
      </c>
    </row>
    <row r="150" spans="1:11">
      <c r="A150" t="s">
        <v>74</v>
      </c>
      <c r="B150" t="s">
        <v>998</v>
      </c>
      <c r="C150">
        <v>149</v>
      </c>
      <c r="D150">
        <v>135</v>
      </c>
      <c r="E150">
        <v>146</v>
      </c>
      <c r="F150">
        <v>132</v>
      </c>
      <c r="G150">
        <v>1275</v>
      </c>
      <c r="H150" s="60" t="s">
        <v>1422</v>
      </c>
      <c r="I150" t="s">
        <v>1133</v>
      </c>
      <c r="J150" t="str">
        <f t="shared" si="9"/>
        <v>INSERT INTO tbFinanceItemSeq(Report,ItemSeqID,ItemSN,ItemID) VALUES('MAD',149,146,1275)</v>
      </c>
      <c r="K150" t="str">
        <f t="shared" si="10"/>
        <v/>
      </c>
    </row>
    <row r="151" spans="1:11">
      <c r="A151" t="s">
        <v>74</v>
      </c>
      <c r="B151" t="s">
        <v>998</v>
      </c>
      <c r="C151">
        <v>150</v>
      </c>
      <c r="D151">
        <v>136</v>
      </c>
      <c r="E151">
        <v>147</v>
      </c>
      <c r="F151">
        <v>133</v>
      </c>
      <c r="G151">
        <v>1276</v>
      </c>
      <c r="H151" s="60" t="s">
        <v>1423</v>
      </c>
      <c r="I151" t="s">
        <v>1134</v>
      </c>
      <c r="J151" t="str">
        <f t="shared" si="9"/>
        <v>INSERT INTO tbFinanceItemSeq(Report,ItemSeqID,ItemSN,ItemID) VALUES('MAD',150,147,1276)</v>
      </c>
      <c r="K151" t="str">
        <f t="shared" si="10"/>
        <v/>
      </c>
    </row>
    <row r="152" spans="1:11" s="3" customFormat="1">
      <c r="A152" s="3" t="s">
        <v>75</v>
      </c>
      <c r="B152" s="3" t="s">
        <v>998</v>
      </c>
      <c r="C152" s="3">
        <v>151</v>
      </c>
      <c r="E152">
        <v>148</v>
      </c>
      <c r="G152" s="3" t="str">
        <f>CONCATENATE("(SELECT ItemID FROM tbFinanceItem where ItemName = '",I152,"')")</f>
        <v>(SELECT ItemID FROM tbFinanceItem where ItemName = '(MAD)QA Allocated Cost')</v>
      </c>
      <c r="H152" s="60"/>
      <c r="I152" s="3" t="s">
        <v>1276</v>
      </c>
      <c r="J152" s="3" t="str">
        <f t="shared" si="9"/>
        <v>INSERT INTO tbFinanceItemSeq(Report,ItemSeqID,ItemSN,ItemID) VALUES('MAD',151,148,(SELECT ItemID FROM tbFinanceItem where ItemName = '(MAD)QA Allocated Cost'))</v>
      </c>
      <c r="K152" s="3" t="str">
        <f t="shared" si="10"/>
        <v>INSERT INTO tbFinanceItem(ItemName) VALUES('(MAD)QA Allocated Cost')</v>
      </c>
    </row>
    <row r="153" spans="1:11" s="3" customFormat="1">
      <c r="A153" s="3" t="s">
        <v>75</v>
      </c>
      <c r="B153" s="3" t="s">
        <v>998</v>
      </c>
      <c r="C153" s="3">
        <v>152</v>
      </c>
      <c r="E153">
        <v>149</v>
      </c>
      <c r="G153" s="3" t="str">
        <f>CONCATENATE("(SELECT ItemID FROM tbFinanceItem where ItemName = '",I153,"')")</f>
        <v>(SELECT ItemID FROM tbFinanceItem where ItemName = '(MAD)PM Allocated Cost')</v>
      </c>
      <c r="H153" s="60"/>
      <c r="I153" s="3" t="s">
        <v>1277</v>
      </c>
      <c r="J153" s="3" t="str">
        <f t="shared" si="9"/>
        <v>INSERT INTO tbFinanceItemSeq(Report,ItemSeqID,ItemSN,ItemID) VALUES('MAD',152,149,(SELECT ItemID FROM tbFinanceItem where ItemName = '(MAD)PM Allocated Cost'))</v>
      </c>
      <c r="K153" s="3" t="str">
        <f t="shared" si="10"/>
        <v>INSERT INTO tbFinanceItem(ItemName) VALUES('(MAD)PM Allocated Cost')</v>
      </c>
    </row>
    <row r="154" spans="1:11">
      <c r="A154" t="s">
        <v>74</v>
      </c>
      <c r="B154" t="s">
        <v>998</v>
      </c>
      <c r="C154">
        <v>153</v>
      </c>
      <c r="D154">
        <v>137</v>
      </c>
      <c r="E154">
        <v>150</v>
      </c>
      <c r="F154">
        <v>134</v>
      </c>
      <c r="G154">
        <v>1277</v>
      </c>
      <c r="H154" s="61" t="s">
        <v>1424</v>
      </c>
      <c r="I154" t="s">
        <v>1135</v>
      </c>
      <c r="J154" t="str">
        <f t="shared" si="9"/>
        <v>INSERT INTO tbFinanceItemSeq(Report,ItemSeqID,ItemSN,ItemID) VALUES('MAD',153,150,1277)</v>
      </c>
      <c r="K154" t="str">
        <f t="shared" si="10"/>
        <v/>
      </c>
    </row>
    <row r="155" spans="1:11">
      <c r="A155" t="s">
        <v>74</v>
      </c>
      <c r="B155" t="s">
        <v>998</v>
      </c>
      <c r="C155">
        <v>154</v>
      </c>
      <c r="D155">
        <v>138</v>
      </c>
      <c r="E155">
        <v>151</v>
      </c>
      <c r="F155">
        <v>135</v>
      </c>
      <c r="G155">
        <v>1278</v>
      </c>
      <c r="H155" s="62" t="s">
        <v>1425</v>
      </c>
      <c r="I155" t="s">
        <v>1136</v>
      </c>
      <c r="J155" t="str">
        <f>IF(A155&lt;&gt;"Remove",CONCATENATE("INSERT INTO tbFinanceItemSeq(Report,ItemSeqID,ItemSN,ItemID) VALUES('",B155,"',",C155,",",E155,",",G155,")")," ")</f>
        <v>INSERT INTO tbFinanceItemSeq(Report,ItemSeqID,ItemSN,ItemID) VALUES('MAD',154,151,1278)</v>
      </c>
      <c r="K155" t="str">
        <f>IF(A155&lt;&gt;"New","",CONCATENATE("INSERT INTO tbFinanceItem(ItemName) VALUES('",I155,"')"))</f>
        <v/>
      </c>
    </row>
    <row r="156" spans="1:11">
      <c r="A156" t="s">
        <v>74</v>
      </c>
      <c r="B156" t="s">
        <v>998</v>
      </c>
      <c r="C156">
        <v>155</v>
      </c>
      <c r="D156">
        <v>139</v>
      </c>
      <c r="E156">
        <v>152</v>
      </c>
      <c r="F156">
        <v>136</v>
      </c>
      <c r="G156">
        <v>1279</v>
      </c>
      <c r="H156" s="57" t="s">
        <v>1426</v>
      </c>
      <c r="I156" t="s">
        <v>1137</v>
      </c>
      <c r="J156" t="str">
        <f>IF(A156&lt;&gt;"Remove",CONCATENATE("INSERT INTO tbFinanceItemSeq(Report,ItemSeqID,ItemSN,ItemID) VALUES('",B156,"',",C156,",",E156,",",G156,")")," ")</f>
        <v>INSERT INTO tbFinanceItemSeq(Report,ItemSeqID,ItemSN,ItemID) VALUES('MAD',155,152,1279)</v>
      </c>
      <c r="K156" t="str">
        <f>IF(A156&lt;&gt;"New","",CONCATENATE("INSERT INTO tbFinanceItem(ItemName) VALUES('",I156,"')"))</f>
        <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workbookViewId="0">
      <selection activeCell="A15" sqref="A15:A18"/>
    </sheetView>
  </sheetViews>
  <sheetFormatPr defaultColWidth="8.85546875" defaultRowHeight="15"/>
  <cols>
    <col min="1" max="1" width="57" bestFit="1" customWidth="1"/>
  </cols>
  <sheetData>
    <row r="1" spans="1:1">
      <c r="A1" t="s">
        <v>1428</v>
      </c>
    </row>
    <row r="2" spans="1:1">
      <c r="A2" t="s">
        <v>1429</v>
      </c>
    </row>
    <row r="3" spans="1:1">
      <c r="A3" t="s">
        <v>1430</v>
      </c>
    </row>
    <row r="4" spans="1:1">
      <c r="A4" t="s">
        <v>1427</v>
      </c>
    </row>
    <row r="6" spans="1:1">
      <c r="A6" t="s">
        <v>77</v>
      </c>
    </row>
    <row r="7" spans="1:1">
      <c r="A7" t="s">
        <v>78</v>
      </c>
    </row>
    <row r="8" spans="1:1">
      <c r="A8" t="s">
        <v>1431</v>
      </c>
    </row>
    <row r="9" spans="1:1">
      <c r="A9" t="s">
        <v>79</v>
      </c>
    </row>
    <row r="12" spans="1:1">
      <c r="A12" t="s">
        <v>1432</v>
      </c>
    </row>
    <row r="15" spans="1:1">
      <c r="A15" t="s">
        <v>2745</v>
      </c>
    </row>
    <row r="16" spans="1:1">
      <c r="A16" t="s">
        <v>2769</v>
      </c>
    </row>
    <row r="17" spans="1:1">
      <c r="A17" t="s">
        <v>2770</v>
      </c>
    </row>
    <row r="18" spans="1:1">
      <c r="A18" t="s">
        <v>2768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5"/>
  <sheetViews>
    <sheetView topLeftCell="A62" workbookViewId="0">
      <selection activeCell="E140" sqref="E140"/>
    </sheetView>
  </sheetViews>
  <sheetFormatPr defaultColWidth="8.85546875" defaultRowHeight="15"/>
  <cols>
    <col min="1" max="1" width="7" bestFit="1" customWidth="1"/>
    <col min="2" max="2" width="10.28515625" bestFit="1" customWidth="1"/>
    <col min="3" max="3" width="7.42578125" bestFit="1" customWidth="1"/>
    <col min="4" max="4" width="7" bestFit="1" customWidth="1"/>
    <col min="5" max="5" width="41.140625" bestFit="1" customWidth="1"/>
  </cols>
  <sheetData>
    <row r="1" spans="1:5">
      <c r="A1" t="s">
        <v>65</v>
      </c>
      <c r="B1" t="s">
        <v>66</v>
      </c>
      <c r="C1" t="s">
        <v>67</v>
      </c>
      <c r="D1" t="s">
        <v>68</v>
      </c>
      <c r="E1" t="s">
        <v>71</v>
      </c>
    </row>
    <row r="2" spans="1:5">
      <c r="A2" t="s">
        <v>1433</v>
      </c>
      <c r="B2">
        <v>1</v>
      </c>
      <c r="C2">
        <v>1</v>
      </c>
      <c r="D2">
        <v>562</v>
      </c>
      <c r="E2" t="s">
        <v>1434</v>
      </c>
    </row>
    <row r="3" spans="1:5">
      <c r="A3" t="s">
        <v>1433</v>
      </c>
      <c r="B3">
        <v>2</v>
      </c>
      <c r="C3">
        <v>2</v>
      </c>
      <c r="D3">
        <v>563</v>
      </c>
      <c r="E3" t="s">
        <v>1435</v>
      </c>
    </row>
    <row r="4" spans="1:5">
      <c r="A4" t="s">
        <v>1433</v>
      </c>
      <c r="B4">
        <v>3</v>
      </c>
      <c r="C4">
        <v>3</v>
      </c>
      <c r="D4">
        <v>564</v>
      </c>
      <c r="E4" t="s">
        <v>1436</v>
      </c>
    </row>
    <row r="5" spans="1:5">
      <c r="A5" t="s">
        <v>1433</v>
      </c>
      <c r="B5">
        <v>4</v>
      </c>
      <c r="C5">
        <v>4</v>
      </c>
      <c r="D5">
        <v>565</v>
      </c>
      <c r="E5" t="s">
        <v>1437</v>
      </c>
    </row>
    <row r="6" spans="1:5">
      <c r="A6" t="s">
        <v>1433</v>
      </c>
      <c r="B6">
        <v>5</v>
      </c>
      <c r="C6">
        <v>5</v>
      </c>
      <c r="D6">
        <v>566</v>
      </c>
      <c r="E6" t="s">
        <v>1438</v>
      </c>
    </row>
    <row r="7" spans="1:5">
      <c r="A7" t="s">
        <v>1433</v>
      </c>
      <c r="B7">
        <v>6</v>
      </c>
      <c r="C7">
        <v>6</v>
      </c>
      <c r="D7">
        <v>567</v>
      </c>
      <c r="E7" t="s">
        <v>1439</v>
      </c>
    </row>
    <row r="8" spans="1:5">
      <c r="A8" t="s">
        <v>1433</v>
      </c>
      <c r="B8">
        <v>7</v>
      </c>
      <c r="C8">
        <v>7</v>
      </c>
      <c r="D8">
        <v>568</v>
      </c>
      <c r="E8" t="s">
        <v>1440</v>
      </c>
    </row>
    <row r="9" spans="1:5">
      <c r="A9" t="s">
        <v>1433</v>
      </c>
      <c r="B9">
        <v>8</v>
      </c>
      <c r="C9">
        <v>8</v>
      </c>
      <c r="D9">
        <v>569</v>
      </c>
      <c r="E9" t="s">
        <v>1441</v>
      </c>
    </row>
    <row r="10" spans="1:5">
      <c r="A10" t="s">
        <v>1433</v>
      </c>
      <c r="B10">
        <v>9</v>
      </c>
      <c r="C10">
        <v>9</v>
      </c>
      <c r="D10">
        <v>570</v>
      </c>
      <c r="E10" t="s">
        <v>1442</v>
      </c>
    </row>
    <row r="11" spans="1:5">
      <c r="A11" t="s">
        <v>1433</v>
      </c>
      <c r="B11">
        <v>10</v>
      </c>
      <c r="C11">
        <v>10</v>
      </c>
      <c r="D11">
        <v>571</v>
      </c>
      <c r="E11" t="s">
        <v>1443</v>
      </c>
    </row>
    <row r="12" spans="1:5">
      <c r="A12" t="s">
        <v>1433</v>
      </c>
      <c r="B12">
        <v>11</v>
      </c>
      <c r="C12">
        <v>11</v>
      </c>
      <c r="D12">
        <v>572</v>
      </c>
      <c r="E12" t="s">
        <v>1444</v>
      </c>
    </row>
    <row r="13" spans="1:5">
      <c r="A13" t="s">
        <v>1433</v>
      </c>
      <c r="B13">
        <v>12</v>
      </c>
      <c r="C13">
        <v>12</v>
      </c>
      <c r="D13">
        <v>573</v>
      </c>
      <c r="E13" t="s">
        <v>1445</v>
      </c>
    </row>
    <row r="14" spans="1:5">
      <c r="A14" t="s">
        <v>1433</v>
      </c>
      <c r="B14">
        <v>13</v>
      </c>
      <c r="C14">
        <v>13</v>
      </c>
      <c r="D14">
        <v>574</v>
      </c>
      <c r="E14" t="s">
        <v>1446</v>
      </c>
    </row>
    <row r="15" spans="1:5">
      <c r="A15" t="s">
        <v>1433</v>
      </c>
      <c r="B15">
        <v>14</v>
      </c>
      <c r="C15">
        <v>14</v>
      </c>
      <c r="D15">
        <v>575</v>
      </c>
      <c r="E15" t="s">
        <v>1447</v>
      </c>
    </row>
    <row r="16" spans="1:5">
      <c r="A16" t="s">
        <v>1433</v>
      </c>
      <c r="B16">
        <v>15</v>
      </c>
      <c r="C16">
        <v>15</v>
      </c>
      <c r="D16">
        <v>576</v>
      </c>
      <c r="E16" t="s">
        <v>1448</v>
      </c>
    </row>
    <row r="17" spans="1:5">
      <c r="A17" t="s">
        <v>1433</v>
      </c>
      <c r="B17">
        <v>16</v>
      </c>
      <c r="C17">
        <v>16</v>
      </c>
      <c r="D17">
        <v>577</v>
      </c>
      <c r="E17" t="s">
        <v>1449</v>
      </c>
    </row>
    <row r="18" spans="1:5">
      <c r="A18" t="s">
        <v>1433</v>
      </c>
      <c r="B18">
        <v>17</v>
      </c>
      <c r="C18">
        <v>17</v>
      </c>
      <c r="D18">
        <v>578</v>
      </c>
      <c r="E18" t="s">
        <v>1450</v>
      </c>
    </row>
    <row r="19" spans="1:5">
      <c r="A19" t="s">
        <v>1433</v>
      </c>
      <c r="B19">
        <v>18</v>
      </c>
      <c r="C19">
        <v>18</v>
      </c>
      <c r="D19">
        <v>579</v>
      </c>
      <c r="E19" t="s">
        <v>1451</v>
      </c>
    </row>
    <row r="20" spans="1:5">
      <c r="A20" t="s">
        <v>1433</v>
      </c>
      <c r="B20">
        <v>19</v>
      </c>
      <c r="C20">
        <v>19</v>
      </c>
      <c r="D20">
        <v>580</v>
      </c>
      <c r="E20" t="s">
        <v>1452</v>
      </c>
    </row>
    <row r="21" spans="1:5">
      <c r="A21" t="s">
        <v>1433</v>
      </c>
      <c r="B21">
        <v>20</v>
      </c>
      <c r="C21">
        <v>20</v>
      </c>
      <c r="D21">
        <v>581</v>
      </c>
      <c r="E21" t="s">
        <v>1453</v>
      </c>
    </row>
    <row r="22" spans="1:5">
      <c r="A22" t="s">
        <v>1433</v>
      </c>
      <c r="B22">
        <v>21</v>
      </c>
      <c r="C22">
        <v>21</v>
      </c>
      <c r="D22">
        <v>582</v>
      </c>
      <c r="E22" t="s">
        <v>1454</v>
      </c>
    </row>
    <row r="23" spans="1:5">
      <c r="A23" t="s">
        <v>1433</v>
      </c>
      <c r="B23">
        <v>22</v>
      </c>
      <c r="C23">
        <v>22</v>
      </c>
      <c r="D23">
        <v>583</v>
      </c>
      <c r="E23" t="s">
        <v>1455</v>
      </c>
    </row>
    <row r="24" spans="1:5">
      <c r="A24" t="s">
        <v>1433</v>
      </c>
      <c r="B24">
        <v>23</v>
      </c>
      <c r="C24">
        <v>23</v>
      </c>
      <c r="D24">
        <v>584</v>
      </c>
      <c r="E24" t="s">
        <v>1456</v>
      </c>
    </row>
    <row r="25" spans="1:5">
      <c r="A25" t="s">
        <v>1433</v>
      </c>
      <c r="B25">
        <v>24</v>
      </c>
      <c r="C25">
        <v>24</v>
      </c>
      <c r="D25">
        <v>585</v>
      </c>
      <c r="E25" t="s">
        <v>1457</v>
      </c>
    </row>
    <row r="26" spans="1:5">
      <c r="A26" t="s">
        <v>1433</v>
      </c>
      <c r="B26">
        <v>25</v>
      </c>
      <c r="C26">
        <v>25</v>
      </c>
      <c r="D26">
        <v>586</v>
      </c>
      <c r="E26" t="s">
        <v>1458</v>
      </c>
    </row>
    <row r="27" spans="1:5">
      <c r="A27" t="s">
        <v>1433</v>
      </c>
      <c r="B27">
        <v>26</v>
      </c>
      <c r="C27">
        <v>26</v>
      </c>
      <c r="D27">
        <v>587</v>
      </c>
      <c r="E27" t="s">
        <v>1459</v>
      </c>
    </row>
    <row r="28" spans="1:5">
      <c r="A28" t="s">
        <v>1433</v>
      </c>
      <c r="B28">
        <v>27</v>
      </c>
      <c r="C28">
        <v>27</v>
      </c>
      <c r="D28">
        <v>588</v>
      </c>
      <c r="E28" t="s">
        <v>1460</v>
      </c>
    </row>
    <row r="29" spans="1:5">
      <c r="A29" t="s">
        <v>1433</v>
      </c>
      <c r="B29">
        <v>28</v>
      </c>
      <c r="C29">
        <v>28</v>
      </c>
      <c r="D29">
        <v>589</v>
      </c>
      <c r="E29" t="s">
        <v>1461</v>
      </c>
    </row>
    <row r="30" spans="1:5">
      <c r="A30" t="s">
        <v>1433</v>
      </c>
      <c r="B30">
        <v>29</v>
      </c>
      <c r="C30">
        <v>29</v>
      </c>
      <c r="D30">
        <v>590</v>
      </c>
      <c r="E30" t="s">
        <v>1462</v>
      </c>
    </row>
    <row r="31" spans="1:5">
      <c r="A31" t="s">
        <v>1433</v>
      </c>
      <c r="B31">
        <v>30</v>
      </c>
      <c r="C31">
        <v>30</v>
      </c>
      <c r="D31">
        <v>591</v>
      </c>
      <c r="E31" t="s">
        <v>1463</v>
      </c>
    </row>
    <row r="32" spans="1:5">
      <c r="A32" t="s">
        <v>1433</v>
      </c>
      <c r="B32">
        <v>31</v>
      </c>
      <c r="C32">
        <v>31</v>
      </c>
      <c r="D32">
        <v>592</v>
      </c>
      <c r="E32" t="s">
        <v>1464</v>
      </c>
    </row>
    <row r="33" spans="1:5">
      <c r="A33" t="s">
        <v>1433</v>
      </c>
      <c r="B33">
        <v>32</v>
      </c>
      <c r="C33">
        <v>32</v>
      </c>
      <c r="D33">
        <v>593</v>
      </c>
      <c r="E33" t="s">
        <v>1465</v>
      </c>
    </row>
    <row r="34" spans="1:5">
      <c r="A34" t="s">
        <v>1433</v>
      </c>
      <c r="B34">
        <v>33</v>
      </c>
      <c r="C34">
        <v>33</v>
      </c>
      <c r="D34">
        <v>594</v>
      </c>
      <c r="E34" t="s">
        <v>1466</v>
      </c>
    </row>
    <row r="35" spans="1:5">
      <c r="A35" t="s">
        <v>1433</v>
      </c>
      <c r="B35">
        <v>34</v>
      </c>
      <c r="C35">
        <v>34</v>
      </c>
      <c r="D35">
        <v>595</v>
      </c>
      <c r="E35" t="s">
        <v>1467</v>
      </c>
    </row>
    <row r="36" spans="1:5">
      <c r="A36" t="s">
        <v>1433</v>
      </c>
      <c r="B36">
        <v>35</v>
      </c>
      <c r="C36">
        <v>35</v>
      </c>
      <c r="D36">
        <v>596</v>
      </c>
      <c r="E36" t="s">
        <v>1468</v>
      </c>
    </row>
    <row r="37" spans="1:5">
      <c r="A37" t="s">
        <v>1433</v>
      </c>
      <c r="B37">
        <v>36</v>
      </c>
      <c r="C37">
        <v>36</v>
      </c>
      <c r="D37">
        <v>597</v>
      </c>
      <c r="E37" t="s">
        <v>1469</v>
      </c>
    </row>
    <row r="38" spans="1:5">
      <c r="A38" t="s">
        <v>1433</v>
      </c>
      <c r="B38">
        <v>37</v>
      </c>
      <c r="C38">
        <v>37</v>
      </c>
      <c r="D38">
        <v>598</v>
      </c>
      <c r="E38" t="s">
        <v>1470</v>
      </c>
    </row>
    <row r="39" spans="1:5">
      <c r="A39" t="s">
        <v>1433</v>
      </c>
      <c r="B39">
        <v>38</v>
      </c>
      <c r="C39">
        <v>38</v>
      </c>
      <c r="D39">
        <v>599</v>
      </c>
      <c r="E39" t="s">
        <v>1471</v>
      </c>
    </row>
    <row r="40" spans="1:5">
      <c r="A40" t="s">
        <v>1433</v>
      </c>
      <c r="B40">
        <v>39</v>
      </c>
      <c r="C40">
        <v>39</v>
      </c>
      <c r="D40">
        <v>600</v>
      </c>
      <c r="E40" t="s">
        <v>1472</v>
      </c>
    </row>
    <row r="41" spans="1:5">
      <c r="A41" t="s">
        <v>1433</v>
      </c>
      <c r="B41">
        <v>40</v>
      </c>
      <c r="C41">
        <v>40</v>
      </c>
      <c r="D41">
        <v>601</v>
      </c>
      <c r="E41" t="s">
        <v>1473</v>
      </c>
    </row>
    <row r="42" spans="1:5">
      <c r="A42" t="s">
        <v>1433</v>
      </c>
      <c r="B42">
        <v>41</v>
      </c>
      <c r="C42">
        <v>41</v>
      </c>
      <c r="D42">
        <v>602</v>
      </c>
      <c r="E42" t="s">
        <v>1474</v>
      </c>
    </row>
    <row r="43" spans="1:5">
      <c r="A43" t="s">
        <v>1433</v>
      </c>
      <c r="B43">
        <v>42</v>
      </c>
      <c r="C43">
        <v>42</v>
      </c>
      <c r="D43">
        <v>603</v>
      </c>
      <c r="E43" t="s">
        <v>1475</v>
      </c>
    </row>
    <row r="44" spans="1:5">
      <c r="A44" t="s">
        <v>1433</v>
      </c>
      <c r="B44">
        <v>43</v>
      </c>
      <c r="C44">
        <v>43</v>
      </c>
      <c r="D44">
        <v>604</v>
      </c>
      <c r="E44" t="s">
        <v>1476</v>
      </c>
    </row>
    <row r="45" spans="1:5">
      <c r="A45" t="s">
        <v>1433</v>
      </c>
      <c r="B45">
        <v>44</v>
      </c>
      <c r="C45">
        <v>44</v>
      </c>
      <c r="D45">
        <v>605</v>
      </c>
      <c r="E45" t="s">
        <v>1477</v>
      </c>
    </row>
    <row r="46" spans="1:5">
      <c r="A46" t="s">
        <v>1433</v>
      </c>
      <c r="B46">
        <v>45</v>
      </c>
      <c r="C46">
        <v>45</v>
      </c>
      <c r="D46">
        <v>606</v>
      </c>
      <c r="E46" t="s">
        <v>1478</v>
      </c>
    </row>
    <row r="47" spans="1:5">
      <c r="A47" t="s">
        <v>1433</v>
      </c>
      <c r="B47">
        <v>46</v>
      </c>
      <c r="C47">
        <v>46</v>
      </c>
      <c r="D47">
        <v>607</v>
      </c>
      <c r="E47" t="s">
        <v>1479</v>
      </c>
    </row>
    <row r="48" spans="1:5">
      <c r="A48" t="s">
        <v>1433</v>
      </c>
      <c r="B48">
        <v>47</v>
      </c>
      <c r="C48">
        <v>47</v>
      </c>
      <c r="D48">
        <v>608</v>
      </c>
      <c r="E48" t="s">
        <v>1480</v>
      </c>
    </row>
    <row r="49" spans="1:5">
      <c r="A49" t="s">
        <v>1433</v>
      </c>
      <c r="B49">
        <v>48</v>
      </c>
      <c r="C49">
        <v>48</v>
      </c>
      <c r="D49">
        <v>609</v>
      </c>
      <c r="E49" t="s">
        <v>1481</v>
      </c>
    </row>
    <row r="50" spans="1:5">
      <c r="A50" t="s">
        <v>1433</v>
      </c>
      <c r="B50">
        <v>49</v>
      </c>
      <c r="C50">
        <v>49</v>
      </c>
      <c r="D50">
        <v>610</v>
      </c>
      <c r="E50" t="s">
        <v>1482</v>
      </c>
    </row>
    <row r="51" spans="1:5">
      <c r="A51" t="s">
        <v>1433</v>
      </c>
      <c r="B51">
        <v>50</v>
      </c>
      <c r="C51">
        <v>50</v>
      </c>
      <c r="D51">
        <v>611</v>
      </c>
      <c r="E51" t="s">
        <v>1483</v>
      </c>
    </row>
    <row r="52" spans="1:5">
      <c r="A52" t="s">
        <v>1433</v>
      </c>
      <c r="B52">
        <v>51</v>
      </c>
      <c r="C52">
        <v>51</v>
      </c>
      <c r="D52">
        <v>612</v>
      </c>
      <c r="E52" t="s">
        <v>1484</v>
      </c>
    </row>
    <row r="53" spans="1:5">
      <c r="A53" t="s">
        <v>1433</v>
      </c>
      <c r="B53">
        <v>52</v>
      </c>
      <c r="C53">
        <v>52</v>
      </c>
      <c r="D53">
        <v>613</v>
      </c>
      <c r="E53" t="s">
        <v>1485</v>
      </c>
    </row>
    <row r="54" spans="1:5">
      <c r="A54" t="s">
        <v>1433</v>
      </c>
      <c r="B54">
        <v>53</v>
      </c>
      <c r="C54">
        <v>53</v>
      </c>
      <c r="D54">
        <v>614</v>
      </c>
      <c r="E54" t="s">
        <v>1486</v>
      </c>
    </row>
    <row r="55" spans="1:5">
      <c r="A55" t="s">
        <v>1433</v>
      </c>
      <c r="B55">
        <v>54</v>
      </c>
      <c r="C55">
        <v>54</v>
      </c>
      <c r="D55">
        <v>615</v>
      </c>
      <c r="E55" t="s">
        <v>1487</v>
      </c>
    </row>
    <row r="56" spans="1:5">
      <c r="A56" t="s">
        <v>1433</v>
      </c>
      <c r="B56">
        <v>55</v>
      </c>
      <c r="C56">
        <v>55</v>
      </c>
      <c r="D56">
        <v>616</v>
      </c>
      <c r="E56" t="s">
        <v>1488</v>
      </c>
    </row>
    <row r="57" spans="1:5">
      <c r="A57" t="s">
        <v>1433</v>
      </c>
      <c r="B57">
        <v>56</v>
      </c>
      <c r="C57">
        <v>56</v>
      </c>
      <c r="D57">
        <v>617</v>
      </c>
      <c r="E57" t="s">
        <v>1489</v>
      </c>
    </row>
    <row r="58" spans="1:5">
      <c r="A58" t="s">
        <v>1433</v>
      </c>
      <c r="B58">
        <v>57</v>
      </c>
      <c r="C58">
        <v>57</v>
      </c>
      <c r="D58">
        <v>618</v>
      </c>
      <c r="E58" t="s">
        <v>1490</v>
      </c>
    </row>
    <row r="59" spans="1:5">
      <c r="A59" t="s">
        <v>1433</v>
      </c>
      <c r="B59">
        <v>58</v>
      </c>
      <c r="C59">
        <v>58</v>
      </c>
      <c r="D59">
        <v>619</v>
      </c>
      <c r="E59" t="s">
        <v>1491</v>
      </c>
    </row>
    <row r="60" spans="1:5">
      <c r="A60" t="s">
        <v>1433</v>
      </c>
      <c r="B60">
        <v>59</v>
      </c>
      <c r="C60">
        <v>59</v>
      </c>
      <c r="D60">
        <v>620</v>
      </c>
      <c r="E60" t="s">
        <v>1492</v>
      </c>
    </row>
    <row r="61" spans="1:5">
      <c r="A61" t="s">
        <v>1433</v>
      </c>
      <c r="B61">
        <v>60</v>
      </c>
      <c r="C61">
        <v>60</v>
      </c>
      <c r="D61">
        <v>621</v>
      </c>
      <c r="E61" t="s">
        <v>1493</v>
      </c>
    </row>
    <row r="62" spans="1:5">
      <c r="A62" t="s">
        <v>1433</v>
      </c>
      <c r="B62">
        <v>61</v>
      </c>
      <c r="C62">
        <v>61</v>
      </c>
      <c r="D62">
        <v>622</v>
      </c>
      <c r="E62" t="s">
        <v>1494</v>
      </c>
    </row>
    <row r="63" spans="1:5">
      <c r="A63" t="s">
        <v>1433</v>
      </c>
      <c r="B63">
        <v>62</v>
      </c>
      <c r="C63">
        <v>62</v>
      </c>
      <c r="D63">
        <v>623</v>
      </c>
      <c r="E63" t="s">
        <v>1495</v>
      </c>
    </row>
    <row r="64" spans="1:5">
      <c r="A64" t="s">
        <v>1433</v>
      </c>
      <c r="B64">
        <v>63</v>
      </c>
      <c r="C64">
        <v>63</v>
      </c>
      <c r="D64">
        <v>624</v>
      </c>
      <c r="E64" t="s">
        <v>1496</v>
      </c>
    </row>
    <row r="65" spans="1:5">
      <c r="A65" t="s">
        <v>1433</v>
      </c>
      <c r="B65">
        <v>64</v>
      </c>
      <c r="C65">
        <v>64</v>
      </c>
      <c r="D65">
        <v>625</v>
      </c>
      <c r="E65" t="s">
        <v>1497</v>
      </c>
    </row>
    <row r="66" spans="1:5">
      <c r="A66" t="s">
        <v>1433</v>
      </c>
      <c r="B66">
        <v>65</v>
      </c>
      <c r="C66">
        <v>65</v>
      </c>
      <c r="D66">
        <v>626</v>
      </c>
      <c r="E66" t="s">
        <v>1498</v>
      </c>
    </row>
    <row r="67" spans="1:5">
      <c r="A67" t="s">
        <v>1433</v>
      </c>
      <c r="B67">
        <v>66</v>
      </c>
      <c r="C67">
        <v>66</v>
      </c>
      <c r="D67">
        <v>627</v>
      </c>
      <c r="E67" t="s">
        <v>1499</v>
      </c>
    </row>
    <row r="68" spans="1:5">
      <c r="A68" t="s">
        <v>1433</v>
      </c>
      <c r="B68">
        <v>67</v>
      </c>
      <c r="C68">
        <v>67</v>
      </c>
      <c r="D68">
        <v>628</v>
      </c>
      <c r="E68" t="s">
        <v>1500</v>
      </c>
    </row>
    <row r="69" spans="1:5">
      <c r="A69" t="s">
        <v>1433</v>
      </c>
      <c r="B69">
        <v>68</v>
      </c>
      <c r="C69">
        <v>68</v>
      </c>
      <c r="D69">
        <v>629</v>
      </c>
      <c r="E69" t="s">
        <v>1501</v>
      </c>
    </row>
    <row r="70" spans="1:5">
      <c r="A70" t="s">
        <v>1433</v>
      </c>
      <c r="B70">
        <v>69</v>
      </c>
      <c r="C70">
        <v>69</v>
      </c>
      <c r="D70">
        <v>630</v>
      </c>
      <c r="E70" t="s">
        <v>1502</v>
      </c>
    </row>
    <row r="71" spans="1:5">
      <c r="A71" t="s">
        <v>1433</v>
      </c>
      <c r="B71">
        <v>70</v>
      </c>
      <c r="C71">
        <v>70</v>
      </c>
      <c r="D71">
        <v>631</v>
      </c>
      <c r="E71" t="s">
        <v>1503</v>
      </c>
    </row>
    <row r="72" spans="1:5">
      <c r="A72" t="s">
        <v>1433</v>
      </c>
      <c r="B72">
        <v>71</v>
      </c>
      <c r="C72">
        <v>71</v>
      </c>
      <c r="D72">
        <v>632</v>
      </c>
      <c r="E72" t="s">
        <v>1504</v>
      </c>
    </row>
    <row r="73" spans="1:5">
      <c r="A73" t="s">
        <v>1433</v>
      </c>
      <c r="B73">
        <v>72</v>
      </c>
      <c r="C73">
        <v>72</v>
      </c>
      <c r="D73">
        <v>633</v>
      </c>
      <c r="E73" t="s">
        <v>1505</v>
      </c>
    </row>
    <row r="74" spans="1:5">
      <c r="A74" t="s">
        <v>1433</v>
      </c>
      <c r="B74">
        <v>73</v>
      </c>
      <c r="C74">
        <v>73</v>
      </c>
      <c r="D74">
        <v>634</v>
      </c>
      <c r="E74" t="s">
        <v>1506</v>
      </c>
    </row>
    <row r="75" spans="1:5">
      <c r="A75" t="s">
        <v>1433</v>
      </c>
      <c r="B75">
        <v>74</v>
      </c>
      <c r="C75">
        <v>74</v>
      </c>
      <c r="D75">
        <v>635</v>
      </c>
      <c r="E75" t="s">
        <v>1507</v>
      </c>
    </row>
    <row r="76" spans="1:5">
      <c r="A76" t="s">
        <v>1433</v>
      </c>
      <c r="B76">
        <v>75</v>
      </c>
      <c r="C76">
        <v>75</v>
      </c>
      <c r="D76">
        <v>636</v>
      </c>
      <c r="E76" t="s">
        <v>1508</v>
      </c>
    </row>
    <row r="77" spans="1:5">
      <c r="A77" t="s">
        <v>1433</v>
      </c>
      <c r="B77">
        <v>76</v>
      </c>
      <c r="C77">
        <v>76</v>
      </c>
      <c r="D77">
        <v>637</v>
      </c>
      <c r="E77" t="s">
        <v>1509</v>
      </c>
    </row>
    <row r="78" spans="1:5">
      <c r="A78" t="s">
        <v>1433</v>
      </c>
      <c r="B78">
        <v>77</v>
      </c>
      <c r="C78">
        <v>77</v>
      </c>
      <c r="D78">
        <v>638</v>
      </c>
      <c r="E78" t="s">
        <v>1510</v>
      </c>
    </row>
    <row r="79" spans="1:5">
      <c r="A79" t="s">
        <v>1433</v>
      </c>
      <c r="B79">
        <v>78</v>
      </c>
      <c r="C79">
        <v>78</v>
      </c>
      <c r="D79">
        <v>639</v>
      </c>
      <c r="E79" t="s">
        <v>1511</v>
      </c>
    </row>
    <row r="80" spans="1:5">
      <c r="A80" t="s">
        <v>1433</v>
      </c>
      <c r="B80">
        <v>79</v>
      </c>
      <c r="C80">
        <v>79</v>
      </c>
      <c r="D80">
        <v>640</v>
      </c>
      <c r="E80" t="s">
        <v>1512</v>
      </c>
    </row>
    <row r="81" spans="1:5">
      <c r="A81" t="s">
        <v>1433</v>
      </c>
      <c r="B81">
        <v>80</v>
      </c>
      <c r="C81">
        <v>80</v>
      </c>
      <c r="D81">
        <v>641</v>
      </c>
      <c r="E81" t="s">
        <v>1513</v>
      </c>
    </row>
    <row r="82" spans="1:5">
      <c r="A82" t="s">
        <v>1433</v>
      </c>
      <c r="B82">
        <v>81</v>
      </c>
      <c r="C82">
        <v>81</v>
      </c>
      <c r="D82">
        <v>642</v>
      </c>
      <c r="E82" t="s">
        <v>1514</v>
      </c>
    </row>
    <row r="83" spans="1:5">
      <c r="A83" t="s">
        <v>1433</v>
      </c>
      <c r="B83">
        <v>82</v>
      </c>
      <c r="C83">
        <v>82</v>
      </c>
      <c r="D83">
        <v>643</v>
      </c>
      <c r="E83" t="s">
        <v>1515</v>
      </c>
    </row>
    <row r="84" spans="1:5">
      <c r="A84" t="s">
        <v>1433</v>
      </c>
      <c r="B84">
        <v>83</v>
      </c>
      <c r="C84">
        <v>83</v>
      </c>
      <c r="D84">
        <v>644</v>
      </c>
      <c r="E84" t="s">
        <v>1516</v>
      </c>
    </row>
    <row r="85" spans="1:5">
      <c r="A85" t="s">
        <v>1433</v>
      </c>
      <c r="B85">
        <v>84</v>
      </c>
      <c r="C85">
        <v>84</v>
      </c>
      <c r="D85">
        <v>645</v>
      </c>
      <c r="E85" t="s">
        <v>1517</v>
      </c>
    </row>
    <row r="86" spans="1:5">
      <c r="A86" t="s">
        <v>1433</v>
      </c>
      <c r="B86">
        <v>85</v>
      </c>
      <c r="C86">
        <v>85</v>
      </c>
      <c r="D86">
        <v>646</v>
      </c>
      <c r="E86" t="s">
        <v>1518</v>
      </c>
    </row>
    <row r="87" spans="1:5">
      <c r="A87" t="s">
        <v>1433</v>
      </c>
      <c r="B87">
        <v>86</v>
      </c>
      <c r="C87">
        <v>86</v>
      </c>
      <c r="D87">
        <v>647</v>
      </c>
      <c r="E87" t="s">
        <v>1519</v>
      </c>
    </row>
    <row r="88" spans="1:5">
      <c r="A88" t="s">
        <v>1433</v>
      </c>
      <c r="B88">
        <v>87</v>
      </c>
      <c r="C88">
        <v>87</v>
      </c>
      <c r="D88">
        <v>648</v>
      </c>
      <c r="E88" t="s">
        <v>1520</v>
      </c>
    </row>
    <row r="89" spans="1:5">
      <c r="A89" t="s">
        <v>1433</v>
      </c>
      <c r="B89">
        <v>88</v>
      </c>
      <c r="C89">
        <v>88</v>
      </c>
      <c r="D89">
        <v>649</v>
      </c>
      <c r="E89" t="s">
        <v>1521</v>
      </c>
    </row>
    <row r="90" spans="1:5">
      <c r="A90" t="s">
        <v>1433</v>
      </c>
      <c r="B90">
        <v>89</v>
      </c>
      <c r="C90">
        <v>89</v>
      </c>
      <c r="D90">
        <v>1584</v>
      </c>
      <c r="E90" t="s">
        <v>1522</v>
      </c>
    </row>
    <row r="91" spans="1:5">
      <c r="A91" t="s">
        <v>1433</v>
      </c>
      <c r="B91">
        <v>90</v>
      </c>
      <c r="C91">
        <v>90</v>
      </c>
      <c r="D91">
        <v>650</v>
      </c>
      <c r="E91" t="s">
        <v>1523</v>
      </c>
    </row>
    <row r="92" spans="1:5">
      <c r="A92" t="s">
        <v>1433</v>
      </c>
      <c r="B92">
        <v>91</v>
      </c>
      <c r="C92">
        <v>91</v>
      </c>
      <c r="D92">
        <v>651</v>
      </c>
      <c r="E92" t="s">
        <v>1524</v>
      </c>
    </row>
    <row r="93" spans="1:5">
      <c r="A93" t="s">
        <v>1433</v>
      </c>
      <c r="B93">
        <v>92</v>
      </c>
      <c r="C93">
        <v>92</v>
      </c>
      <c r="D93">
        <v>652</v>
      </c>
      <c r="E93" t="s">
        <v>1525</v>
      </c>
    </row>
    <row r="94" spans="1:5">
      <c r="A94" t="s">
        <v>1433</v>
      </c>
      <c r="B94">
        <v>93</v>
      </c>
      <c r="C94">
        <v>93</v>
      </c>
      <c r="D94">
        <v>653</v>
      </c>
      <c r="E94" t="s">
        <v>1526</v>
      </c>
    </row>
    <row r="95" spans="1:5">
      <c r="A95" t="s">
        <v>1433</v>
      </c>
      <c r="B95">
        <v>94</v>
      </c>
      <c r="C95">
        <v>94</v>
      </c>
      <c r="D95">
        <v>654</v>
      </c>
      <c r="E95" t="s">
        <v>1527</v>
      </c>
    </row>
    <row r="96" spans="1:5">
      <c r="A96" t="s">
        <v>1433</v>
      </c>
      <c r="B96">
        <v>95</v>
      </c>
      <c r="C96">
        <v>95</v>
      </c>
      <c r="D96">
        <v>655</v>
      </c>
      <c r="E96" t="s">
        <v>1528</v>
      </c>
    </row>
    <row r="97" spans="1:5">
      <c r="A97" t="s">
        <v>1433</v>
      </c>
      <c r="B97">
        <v>96</v>
      </c>
      <c r="C97">
        <v>96</v>
      </c>
      <c r="D97">
        <v>656</v>
      </c>
      <c r="E97" t="s">
        <v>1529</v>
      </c>
    </row>
    <row r="98" spans="1:5">
      <c r="A98" t="s">
        <v>1433</v>
      </c>
      <c r="B98">
        <v>97</v>
      </c>
      <c r="C98">
        <v>97</v>
      </c>
      <c r="D98">
        <v>657</v>
      </c>
      <c r="E98" t="s">
        <v>1530</v>
      </c>
    </row>
    <row r="99" spans="1:5">
      <c r="A99" t="s">
        <v>1433</v>
      </c>
      <c r="B99">
        <v>98</v>
      </c>
      <c r="C99">
        <v>98</v>
      </c>
      <c r="D99">
        <v>658</v>
      </c>
      <c r="E99" t="s">
        <v>1531</v>
      </c>
    </row>
    <row r="100" spans="1:5">
      <c r="A100" t="s">
        <v>1433</v>
      </c>
      <c r="B100">
        <v>99</v>
      </c>
      <c r="C100">
        <v>99</v>
      </c>
      <c r="D100">
        <v>659</v>
      </c>
      <c r="E100" t="s">
        <v>1532</v>
      </c>
    </row>
    <row r="101" spans="1:5">
      <c r="A101" t="s">
        <v>1433</v>
      </c>
      <c r="B101">
        <v>100</v>
      </c>
      <c r="C101">
        <v>100</v>
      </c>
      <c r="D101">
        <v>660</v>
      </c>
      <c r="E101" t="s">
        <v>1533</v>
      </c>
    </row>
    <row r="102" spans="1:5">
      <c r="A102" t="s">
        <v>1433</v>
      </c>
      <c r="B102">
        <v>101</v>
      </c>
      <c r="C102">
        <v>101</v>
      </c>
      <c r="D102">
        <v>661</v>
      </c>
      <c r="E102" t="s">
        <v>1534</v>
      </c>
    </row>
    <row r="103" spans="1:5">
      <c r="A103" t="s">
        <v>1433</v>
      </c>
      <c r="B103">
        <v>102</v>
      </c>
      <c r="C103">
        <v>102</v>
      </c>
      <c r="D103">
        <v>662</v>
      </c>
      <c r="E103" t="s">
        <v>1535</v>
      </c>
    </row>
    <row r="104" spans="1:5">
      <c r="A104" t="s">
        <v>1433</v>
      </c>
      <c r="B104">
        <v>103</v>
      </c>
      <c r="C104">
        <v>103</v>
      </c>
      <c r="D104">
        <v>663</v>
      </c>
      <c r="E104" t="s">
        <v>1536</v>
      </c>
    </row>
    <row r="105" spans="1:5">
      <c r="A105" t="s">
        <v>1433</v>
      </c>
      <c r="B105">
        <v>104</v>
      </c>
      <c r="C105">
        <v>104</v>
      </c>
      <c r="D105">
        <v>664</v>
      </c>
      <c r="E105" t="s">
        <v>1537</v>
      </c>
    </row>
    <row r="106" spans="1:5">
      <c r="A106" t="s">
        <v>1433</v>
      </c>
      <c r="B106">
        <v>105</v>
      </c>
      <c r="C106">
        <v>105</v>
      </c>
      <c r="D106">
        <v>665</v>
      </c>
      <c r="E106" t="s">
        <v>1538</v>
      </c>
    </row>
    <row r="107" spans="1:5">
      <c r="A107" t="s">
        <v>1433</v>
      </c>
      <c r="B107">
        <v>106</v>
      </c>
      <c r="C107">
        <v>106</v>
      </c>
      <c r="D107">
        <v>666</v>
      </c>
      <c r="E107" t="s">
        <v>1539</v>
      </c>
    </row>
    <row r="108" spans="1:5">
      <c r="A108" t="s">
        <v>1433</v>
      </c>
      <c r="B108">
        <v>107</v>
      </c>
      <c r="C108">
        <v>107</v>
      </c>
      <c r="D108">
        <v>667</v>
      </c>
      <c r="E108" t="s">
        <v>1540</v>
      </c>
    </row>
    <row r="109" spans="1:5">
      <c r="A109" t="s">
        <v>1433</v>
      </c>
      <c r="B109">
        <v>108</v>
      </c>
      <c r="C109">
        <v>108</v>
      </c>
      <c r="D109">
        <v>668</v>
      </c>
      <c r="E109" t="s">
        <v>1541</v>
      </c>
    </row>
    <row r="110" spans="1:5">
      <c r="A110" t="s">
        <v>1433</v>
      </c>
      <c r="B110">
        <v>109</v>
      </c>
      <c r="C110">
        <v>109</v>
      </c>
      <c r="D110">
        <v>669</v>
      </c>
      <c r="E110" t="s">
        <v>1542</v>
      </c>
    </row>
    <row r="111" spans="1:5">
      <c r="A111" t="s">
        <v>1433</v>
      </c>
      <c r="B111">
        <v>110</v>
      </c>
      <c r="C111">
        <v>110</v>
      </c>
      <c r="D111">
        <v>670</v>
      </c>
      <c r="E111" t="s">
        <v>1543</v>
      </c>
    </row>
    <row r="112" spans="1:5">
      <c r="A112" t="s">
        <v>1433</v>
      </c>
      <c r="B112">
        <v>111</v>
      </c>
      <c r="C112">
        <v>111</v>
      </c>
      <c r="D112">
        <v>671</v>
      </c>
      <c r="E112" t="s">
        <v>1544</v>
      </c>
    </row>
    <row r="113" spans="1:5">
      <c r="A113" t="s">
        <v>1433</v>
      </c>
      <c r="B113">
        <v>112</v>
      </c>
      <c r="C113">
        <v>112</v>
      </c>
      <c r="D113">
        <v>672</v>
      </c>
      <c r="E113" t="s">
        <v>1545</v>
      </c>
    </row>
    <row r="114" spans="1:5">
      <c r="A114" t="s">
        <v>1433</v>
      </c>
      <c r="B114">
        <v>113</v>
      </c>
      <c r="C114">
        <v>113</v>
      </c>
      <c r="D114">
        <v>673</v>
      </c>
      <c r="E114" t="s">
        <v>1546</v>
      </c>
    </row>
    <row r="115" spans="1:5">
      <c r="A115" t="s">
        <v>1433</v>
      </c>
      <c r="B115">
        <v>114</v>
      </c>
      <c r="C115">
        <v>114</v>
      </c>
      <c r="D115">
        <v>674</v>
      </c>
      <c r="E115" t="s">
        <v>1547</v>
      </c>
    </row>
    <row r="116" spans="1:5">
      <c r="A116" t="s">
        <v>1433</v>
      </c>
      <c r="B116">
        <v>115</v>
      </c>
      <c r="C116">
        <v>115</v>
      </c>
      <c r="D116">
        <v>675</v>
      </c>
      <c r="E116" t="s">
        <v>1548</v>
      </c>
    </row>
    <row r="117" spans="1:5">
      <c r="A117" t="s">
        <v>1433</v>
      </c>
      <c r="B117">
        <v>116</v>
      </c>
      <c r="C117">
        <v>116</v>
      </c>
      <c r="D117">
        <v>676</v>
      </c>
      <c r="E117" t="s">
        <v>1549</v>
      </c>
    </row>
    <row r="118" spans="1:5">
      <c r="A118" t="s">
        <v>1433</v>
      </c>
      <c r="B118">
        <v>117</v>
      </c>
      <c r="C118">
        <v>117</v>
      </c>
      <c r="D118">
        <v>677</v>
      </c>
      <c r="E118" t="s">
        <v>1550</v>
      </c>
    </row>
    <row r="119" spans="1:5">
      <c r="A119" t="s">
        <v>1433</v>
      </c>
      <c r="B119">
        <v>118</v>
      </c>
      <c r="C119">
        <v>118</v>
      </c>
      <c r="D119">
        <v>678</v>
      </c>
      <c r="E119" t="s">
        <v>1551</v>
      </c>
    </row>
    <row r="120" spans="1:5">
      <c r="A120" t="s">
        <v>1433</v>
      </c>
      <c r="B120">
        <v>119</v>
      </c>
      <c r="C120">
        <v>119</v>
      </c>
      <c r="D120">
        <v>679</v>
      </c>
      <c r="E120" t="s">
        <v>1552</v>
      </c>
    </row>
    <row r="121" spans="1:5">
      <c r="A121" t="s">
        <v>1433</v>
      </c>
      <c r="B121">
        <v>120</v>
      </c>
      <c r="C121">
        <v>120</v>
      </c>
      <c r="D121">
        <v>680</v>
      </c>
      <c r="E121" t="s">
        <v>1553</v>
      </c>
    </row>
    <row r="122" spans="1:5">
      <c r="A122" t="s">
        <v>1433</v>
      </c>
      <c r="B122">
        <v>121</v>
      </c>
      <c r="C122">
        <v>121</v>
      </c>
      <c r="D122">
        <v>681</v>
      </c>
      <c r="E122" t="s">
        <v>1554</v>
      </c>
    </row>
    <row r="123" spans="1:5">
      <c r="A123" t="s">
        <v>1433</v>
      </c>
      <c r="B123">
        <v>122</v>
      </c>
      <c r="C123">
        <v>122</v>
      </c>
      <c r="D123">
        <v>682</v>
      </c>
      <c r="E123" t="s">
        <v>1555</v>
      </c>
    </row>
    <row r="124" spans="1:5">
      <c r="A124" t="s">
        <v>1433</v>
      </c>
      <c r="B124">
        <v>123</v>
      </c>
      <c r="C124">
        <v>123</v>
      </c>
      <c r="D124">
        <v>683</v>
      </c>
      <c r="E124" t="s">
        <v>1556</v>
      </c>
    </row>
    <row r="125" spans="1:5">
      <c r="A125" t="s">
        <v>1433</v>
      </c>
      <c r="B125">
        <v>124</v>
      </c>
      <c r="C125">
        <v>124</v>
      </c>
      <c r="D125">
        <v>684</v>
      </c>
      <c r="E125" t="s">
        <v>1557</v>
      </c>
    </row>
    <row r="126" spans="1:5">
      <c r="A126" t="s">
        <v>1433</v>
      </c>
      <c r="B126">
        <v>125</v>
      </c>
      <c r="C126">
        <v>125</v>
      </c>
      <c r="D126">
        <v>685</v>
      </c>
      <c r="E126" t="s">
        <v>1558</v>
      </c>
    </row>
    <row r="127" spans="1:5">
      <c r="A127" t="s">
        <v>1433</v>
      </c>
      <c r="B127">
        <v>126</v>
      </c>
      <c r="C127">
        <v>126</v>
      </c>
      <c r="D127">
        <v>686</v>
      </c>
      <c r="E127" t="s">
        <v>1559</v>
      </c>
    </row>
    <row r="128" spans="1:5">
      <c r="A128" t="s">
        <v>1433</v>
      </c>
      <c r="B128">
        <v>127</v>
      </c>
      <c r="C128">
        <v>127</v>
      </c>
      <c r="D128">
        <v>687</v>
      </c>
      <c r="E128" t="s">
        <v>1560</v>
      </c>
    </row>
    <row r="129" spans="1:5">
      <c r="A129" t="s">
        <v>1433</v>
      </c>
      <c r="B129">
        <v>128</v>
      </c>
      <c r="C129">
        <v>128</v>
      </c>
      <c r="D129">
        <v>688</v>
      </c>
      <c r="E129" t="s">
        <v>1561</v>
      </c>
    </row>
    <row r="130" spans="1:5">
      <c r="A130" t="s">
        <v>1433</v>
      </c>
      <c r="B130">
        <v>129</v>
      </c>
      <c r="C130">
        <v>129</v>
      </c>
      <c r="D130">
        <v>689</v>
      </c>
      <c r="E130" t="s">
        <v>1562</v>
      </c>
    </row>
    <row r="131" spans="1:5">
      <c r="A131" t="s">
        <v>1433</v>
      </c>
      <c r="B131">
        <v>130</v>
      </c>
      <c r="C131">
        <v>130</v>
      </c>
      <c r="D131">
        <v>690</v>
      </c>
      <c r="E131" t="s">
        <v>1563</v>
      </c>
    </row>
    <row r="132" spans="1:5">
      <c r="A132" t="s">
        <v>1433</v>
      </c>
      <c r="B132">
        <v>131</v>
      </c>
      <c r="C132">
        <v>131</v>
      </c>
      <c r="D132">
        <v>691</v>
      </c>
      <c r="E132" t="s">
        <v>1564</v>
      </c>
    </row>
    <row r="133" spans="1:5">
      <c r="A133" t="s">
        <v>1433</v>
      </c>
      <c r="B133">
        <v>132</v>
      </c>
      <c r="C133">
        <v>132</v>
      </c>
      <c r="D133">
        <v>692</v>
      </c>
      <c r="E133" t="s">
        <v>1565</v>
      </c>
    </row>
    <row r="134" spans="1:5">
      <c r="A134" t="s">
        <v>1433</v>
      </c>
      <c r="B134">
        <v>133</v>
      </c>
      <c r="C134">
        <v>133</v>
      </c>
      <c r="D134">
        <v>693</v>
      </c>
      <c r="E134" t="s">
        <v>1566</v>
      </c>
    </row>
    <row r="135" spans="1:5">
      <c r="A135" t="s">
        <v>1433</v>
      </c>
      <c r="B135">
        <v>134</v>
      </c>
      <c r="C135">
        <v>134</v>
      </c>
      <c r="D135">
        <v>694</v>
      </c>
      <c r="E135" t="s">
        <v>1567</v>
      </c>
    </row>
    <row r="136" spans="1:5">
      <c r="A136" t="s">
        <v>1433</v>
      </c>
      <c r="B136">
        <v>135</v>
      </c>
      <c r="C136">
        <v>135</v>
      </c>
      <c r="D136">
        <v>695</v>
      </c>
      <c r="E136" t="s">
        <v>1568</v>
      </c>
    </row>
    <row r="137" spans="1:5">
      <c r="A137" t="s">
        <v>1433</v>
      </c>
      <c r="B137">
        <v>136</v>
      </c>
      <c r="C137">
        <v>136</v>
      </c>
      <c r="D137">
        <v>696</v>
      </c>
      <c r="E137" t="s">
        <v>1569</v>
      </c>
    </row>
    <row r="138" spans="1:5">
      <c r="A138" t="s">
        <v>1433</v>
      </c>
      <c r="B138">
        <v>137</v>
      </c>
      <c r="C138">
        <v>137</v>
      </c>
      <c r="D138">
        <v>697</v>
      </c>
      <c r="E138" t="s">
        <v>1570</v>
      </c>
    </row>
    <row r="139" spans="1:5">
      <c r="A139" t="s">
        <v>1433</v>
      </c>
      <c r="B139">
        <v>138</v>
      </c>
      <c r="C139">
        <v>138</v>
      </c>
      <c r="D139">
        <v>698</v>
      </c>
      <c r="E139" t="s">
        <v>1571</v>
      </c>
    </row>
    <row r="140" spans="1:5">
      <c r="A140" t="s">
        <v>1433</v>
      </c>
      <c r="B140">
        <v>139</v>
      </c>
      <c r="C140">
        <v>139</v>
      </c>
      <c r="D140">
        <v>699</v>
      </c>
      <c r="E140" t="s">
        <v>1572</v>
      </c>
    </row>
    <row r="141" spans="1:5">
      <c r="A141" t="s">
        <v>1433</v>
      </c>
      <c r="B141">
        <v>140</v>
      </c>
      <c r="C141">
        <v>140</v>
      </c>
      <c r="D141">
        <v>700</v>
      </c>
      <c r="E141" t="s">
        <v>1573</v>
      </c>
    </row>
    <row r="142" spans="1:5">
      <c r="A142" t="s">
        <v>1433</v>
      </c>
      <c r="B142">
        <v>141</v>
      </c>
      <c r="C142">
        <v>141</v>
      </c>
      <c r="D142">
        <v>701</v>
      </c>
      <c r="E142" t="s">
        <v>1574</v>
      </c>
    </row>
    <row r="143" spans="1:5">
      <c r="A143" t="s">
        <v>1433</v>
      </c>
      <c r="B143">
        <v>142</v>
      </c>
      <c r="C143">
        <v>142</v>
      </c>
      <c r="D143">
        <v>702</v>
      </c>
      <c r="E143" t="s">
        <v>1575</v>
      </c>
    </row>
    <row r="144" spans="1:5">
      <c r="A144" t="s">
        <v>1433</v>
      </c>
      <c r="B144">
        <v>143</v>
      </c>
      <c r="C144">
        <v>143</v>
      </c>
      <c r="D144">
        <v>703</v>
      </c>
      <c r="E144" t="s">
        <v>1576</v>
      </c>
    </row>
    <row r="145" spans="1:5">
      <c r="A145" t="s">
        <v>1433</v>
      </c>
      <c r="B145">
        <v>144</v>
      </c>
      <c r="C145">
        <v>144</v>
      </c>
      <c r="D145">
        <v>704</v>
      </c>
      <c r="E145" t="s">
        <v>1577</v>
      </c>
    </row>
    <row r="146" spans="1:5">
      <c r="A146" t="s">
        <v>1433</v>
      </c>
      <c r="B146">
        <v>145</v>
      </c>
      <c r="C146">
        <v>145</v>
      </c>
      <c r="D146">
        <v>705</v>
      </c>
      <c r="E146" t="s">
        <v>1578</v>
      </c>
    </row>
    <row r="147" spans="1:5">
      <c r="A147" t="s">
        <v>1433</v>
      </c>
      <c r="B147">
        <v>146</v>
      </c>
      <c r="C147">
        <v>146</v>
      </c>
      <c r="D147">
        <v>706</v>
      </c>
      <c r="E147" t="s">
        <v>1579</v>
      </c>
    </row>
    <row r="148" spans="1:5">
      <c r="A148" t="s">
        <v>1433</v>
      </c>
      <c r="B148">
        <v>147</v>
      </c>
      <c r="C148">
        <v>147</v>
      </c>
      <c r="D148">
        <v>707</v>
      </c>
      <c r="E148" t="s">
        <v>1580</v>
      </c>
    </row>
    <row r="149" spans="1:5">
      <c r="A149" t="s">
        <v>1433</v>
      </c>
      <c r="B149">
        <v>148</v>
      </c>
      <c r="C149">
        <v>148</v>
      </c>
      <c r="D149">
        <v>708</v>
      </c>
      <c r="E149" t="s">
        <v>1581</v>
      </c>
    </row>
    <row r="150" spans="1:5">
      <c r="A150" t="s">
        <v>1433</v>
      </c>
      <c r="B150">
        <v>149</v>
      </c>
      <c r="C150">
        <v>149</v>
      </c>
      <c r="D150">
        <v>709</v>
      </c>
      <c r="E150" t="s">
        <v>1582</v>
      </c>
    </row>
    <row r="151" spans="1:5">
      <c r="A151" t="s">
        <v>1433</v>
      </c>
      <c r="B151">
        <v>150</v>
      </c>
      <c r="C151">
        <v>150</v>
      </c>
      <c r="D151">
        <v>710</v>
      </c>
      <c r="E151" t="s">
        <v>1583</v>
      </c>
    </row>
    <row r="152" spans="1:5">
      <c r="A152" t="s">
        <v>1433</v>
      </c>
      <c r="B152">
        <v>151</v>
      </c>
      <c r="C152">
        <v>151</v>
      </c>
      <c r="D152">
        <v>711</v>
      </c>
      <c r="E152" t="s">
        <v>1584</v>
      </c>
    </row>
    <row r="153" spans="1:5">
      <c r="A153" t="s">
        <v>1433</v>
      </c>
      <c r="B153">
        <v>152</v>
      </c>
      <c r="C153">
        <v>152</v>
      </c>
      <c r="D153">
        <v>712</v>
      </c>
      <c r="E153" t="s">
        <v>1585</v>
      </c>
    </row>
    <row r="154" spans="1:5">
      <c r="A154" t="s">
        <v>1433</v>
      </c>
      <c r="B154">
        <v>153</v>
      </c>
      <c r="C154">
        <v>153</v>
      </c>
      <c r="D154">
        <v>713</v>
      </c>
      <c r="E154" t="s">
        <v>1586</v>
      </c>
    </row>
    <row r="155" spans="1:5">
      <c r="A155" t="s">
        <v>1433</v>
      </c>
      <c r="B155">
        <v>154</v>
      </c>
      <c r="C155">
        <v>154</v>
      </c>
      <c r="D155">
        <v>714</v>
      </c>
      <c r="E155" t="s">
        <v>1587</v>
      </c>
    </row>
    <row r="156" spans="1:5">
      <c r="A156" t="s">
        <v>1433</v>
      </c>
      <c r="B156">
        <v>155</v>
      </c>
      <c r="C156">
        <v>155</v>
      </c>
      <c r="D156">
        <v>715</v>
      </c>
      <c r="E156" t="s">
        <v>1588</v>
      </c>
    </row>
    <row r="157" spans="1:5">
      <c r="A157" t="s">
        <v>1433</v>
      </c>
      <c r="B157">
        <v>156</v>
      </c>
      <c r="C157">
        <v>156</v>
      </c>
      <c r="D157">
        <v>716</v>
      </c>
      <c r="E157" t="s">
        <v>1589</v>
      </c>
    </row>
    <row r="158" spans="1:5">
      <c r="A158" t="s">
        <v>1433</v>
      </c>
      <c r="B158">
        <v>157</v>
      </c>
      <c r="C158">
        <v>157</v>
      </c>
      <c r="D158">
        <v>717</v>
      </c>
      <c r="E158" t="s">
        <v>1590</v>
      </c>
    </row>
    <row r="159" spans="1:5">
      <c r="A159" t="s">
        <v>1433</v>
      </c>
      <c r="B159">
        <v>158</v>
      </c>
      <c r="C159">
        <v>158</v>
      </c>
      <c r="D159">
        <v>718</v>
      </c>
      <c r="E159" t="s">
        <v>1591</v>
      </c>
    </row>
    <row r="160" spans="1:5">
      <c r="A160" t="s">
        <v>1433</v>
      </c>
      <c r="B160">
        <v>159</v>
      </c>
      <c r="C160">
        <v>159</v>
      </c>
      <c r="D160">
        <v>719</v>
      </c>
      <c r="E160" t="s">
        <v>1592</v>
      </c>
    </row>
    <row r="161" spans="1:5">
      <c r="A161" t="s">
        <v>1433</v>
      </c>
      <c r="B161">
        <v>160</v>
      </c>
      <c r="C161">
        <v>160</v>
      </c>
      <c r="D161">
        <v>720</v>
      </c>
      <c r="E161" t="s">
        <v>1593</v>
      </c>
    </row>
    <row r="162" spans="1:5">
      <c r="A162" t="s">
        <v>1433</v>
      </c>
      <c r="B162">
        <v>161</v>
      </c>
      <c r="C162">
        <v>161</v>
      </c>
      <c r="D162">
        <v>721</v>
      </c>
      <c r="E162" t="s">
        <v>1594</v>
      </c>
    </row>
    <row r="163" spans="1:5">
      <c r="A163" t="s">
        <v>1433</v>
      </c>
      <c r="B163">
        <v>162</v>
      </c>
      <c r="C163">
        <v>162</v>
      </c>
      <c r="D163">
        <v>722</v>
      </c>
      <c r="E163" t="s">
        <v>1595</v>
      </c>
    </row>
    <row r="164" spans="1:5">
      <c r="A164" t="s">
        <v>1433</v>
      </c>
      <c r="B164">
        <v>163</v>
      </c>
      <c r="C164">
        <v>163</v>
      </c>
      <c r="D164">
        <v>723</v>
      </c>
      <c r="E164" t="s">
        <v>1596</v>
      </c>
    </row>
    <row r="165" spans="1:5">
      <c r="A165" t="s">
        <v>1433</v>
      </c>
      <c r="B165">
        <v>164</v>
      </c>
      <c r="C165">
        <v>164</v>
      </c>
      <c r="D165">
        <v>724</v>
      </c>
      <c r="E165" t="s">
        <v>1597</v>
      </c>
    </row>
    <row r="166" spans="1:5">
      <c r="A166" t="s">
        <v>1433</v>
      </c>
      <c r="B166">
        <v>165</v>
      </c>
      <c r="C166">
        <v>165</v>
      </c>
      <c r="D166">
        <v>725</v>
      </c>
      <c r="E166" t="s">
        <v>1598</v>
      </c>
    </row>
    <row r="167" spans="1:5">
      <c r="A167" t="s">
        <v>1433</v>
      </c>
      <c r="B167">
        <v>166</v>
      </c>
      <c r="C167">
        <v>166</v>
      </c>
      <c r="D167">
        <v>1593</v>
      </c>
      <c r="E167" t="s">
        <v>1599</v>
      </c>
    </row>
    <row r="168" spans="1:5">
      <c r="A168" t="s">
        <v>1433</v>
      </c>
      <c r="B168">
        <v>167</v>
      </c>
      <c r="C168">
        <v>167</v>
      </c>
      <c r="D168">
        <v>726</v>
      </c>
      <c r="E168" t="s">
        <v>1600</v>
      </c>
    </row>
    <row r="169" spans="1:5">
      <c r="A169" t="s">
        <v>1433</v>
      </c>
      <c r="B169">
        <v>168</v>
      </c>
      <c r="C169">
        <v>168</v>
      </c>
      <c r="D169">
        <v>727</v>
      </c>
      <c r="E169" t="s">
        <v>1601</v>
      </c>
    </row>
    <row r="170" spans="1:5">
      <c r="A170" t="s">
        <v>1433</v>
      </c>
      <c r="B170">
        <v>169</v>
      </c>
      <c r="C170">
        <v>169</v>
      </c>
      <c r="D170">
        <v>728</v>
      </c>
      <c r="E170" t="s">
        <v>1602</v>
      </c>
    </row>
    <row r="171" spans="1:5">
      <c r="A171" t="s">
        <v>1433</v>
      </c>
      <c r="B171">
        <v>170</v>
      </c>
      <c r="C171">
        <v>170</v>
      </c>
      <c r="D171">
        <v>729</v>
      </c>
      <c r="E171" t="s">
        <v>1603</v>
      </c>
    </row>
    <row r="172" spans="1:5">
      <c r="A172" t="s">
        <v>1433</v>
      </c>
      <c r="B172">
        <v>171</v>
      </c>
      <c r="C172">
        <v>171</v>
      </c>
      <c r="D172">
        <v>730</v>
      </c>
      <c r="E172" t="s">
        <v>1604</v>
      </c>
    </row>
    <row r="173" spans="1:5">
      <c r="A173" t="s">
        <v>1433</v>
      </c>
      <c r="B173">
        <v>172</v>
      </c>
      <c r="C173">
        <v>172</v>
      </c>
      <c r="D173">
        <v>731</v>
      </c>
      <c r="E173" t="s">
        <v>1605</v>
      </c>
    </row>
    <row r="174" spans="1:5">
      <c r="A174" t="s">
        <v>1433</v>
      </c>
      <c r="B174">
        <v>173</v>
      </c>
      <c r="C174">
        <v>173</v>
      </c>
      <c r="D174">
        <v>732</v>
      </c>
      <c r="E174" t="s">
        <v>1606</v>
      </c>
    </row>
    <row r="175" spans="1:5">
      <c r="A175" t="s">
        <v>1433</v>
      </c>
      <c r="B175">
        <v>174</v>
      </c>
      <c r="C175">
        <v>174</v>
      </c>
      <c r="D175">
        <v>733</v>
      </c>
      <c r="E175" t="s">
        <v>1607</v>
      </c>
    </row>
    <row r="176" spans="1:5">
      <c r="A176" t="s">
        <v>1433</v>
      </c>
      <c r="B176">
        <v>175</v>
      </c>
      <c r="C176">
        <v>175</v>
      </c>
      <c r="D176">
        <v>734</v>
      </c>
      <c r="E176" t="s">
        <v>1608</v>
      </c>
    </row>
    <row r="177" spans="1:5">
      <c r="A177" t="s">
        <v>1433</v>
      </c>
      <c r="B177">
        <v>176</v>
      </c>
      <c r="C177">
        <v>176</v>
      </c>
      <c r="D177">
        <v>735</v>
      </c>
      <c r="E177" t="s">
        <v>1609</v>
      </c>
    </row>
    <row r="178" spans="1:5">
      <c r="A178" t="s">
        <v>1433</v>
      </c>
      <c r="B178">
        <v>177</v>
      </c>
      <c r="C178">
        <v>177</v>
      </c>
      <c r="D178">
        <v>736</v>
      </c>
      <c r="E178" t="s">
        <v>1610</v>
      </c>
    </row>
    <row r="179" spans="1:5">
      <c r="A179" t="s">
        <v>1433</v>
      </c>
      <c r="B179">
        <v>178</v>
      </c>
      <c r="C179">
        <v>178</v>
      </c>
      <c r="D179">
        <v>737</v>
      </c>
      <c r="E179" t="s">
        <v>1611</v>
      </c>
    </row>
    <row r="180" spans="1:5">
      <c r="A180" t="s">
        <v>1433</v>
      </c>
      <c r="B180">
        <v>179</v>
      </c>
      <c r="C180">
        <v>179</v>
      </c>
      <c r="D180">
        <v>738</v>
      </c>
      <c r="E180" t="s">
        <v>1612</v>
      </c>
    </row>
    <row r="181" spans="1:5">
      <c r="A181" t="s">
        <v>1433</v>
      </c>
      <c r="B181">
        <v>180</v>
      </c>
      <c r="C181">
        <v>180</v>
      </c>
      <c r="D181">
        <v>739</v>
      </c>
      <c r="E181" t="s">
        <v>1613</v>
      </c>
    </row>
    <row r="182" spans="1:5">
      <c r="A182" t="s">
        <v>1433</v>
      </c>
      <c r="B182">
        <v>181</v>
      </c>
      <c r="C182">
        <v>181</v>
      </c>
      <c r="D182">
        <v>740</v>
      </c>
      <c r="E182" t="s">
        <v>1614</v>
      </c>
    </row>
    <row r="183" spans="1:5">
      <c r="A183" t="s">
        <v>1433</v>
      </c>
      <c r="B183">
        <v>182</v>
      </c>
      <c r="C183">
        <v>182</v>
      </c>
      <c r="D183">
        <v>741</v>
      </c>
      <c r="E183" t="s">
        <v>1615</v>
      </c>
    </row>
    <row r="184" spans="1:5">
      <c r="A184" t="s">
        <v>1433</v>
      </c>
      <c r="B184">
        <v>183</v>
      </c>
      <c r="C184">
        <v>183</v>
      </c>
      <c r="D184">
        <v>742</v>
      </c>
      <c r="E184" t="s">
        <v>1616</v>
      </c>
    </row>
    <row r="185" spans="1:5">
      <c r="A185" t="s">
        <v>1433</v>
      </c>
      <c r="B185">
        <v>184</v>
      </c>
      <c r="C185">
        <v>184</v>
      </c>
      <c r="D185">
        <v>743</v>
      </c>
      <c r="E185" t="s">
        <v>1617</v>
      </c>
    </row>
    <row r="186" spans="1:5">
      <c r="A186" t="s">
        <v>1433</v>
      </c>
      <c r="B186">
        <v>185</v>
      </c>
      <c r="C186">
        <v>185</v>
      </c>
      <c r="D186">
        <v>744</v>
      </c>
      <c r="E186" t="s">
        <v>1618</v>
      </c>
    </row>
    <row r="187" spans="1:5">
      <c r="A187" t="s">
        <v>1433</v>
      </c>
      <c r="B187">
        <v>186</v>
      </c>
      <c r="C187">
        <v>186</v>
      </c>
      <c r="D187">
        <v>745</v>
      </c>
      <c r="E187" t="s">
        <v>1619</v>
      </c>
    </row>
    <row r="188" spans="1:5">
      <c r="A188" t="s">
        <v>1433</v>
      </c>
      <c r="B188">
        <v>187</v>
      </c>
      <c r="C188">
        <v>187</v>
      </c>
      <c r="D188">
        <v>746</v>
      </c>
      <c r="E188" t="s">
        <v>1620</v>
      </c>
    </row>
    <row r="189" spans="1:5">
      <c r="A189" t="s">
        <v>1433</v>
      </c>
      <c r="B189">
        <v>188</v>
      </c>
      <c r="C189">
        <v>188</v>
      </c>
      <c r="D189">
        <v>747</v>
      </c>
      <c r="E189" t="s">
        <v>1621</v>
      </c>
    </row>
    <row r="190" spans="1:5">
      <c r="A190" t="s">
        <v>1433</v>
      </c>
      <c r="B190">
        <v>189</v>
      </c>
      <c r="C190">
        <v>189</v>
      </c>
      <c r="D190">
        <v>748</v>
      </c>
      <c r="E190" t="s">
        <v>1622</v>
      </c>
    </row>
    <row r="191" spans="1:5">
      <c r="A191" t="s">
        <v>1433</v>
      </c>
      <c r="B191">
        <v>190</v>
      </c>
      <c r="C191">
        <v>190</v>
      </c>
      <c r="D191">
        <v>749</v>
      </c>
      <c r="E191" t="s">
        <v>1623</v>
      </c>
    </row>
    <row r="192" spans="1:5">
      <c r="A192" t="s">
        <v>1433</v>
      </c>
      <c r="B192">
        <v>191</v>
      </c>
      <c r="C192">
        <v>191</v>
      </c>
      <c r="D192">
        <v>750</v>
      </c>
      <c r="E192" t="s">
        <v>1624</v>
      </c>
    </row>
    <row r="193" spans="1:5">
      <c r="A193" t="s">
        <v>1433</v>
      </c>
      <c r="B193">
        <v>192</v>
      </c>
      <c r="C193">
        <v>192</v>
      </c>
      <c r="D193">
        <v>751</v>
      </c>
      <c r="E193" t="s">
        <v>1625</v>
      </c>
    </row>
    <row r="194" spans="1:5">
      <c r="A194" t="s">
        <v>1433</v>
      </c>
      <c r="B194">
        <v>193</v>
      </c>
      <c r="C194">
        <v>193</v>
      </c>
      <c r="D194">
        <v>752</v>
      </c>
      <c r="E194" t="s">
        <v>1626</v>
      </c>
    </row>
    <row r="195" spans="1:5">
      <c r="A195" t="s">
        <v>1433</v>
      </c>
      <c r="B195">
        <v>194</v>
      </c>
      <c r="C195">
        <v>194</v>
      </c>
      <c r="D195">
        <v>753</v>
      </c>
      <c r="E195" t="s">
        <v>1627</v>
      </c>
    </row>
    <row r="196" spans="1:5">
      <c r="A196" t="s">
        <v>1433</v>
      </c>
      <c r="B196">
        <v>195</v>
      </c>
      <c r="C196">
        <v>195</v>
      </c>
      <c r="D196">
        <v>754</v>
      </c>
      <c r="E196" t="s">
        <v>1628</v>
      </c>
    </row>
    <row r="197" spans="1:5">
      <c r="A197" t="s">
        <v>1433</v>
      </c>
      <c r="B197">
        <v>196</v>
      </c>
      <c r="C197">
        <v>196</v>
      </c>
      <c r="D197">
        <v>755</v>
      </c>
      <c r="E197" t="s">
        <v>1629</v>
      </c>
    </row>
    <row r="198" spans="1:5">
      <c r="A198" t="s">
        <v>1433</v>
      </c>
      <c r="B198">
        <v>197</v>
      </c>
      <c r="C198">
        <v>197</v>
      </c>
      <c r="D198">
        <v>756</v>
      </c>
      <c r="E198" t="s">
        <v>1630</v>
      </c>
    </row>
    <row r="199" spans="1:5">
      <c r="A199" t="s">
        <v>1433</v>
      </c>
      <c r="B199">
        <v>198</v>
      </c>
      <c r="C199">
        <v>198</v>
      </c>
      <c r="D199">
        <v>757</v>
      </c>
      <c r="E199" t="s">
        <v>1631</v>
      </c>
    </row>
    <row r="200" spans="1:5">
      <c r="A200" t="s">
        <v>1433</v>
      </c>
      <c r="B200">
        <v>199</v>
      </c>
      <c r="C200">
        <v>199</v>
      </c>
      <c r="D200">
        <v>758</v>
      </c>
      <c r="E200" t="s">
        <v>1632</v>
      </c>
    </row>
    <row r="201" spans="1:5">
      <c r="A201" t="s">
        <v>1433</v>
      </c>
      <c r="B201">
        <v>200</v>
      </c>
      <c r="C201">
        <v>200</v>
      </c>
      <c r="D201">
        <v>759</v>
      </c>
      <c r="E201" t="s">
        <v>1633</v>
      </c>
    </row>
    <row r="202" spans="1:5">
      <c r="A202" t="s">
        <v>1433</v>
      </c>
      <c r="B202">
        <v>201</v>
      </c>
      <c r="C202">
        <v>201</v>
      </c>
      <c r="D202">
        <v>760</v>
      </c>
      <c r="E202" t="s">
        <v>1634</v>
      </c>
    </row>
    <row r="203" spans="1:5">
      <c r="A203" t="s">
        <v>1433</v>
      </c>
      <c r="B203">
        <v>202</v>
      </c>
      <c r="C203">
        <v>202</v>
      </c>
      <c r="D203">
        <v>761</v>
      </c>
      <c r="E203" t="s">
        <v>1635</v>
      </c>
    </row>
    <row r="204" spans="1:5">
      <c r="A204" t="s">
        <v>1433</v>
      </c>
      <c r="B204">
        <v>203</v>
      </c>
      <c r="C204">
        <v>203</v>
      </c>
      <c r="D204">
        <v>762</v>
      </c>
      <c r="E204" t="s">
        <v>1636</v>
      </c>
    </row>
    <row r="205" spans="1:5">
      <c r="A205" t="s">
        <v>1433</v>
      </c>
      <c r="B205">
        <v>204</v>
      </c>
      <c r="C205">
        <v>204</v>
      </c>
      <c r="D205">
        <v>763</v>
      </c>
      <c r="E205" t="s">
        <v>1637</v>
      </c>
    </row>
    <row r="206" spans="1:5">
      <c r="A206" t="s">
        <v>1433</v>
      </c>
      <c r="B206">
        <v>205</v>
      </c>
      <c r="C206">
        <v>205</v>
      </c>
      <c r="D206">
        <v>764</v>
      </c>
      <c r="E206" t="s">
        <v>1638</v>
      </c>
    </row>
    <row r="207" spans="1:5">
      <c r="A207" t="s">
        <v>1433</v>
      </c>
      <c r="B207">
        <v>206</v>
      </c>
      <c r="C207">
        <v>206</v>
      </c>
      <c r="D207">
        <v>765</v>
      </c>
      <c r="E207" t="s">
        <v>1639</v>
      </c>
    </row>
    <row r="208" spans="1:5">
      <c r="A208" t="s">
        <v>1433</v>
      </c>
      <c r="B208">
        <v>207</v>
      </c>
      <c r="C208">
        <v>207</v>
      </c>
      <c r="D208">
        <v>766</v>
      </c>
      <c r="E208" t="s">
        <v>1640</v>
      </c>
    </row>
    <row r="209" spans="1:5">
      <c r="A209" t="s">
        <v>1433</v>
      </c>
      <c r="B209">
        <v>208</v>
      </c>
      <c r="C209">
        <v>208</v>
      </c>
      <c r="D209">
        <v>767</v>
      </c>
      <c r="E209" t="s">
        <v>1641</v>
      </c>
    </row>
    <row r="210" spans="1:5">
      <c r="A210" t="s">
        <v>1433</v>
      </c>
      <c r="B210">
        <v>209</v>
      </c>
      <c r="C210">
        <v>209</v>
      </c>
      <c r="D210">
        <v>768</v>
      </c>
      <c r="E210" t="s">
        <v>1642</v>
      </c>
    </row>
    <row r="211" spans="1:5">
      <c r="A211" t="s">
        <v>1433</v>
      </c>
      <c r="B211">
        <v>210</v>
      </c>
      <c r="C211">
        <v>210</v>
      </c>
      <c r="D211">
        <v>769</v>
      </c>
      <c r="E211" t="s">
        <v>1643</v>
      </c>
    </row>
    <row r="212" spans="1:5">
      <c r="A212" t="s">
        <v>1433</v>
      </c>
      <c r="B212">
        <v>211</v>
      </c>
      <c r="C212">
        <v>211</v>
      </c>
      <c r="D212">
        <v>770</v>
      </c>
      <c r="E212" t="s">
        <v>1644</v>
      </c>
    </row>
    <row r="213" spans="1:5">
      <c r="A213" t="s">
        <v>1433</v>
      </c>
      <c r="B213">
        <v>212</v>
      </c>
      <c r="C213">
        <v>212</v>
      </c>
      <c r="D213">
        <v>771</v>
      </c>
      <c r="E213" t="s">
        <v>1645</v>
      </c>
    </row>
    <row r="214" spans="1:5">
      <c r="A214" t="s">
        <v>1433</v>
      </c>
      <c r="B214">
        <v>213</v>
      </c>
      <c r="C214">
        <v>213</v>
      </c>
      <c r="D214">
        <v>772</v>
      </c>
      <c r="E214" t="s">
        <v>1646</v>
      </c>
    </row>
    <row r="215" spans="1:5">
      <c r="A215" t="s">
        <v>1433</v>
      </c>
      <c r="B215">
        <v>214</v>
      </c>
      <c r="C215">
        <v>214</v>
      </c>
      <c r="D215">
        <v>773</v>
      </c>
      <c r="E215" t="s">
        <v>1647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9"/>
  <sheetViews>
    <sheetView topLeftCell="A4" workbookViewId="0">
      <selection activeCell="A17" sqref="A17"/>
    </sheetView>
  </sheetViews>
  <sheetFormatPr defaultColWidth="8.85546875" defaultRowHeight="15"/>
  <cols>
    <col min="1" max="1" width="41.140625" bestFit="1" customWidth="1"/>
    <col min="2" max="2" width="29.140625" bestFit="1" customWidth="1"/>
    <col min="3" max="3" width="6.140625" bestFit="1" customWidth="1"/>
    <col min="4" max="4" width="35.85546875" bestFit="1" customWidth="1"/>
    <col min="5" max="5" width="17.7109375" customWidth="1"/>
    <col min="7" max="7" width="10.140625" bestFit="1" customWidth="1"/>
  </cols>
  <sheetData>
    <row r="1" spans="1:8">
      <c r="A1" s="4" t="s">
        <v>71</v>
      </c>
      <c r="B1" s="4" t="s">
        <v>1186</v>
      </c>
      <c r="C1" s="4" t="s">
        <v>1260</v>
      </c>
      <c r="D1" s="4" t="s">
        <v>1881</v>
      </c>
      <c r="E1" s="4" t="s">
        <v>1879</v>
      </c>
      <c r="F1" s="4" t="s">
        <v>1882</v>
      </c>
      <c r="G1" s="4" t="s">
        <v>1883</v>
      </c>
      <c r="H1" s="4" t="s">
        <v>1273</v>
      </c>
    </row>
    <row r="2" spans="1:8">
      <c r="A2" t="s">
        <v>237</v>
      </c>
      <c r="B2" s="13" t="s">
        <v>237</v>
      </c>
      <c r="C2" t="b">
        <f>EXACT(A2,B2)</f>
        <v>1</v>
      </c>
      <c r="D2" t="str">
        <f t="shared" ref="D2:D33" si="0">VLOOKUP(B2, A2:A324, 1, FALSE)</f>
        <v>Cash and Bank Balances</v>
      </c>
      <c r="E2" t="str">
        <f>IF((AND(EXACT(C2,"TRUE"),_xlfn.IFNA(D2,"NA")&lt;&gt;"NA")),"Exist","")</f>
        <v>Exist</v>
      </c>
      <c r="F2" t="str">
        <f>IF((AND(EXACT(C2,"FALSE"),_xlfn.IFNA(D2,"NA")="NA")),"New","")</f>
        <v/>
      </c>
      <c r="G2" t="str">
        <f>IF((AND(ISBLANK(B2),EXACT(C2,"FALSE"))),"Remove","")</f>
        <v/>
      </c>
    </row>
    <row r="3" spans="1:8">
      <c r="A3" t="s">
        <v>238</v>
      </c>
      <c r="B3" s="14" t="s">
        <v>238</v>
      </c>
      <c r="C3" t="b">
        <f t="shared" ref="C3:C66" si="1">EXACT(A3,B3)</f>
        <v>1</v>
      </c>
      <c r="D3" t="str">
        <f t="shared" si="0"/>
        <v>Fixed Deposits</v>
      </c>
      <c r="E3" t="str">
        <f t="shared" ref="E3:E66" si="2">IF((AND(EXACT(C3,"TRUE"),_xlfn.IFNA(D3,"NA")&lt;&gt;"NA")),"Exist","")</f>
        <v>Exist</v>
      </c>
      <c r="F3" t="str">
        <f t="shared" ref="F3:F66" si="3">IF((AND(EXACT(C3,"FALSE"),_xlfn.IFNA(D3,"NA")="NA")),"New","")</f>
        <v/>
      </c>
      <c r="G3" t="str">
        <f t="shared" ref="G3:G66" si="4">IF((AND(ISBLANK(B3),EXACT(C3,"FALSE"))),"Remove","")</f>
        <v/>
      </c>
    </row>
    <row r="4" spans="1:8">
      <c r="A4" t="s">
        <v>1648</v>
      </c>
      <c r="B4" s="14" t="s">
        <v>1648</v>
      </c>
      <c r="C4" t="b">
        <f t="shared" si="1"/>
        <v>1</v>
      </c>
      <c r="D4" t="str">
        <f t="shared" si="0"/>
        <v>Raw Materials</v>
      </c>
      <c r="E4" t="str">
        <f t="shared" si="2"/>
        <v>Exist</v>
      </c>
      <c r="F4" t="str">
        <f t="shared" si="3"/>
        <v/>
      </c>
      <c r="G4" t="str">
        <f t="shared" si="4"/>
        <v/>
      </c>
    </row>
    <row r="5" spans="1:8">
      <c r="A5" t="s">
        <v>1649</v>
      </c>
      <c r="B5" s="14" t="s">
        <v>1649</v>
      </c>
      <c r="C5" t="b">
        <f t="shared" si="1"/>
        <v>1</v>
      </c>
      <c r="D5" t="str">
        <f t="shared" si="0"/>
        <v>Prov for Raw Materials</v>
      </c>
      <c r="E5" t="str">
        <f t="shared" si="2"/>
        <v>Exist</v>
      </c>
      <c r="F5" t="str">
        <f t="shared" si="3"/>
        <v/>
      </c>
      <c r="G5" t="str">
        <f t="shared" si="4"/>
        <v/>
      </c>
    </row>
    <row r="6" spans="1:8">
      <c r="A6" t="s">
        <v>1650</v>
      </c>
      <c r="B6" s="14" t="s">
        <v>1650</v>
      </c>
      <c r="C6" t="b">
        <f t="shared" si="1"/>
        <v>1</v>
      </c>
      <c r="D6" t="str">
        <f t="shared" si="0"/>
        <v>Semi-Finished Goods</v>
      </c>
      <c r="E6" t="str">
        <f t="shared" si="2"/>
        <v>Exist</v>
      </c>
      <c r="F6" t="str">
        <f t="shared" si="3"/>
        <v/>
      </c>
      <c r="G6" t="str">
        <f t="shared" si="4"/>
        <v/>
      </c>
    </row>
    <row r="7" spans="1:8">
      <c r="A7" t="s">
        <v>1651</v>
      </c>
      <c r="B7" s="14" t="s">
        <v>1651</v>
      </c>
      <c r="C7" t="b">
        <f t="shared" si="1"/>
        <v>1</v>
      </c>
      <c r="D7" t="str">
        <f t="shared" si="0"/>
        <v>Work in Progress</v>
      </c>
      <c r="E7" t="str">
        <f t="shared" si="2"/>
        <v>Exist</v>
      </c>
      <c r="F7" t="str">
        <f t="shared" si="3"/>
        <v/>
      </c>
      <c r="G7" t="str">
        <f t="shared" si="4"/>
        <v/>
      </c>
    </row>
    <row r="8" spans="1:8">
      <c r="A8" t="s">
        <v>1652</v>
      </c>
      <c r="B8" s="14" t="s">
        <v>1652</v>
      </c>
      <c r="C8" t="b">
        <f t="shared" si="1"/>
        <v>1</v>
      </c>
      <c r="D8" t="str">
        <f t="shared" si="0"/>
        <v>Packing &amp; Labelling Materials</v>
      </c>
      <c r="E8" t="str">
        <f t="shared" si="2"/>
        <v>Exist</v>
      </c>
      <c r="F8" t="str">
        <f t="shared" si="3"/>
        <v/>
      </c>
      <c r="G8" t="str">
        <f t="shared" si="4"/>
        <v/>
      </c>
    </row>
    <row r="9" spans="1:8">
      <c r="A9" t="s">
        <v>1653</v>
      </c>
      <c r="B9" s="14" t="s">
        <v>1653</v>
      </c>
      <c r="C9" t="b">
        <f t="shared" si="1"/>
        <v>1</v>
      </c>
      <c r="D9" t="str">
        <f t="shared" si="0"/>
        <v>Prov for Packing &amp; Label Material</v>
      </c>
      <c r="E9" t="str">
        <f t="shared" si="2"/>
        <v>Exist</v>
      </c>
      <c r="F9" t="str">
        <f t="shared" si="3"/>
        <v/>
      </c>
      <c r="G9" t="str">
        <f t="shared" si="4"/>
        <v/>
      </c>
    </row>
    <row r="10" spans="1:8">
      <c r="A10" t="s">
        <v>1749</v>
      </c>
      <c r="B10" s="14" t="s">
        <v>1749</v>
      </c>
      <c r="C10" t="b">
        <f t="shared" si="1"/>
        <v>1</v>
      </c>
      <c r="D10" t="str">
        <f t="shared" si="0"/>
        <v>Consumables</v>
      </c>
      <c r="E10" t="str">
        <f t="shared" si="2"/>
        <v>Exist</v>
      </c>
      <c r="F10" t="str">
        <f t="shared" si="3"/>
        <v/>
      </c>
      <c r="G10" t="str">
        <f t="shared" si="4"/>
        <v/>
      </c>
    </row>
    <row r="11" spans="1:8">
      <c r="A11" t="s">
        <v>1654</v>
      </c>
      <c r="B11" s="14" t="s">
        <v>1654</v>
      </c>
      <c r="C11" t="b">
        <f t="shared" si="1"/>
        <v>1</v>
      </c>
      <c r="D11" t="str">
        <f t="shared" si="0"/>
        <v>Stocks In Transit</v>
      </c>
      <c r="E11" t="str">
        <f t="shared" si="2"/>
        <v>Exist</v>
      </c>
      <c r="F11" t="str">
        <f t="shared" si="3"/>
        <v/>
      </c>
      <c r="G11" t="str">
        <f t="shared" si="4"/>
        <v/>
      </c>
    </row>
    <row r="12" spans="1:8">
      <c r="A12" t="s">
        <v>1750</v>
      </c>
      <c r="B12" s="14" t="s">
        <v>1750</v>
      </c>
      <c r="C12" t="b">
        <f t="shared" si="1"/>
        <v>1</v>
      </c>
      <c r="D12" t="str">
        <f t="shared" si="0"/>
        <v>Finished Goods</v>
      </c>
      <c r="E12" t="str">
        <f t="shared" si="2"/>
        <v>Exist</v>
      </c>
      <c r="F12" t="str">
        <f t="shared" si="3"/>
        <v/>
      </c>
      <c r="G12" t="str">
        <f t="shared" si="4"/>
        <v/>
      </c>
    </row>
    <row r="13" spans="1:8">
      <c r="A13" t="s">
        <v>1751</v>
      </c>
      <c r="B13" s="14" t="s">
        <v>1751</v>
      </c>
      <c r="C13" t="b">
        <f t="shared" si="1"/>
        <v>1</v>
      </c>
      <c r="D13" t="str">
        <f t="shared" si="0"/>
        <v>Prov for Finished Goods</v>
      </c>
      <c r="E13" t="str">
        <f t="shared" si="2"/>
        <v>Exist</v>
      </c>
      <c r="F13" t="str">
        <f t="shared" si="3"/>
        <v/>
      </c>
      <c r="G13" t="str">
        <f t="shared" si="4"/>
        <v/>
      </c>
    </row>
    <row r="14" spans="1:8">
      <c r="A14" t="s">
        <v>1655</v>
      </c>
      <c r="B14" s="14" t="s">
        <v>1655</v>
      </c>
      <c r="C14" t="b">
        <f t="shared" si="1"/>
        <v>1</v>
      </c>
      <c r="D14" t="str">
        <f t="shared" si="0"/>
        <v>Trading Stocks</v>
      </c>
      <c r="E14" t="str">
        <f t="shared" si="2"/>
        <v>Exist</v>
      </c>
      <c r="F14" t="str">
        <f t="shared" si="3"/>
        <v/>
      </c>
      <c r="G14" t="str">
        <f t="shared" si="4"/>
        <v/>
      </c>
    </row>
    <row r="15" spans="1:8">
      <c r="A15" t="s">
        <v>1656</v>
      </c>
      <c r="B15" s="14" t="s">
        <v>1656</v>
      </c>
      <c r="C15" t="b">
        <f t="shared" si="1"/>
        <v>1</v>
      </c>
      <c r="D15" t="str">
        <f t="shared" si="0"/>
        <v>Prov for Trading Stocks</v>
      </c>
      <c r="E15" t="str">
        <f t="shared" si="2"/>
        <v>Exist</v>
      </c>
      <c r="F15" t="str">
        <f t="shared" si="3"/>
        <v/>
      </c>
      <c r="G15" t="str">
        <f t="shared" si="4"/>
        <v/>
      </c>
    </row>
    <row r="16" spans="1:8">
      <c r="A16" t="s">
        <v>1657</v>
      </c>
      <c r="B16" s="14" t="s">
        <v>1657</v>
      </c>
      <c r="C16" t="b">
        <f t="shared" si="1"/>
        <v>1</v>
      </c>
      <c r="D16" t="str">
        <f t="shared" si="0"/>
        <v>Prov for Stock Pilferage</v>
      </c>
      <c r="E16" t="str">
        <f t="shared" si="2"/>
        <v>Exist</v>
      </c>
      <c r="F16" t="str">
        <f t="shared" si="3"/>
        <v/>
      </c>
      <c r="G16" t="str">
        <f t="shared" si="4"/>
        <v/>
      </c>
    </row>
    <row r="17" spans="1:7">
      <c r="B17" s="14" t="s">
        <v>1658</v>
      </c>
      <c r="C17" t="b">
        <f t="shared" si="1"/>
        <v>0</v>
      </c>
      <c r="D17" t="e">
        <f t="shared" si="0"/>
        <v>#N/A</v>
      </c>
      <c r="E17" t="str">
        <f t="shared" si="2"/>
        <v/>
      </c>
      <c r="F17" t="str">
        <f t="shared" si="3"/>
        <v>New</v>
      </c>
      <c r="G17" t="str">
        <f t="shared" si="4"/>
        <v/>
      </c>
    </row>
    <row r="18" spans="1:7">
      <c r="B18" s="14" t="s">
        <v>1659</v>
      </c>
      <c r="C18" t="b">
        <f t="shared" si="1"/>
        <v>0</v>
      </c>
      <c r="D18" t="e">
        <f t="shared" si="0"/>
        <v>#N/A</v>
      </c>
      <c r="E18" t="str">
        <f t="shared" si="2"/>
        <v/>
      </c>
      <c r="F18" t="str">
        <f t="shared" si="3"/>
        <v>New</v>
      </c>
      <c r="G18" t="str">
        <f t="shared" si="4"/>
        <v/>
      </c>
    </row>
    <row r="19" spans="1:7">
      <c r="A19" t="s">
        <v>1660</v>
      </c>
      <c r="B19" s="14" t="s">
        <v>1660</v>
      </c>
      <c r="C19" t="b">
        <f t="shared" si="1"/>
        <v>1</v>
      </c>
      <c r="D19" t="str">
        <f t="shared" si="0"/>
        <v>Stocks Adjustment Account</v>
      </c>
      <c r="E19" t="str">
        <f t="shared" si="2"/>
        <v>Exist</v>
      </c>
      <c r="F19" t="str">
        <f t="shared" si="3"/>
        <v/>
      </c>
      <c r="G19" t="str">
        <f t="shared" si="4"/>
        <v/>
      </c>
    </row>
    <row r="20" spans="1:7">
      <c r="A20" t="s">
        <v>240</v>
      </c>
      <c r="B20" s="14" t="s">
        <v>240</v>
      </c>
      <c r="C20" t="b">
        <f t="shared" si="1"/>
        <v>1</v>
      </c>
      <c r="D20" t="str">
        <f t="shared" si="0"/>
        <v>Trade Debtors</v>
      </c>
      <c r="E20" t="str">
        <f t="shared" si="2"/>
        <v>Exist</v>
      </c>
      <c r="F20" t="str">
        <f t="shared" si="3"/>
        <v/>
      </c>
      <c r="G20" t="str">
        <f t="shared" si="4"/>
        <v/>
      </c>
    </row>
    <row r="21" spans="1:7">
      <c r="A21" t="s">
        <v>798</v>
      </c>
      <c r="B21" s="14" t="s">
        <v>798</v>
      </c>
      <c r="C21" t="b">
        <f t="shared" si="1"/>
        <v>1</v>
      </c>
      <c r="D21" t="str">
        <f t="shared" si="0"/>
        <v>Prov for Doubtful Debt</v>
      </c>
      <c r="E21" t="str">
        <f t="shared" si="2"/>
        <v>Exist</v>
      </c>
      <c r="F21" t="str">
        <f t="shared" si="3"/>
        <v/>
      </c>
      <c r="G21" t="str">
        <f t="shared" si="4"/>
        <v/>
      </c>
    </row>
    <row r="22" spans="1:7">
      <c r="A22" t="s">
        <v>1752</v>
      </c>
      <c r="B22" s="14" t="s">
        <v>1752</v>
      </c>
      <c r="C22" t="b">
        <f t="shared" si="1"/>
        <v>1</v>
      </c>
      <c r="D22" t="str">
        <f t="shared" si="0"/>
        <v>Due from Interco-Trade</v>
      </c>
      <c r="E22" t="str">
        <f t="shared" si="2"/>
        <v>Exist</v>
      </c>
      <c r="F22" t="str">
        <f t="shared" si="3"/>
        <v/>
      </c>
      <c r="G22" t="str">
        <f t="shared" si="4"/>
        <v/>
      </c>
    </row>
    <row r="23" spans="1:7">
      <c r="A23" t="s">
        <v>1753</v>
      </c>
      <c r="B23" s="14" t="s">
        <v>1753</v>
      </c>
      <c r="C23" t="b">
        <f t="shared" si="1"/>
        <v>1</v>
      </c>
      <c r="D23" t="str">
        <f t="shared" si="0"/>
        <v>Prov for DD-Interco Trade</v>
      </c>
      <c r="E23" t="str">
        <f t="shared" si="2"/>
        <v>Exist</v>
      </c>
      <c r="F23" t="str">
        <f t="shared" si="3"/>
        <v/>
      </c>
      <c r="G23" t="str">
        <f t="shared" si="4"/>
        <v/>
      </c>
    </row>
    <row r="24" spans="1:7">
      <c r="A24" t="s">
        <v>1754</v>
      </c>
      <c r="B24" s="14" t="s">
        <v>1754</v>
      </c>
      <c r="C24" t="b">
        <f t="shared" si="1"/>
        <v>1</v>
      </c>
      <c r="D24" t="str">
        <f t="shared" si="0"/>
        <v>Due from Interco-Non-Trade</v>
      </c>
      <c r="E24" t="str">
        <f t="shared" si="2"/>
        <v>Exist</v>
      </c>
      <c r="F24" t="str">
        <f t="shared" si="3"/>
        <v/>
      </c>
      <c r="G24" t="str">
        <f t="shared" si="4"/>
        <v/>
      </c>
    </row>
    <row r="25" spans="1:7">
      <c r="A25" t="s">
        <v>1755</v>
      </c>
      <c r="B25" s="14" t="s">
        <v>1755</v>
      </c>
      <c r="C25" t="b">
        <f t="shared" si="1"/>
        <v>1</v>
      </c>
      <c r="D25" t="str">
        <f t="shared" si="0"/>
        <v>Prov for DD-Interco Non-Trade</v>
      </c>
      <c r="E25" t="str">
        <f t="shared" si="2"/>
        <v>Exist</v>
      </c>
      <c r="F25" t="str">
        <f t="shared" si="3"/>
        <v/>
      </c>
      <c r="G25" t="str">
        <f t="shared" si="4"/>
        <v/>
      </c>
    </row>
    <row r="26" spans="1:7">
      <c r="A26" t="s">
        <v>1756</v>
      </c>
      <c r="B26" s="14" t="s">
        <v>1756</v>
      </c>
      <c r="C26" t="b">
        <f t="shared" si="1"/>
        <v>1</v>
      </c>
      <c r="D26" t="str">
        <f t="shared" si="0"/>
        <v>Due from Interco-Loan</v>
      </c>
      <c r="E26" t="str">
        <f t="shared" si="2"/>
        <v>Exist</v>
      </c>
      <c r="F26" t="str">
        <f t="shared" si="3"/>
        <v/>
      </c>
      <c r="G26" t="str">
        <f t="shared" si="4"/>
        <v/>
      </c>
    </row>
    <row r="27" spans="1:7">
      <c r="A27" t="s">
        <v>1757</v>
      </c>
      <c r="B27" s="14" t="s">
        <v>1757</v>
      </c>
      <c r="C27" t="b">
        <f t="shared" si="1"/>
        <v>1</v>
      </c>
      <c r="D27" t="str">
        <f t="shared" si="0"/>
        <v>Prov for DD-Interco Loan</v>
      </c>
      <c r="E27" t="str">
        <f t="shared" si="2"/>
        <v>Exist</v>
      </c>
      <c r="F27" t="str">
        <f t="shared" si="3"/>
        <v/>
      </c>
      <c r="G27" t="str">
        <f t="shared" si="4"/>
        <v/>
      </c>
    </row>
    <row r="28" spans="1:7">
      <c r="B28" s="14" t="s">
        <v>1661</v>
      </c>
      <c r="C28" t="b">
        <f t="shared" si="1"/>
        <v>0</v>
      </c>
      <c r="D28" t="e">
        <f t="shared" si="0"/>
        <v>#N/A</v>
      </c>
      <c r="E28" t="str">
        <f t="shared" si="2"/>
        <v/>
      </c>
      <c r="F28" t="str">
        <f t="shared" si="3"/>
        <v>New</v>
      </c>
      <c r="G28" t="str">
        <f t="shared" si="4"/>
        <v/>
      </c>
    </row>
    <row r="29" spans="1:7">
      <c r="A29" t="s">
        <v>1758</v>
      </c>
      <c r="B29" s="14" t="s">
        <v>1758</v>
      </c>
      <c r="C29" t="b">
        <f t="shared" si="1"/>
        <v>1</v>
      </c>
      <c r="D29" t="str">
        <f t="shared" si="0"/>
        <v>Due from JV Co-Trade</v>
      </c>
      <c r="E29" t="str">
        <f t="shared" si="2"/>
        <v>Exist</v>
      </c>
      <c r="F29" t="str">
        <f t="shared" si="3"/>
        <v/>
      </c>
      <c r="G29" t="str">
        <f t="shared" si="4"/>
        <v/>
      </c>
    </row>
    <row r="30" spans="1:7">
      <c r="A30" t="s">
        <v>1759</v>
      </c>
      <c r="B30" s="14" t="s">
        <v>1759</v>
      </c>
      <c r="C30" t="b">
        <f t="shared" si="1"/>
        <v>1</v>
      </c>
      <c r="D30" t="str">
        <f t="shared" si="0"/>
        <v>Prov for DD-JV Co Trade</v>
      </c>
      <c r="E30" t="str">
        <f t="shared" si="2"/>
        <v>Exist</v>
      </c>
      <c r="F30" t="str">
        <f t="shared" si="3"/>
        <v/>
      </c>
      <c r="G30" t="str">
        <f t="shared" si="4"/>
        <v/>
      </c>
    </row>
    <row r="31" spans="1:7">
      <c r="A31" t="s">
        <v>1760</v>
      </c>
      <c r="B31" s="14" t="s">
        <v>1760</v>
      </c>
      <c r="C31" t="b">
        <f t="shared" si="1"/>
        <v>1</v>
      </c>
      <c r="D31" t="str">
        <f t="shared" si="0"/>
        <v>Due from JV Co-Non-Trade</v>
      </c>
      <c r="E31" t="str">
        <f t="shared" si="2"/>
        <v>Exist</v>
      </c>
      <c r="F31" t="str">
        <f t="shared" si="3"/>
        <v/>
      </c>
      <c r="G31" t="str">
        <f t="shared" si="4"/>
        <v/>
      </c>
    </row>
    <row r="32" spans="1:7">
      <c r="A32" t="s">
        <v>1761</v>
      </c>
      <c r="B32" s="14" t="s">
        <v>1761</v>
      </c>
      <c r="C32" t="b">
        <f t="shared" si="1"/>
        <v>1</v>
      </c>
      <c r="D32" t="str">
        <f t="shared" si="0"/>
        <v>Prov for DD-JV Co Non-Trade</v>
      </c>
      <c r="E32" t="str">
        <f t="shared" si="2"/>
        <v>Exist</v>
      </c>
      <c r="F32" t="str">
        <f t="shared" si="3"/>
        <v/>
      </c>
      <c r="G32" t="str">
        <f t="shared" si="4"/>
        <v/>
      </c>
    </row>
    <row r="33" spans="1:7">
      <c r="A33" t="s">
        <v>1762</v>
      </c>
      <c r="B33" s="14" t="s">
        <v>1762</v>
      </c>
      <c r="C33" t="b">
        <f t="shared" si="1"/>
        <v>1</v>
      </c>
      <c r="D33" t="str">
        <f t="shared" si="0"/>
        <v>Due from JV Co-Loan</v>
      </c>
      <c r="E33" t="str">
        <f t="shared" si="2"/>
        <v>Exist</v>
      </c>
      <c r="F33" t="str">
        <f t="shared" si="3"/>
        <v/>
      </c>
      <c r="G33" t="str">
        <f t="shared" si="4"/>
        <v/>
      </c>
    </row>
    <row r="34" spans="1:7">
      <c r="A34" t="s">
        <v>1763</v>
      </c>
      <c r="B34" s="14" t="s">
        <v>1763</v>
      </c>
      <c r="C34" t="b">
        <f t="shared" si="1"/>
        <v>1</v>
      </c>
      <c r="D34" t="str">
        <f t="shared" ref="D34:D65" si="5">VLOOKUP(B34, A34:A356, 1, FALSE)</f>
        <v>Prov for DD-JV Co Loan</v>
      </c>
      <c r="E34" t="str">
        <f t="shared" si="2"/>
        <v>Exist</v>
      </c>
      <c r="F34" t="str">
        <f t="shared" si="3"/>
        <v/>
      </c>
      <c r="G34" t="str">
        <f t="shared" si="4"/>
        <v/>
      </c>
    </row>
    <row r="35" spans="1:7">
      <c r="A35" t="s">
        <v>1764</v>
      </c>
      <c r="B35" s="14" t="s">
        <v>1764</v>
      </c>
      <c r="C35" t="b">
        <f t="shared" si="1"/>
        <v>1</v>
      </c>
      <c r="D35" t="str">
        <f t="shared" si="5"/>
        <v>Due from Assoc-Trade</v>
      </c>
      <c r="E35" t="str">
        <f t="shared" si="2"/>
        <v>Exist</v>
      </c>
      <c r="F35" t="str">
        <f t="shared" si="3"/>
        <v/>
      </c>
      <c r="G35" t="str">
        <f t="shared" si="4"/>
        <v/>
      </c>
    </row>
    <row r="36" spans="1:7">
      <c r="A36" t="s">
        <v>1765</v>
      </c>
      <c r="B36" s="14" t="s">
        <v>1765</v>
      </c>
      <c r="C36" t="b">
        <f t="shared" si="1"/>
        <v>1</v>
      </c>
      <c r="D36" t="str">
        <f t="shared" si="5"/>
        <v>Prov for DD-Assoc Trade</v>
      </c>
      <c r="E36" t="str">
        <f t="shared" si="2"/>
        <v>Exist</v>
      </c>
      <c r="F36" t="str">
        <f t="shared" si="3"/>
        <v/>
      </c>
      <c r="G36" t="str">
        <f t="shared" si="4"/>
        <v/>
      </c>
    </row>
    <row r="37" spans="1:7">
      <c r="A37" t="s">
        <v>1766</v>
      </c>
      <c r="B37" s="14" t="s">
        <v>1766</v>
      </c>
      <c r="C37" t="b">
        <f t="shared" si="1"/>
        <v>1</v>
      </c>
      <c r="D37" t="str">
        <f t="shared" si="5"/>
        <v>Due from Assoc-Non-Trade</v>
      </c>
      <c r="E37" t="str">
        <f t="shared" si="2"/>
        <v>Exist</v>
      </c>
      <c r="F37" t="str">
        <f t="shared" si="3"/>
        <v/>
      </c>
      <c r="G37" t="str">
        <f t="shared" si="4"/>
        <v/>
      </c>
    </row>
    <row r="38" spans="1:7">
      <c r="A38" t="s">
        <v>1767</v>
      </c>
      <c r="B38" s="14" t="s">
        <v>1767</v>
      </c>
      <c r="C38" t="b">
        <f t="shared" si="1"/>
        <v>1</v>
      </c>
      <c r="D38" t="str">
        <f t="shared" si="5"/>
        <v>Prov for DD-Assoc Non-Trade</v>
      </c>
      <c r="E38" t="str">
        <f t="shared" si="2"/>
        <v>Exist</v>
      </c>
      <c r="F38" t="str">
        <f t="shared" si="3"/>
        <v/>
      </c>
      <c r="G38" t="str">
        <f t="shared" si="4"/>
        <v/>
      </c>
    </row>
    <row r="39" spans="1:7">
      <c r="A39" t="s">
        <v>1768</v>
      </c>
      <c r="B39" s="14" t="s">
        <v>1768</v>
      </c>
      <c r="C39" t="b">
        <f t="shared" si="1"/>
        <v>1</v>
      </c>
      <c r="D39" t="str">
        <f t="shared" si="5"/>
        <v>Due from Assoc-Loan</v>
      </c>
      <c r="E39" t="str">
        <f t="shared" si="2"/>
        <v>Exist</v>
      </c>
      <c r="F39" t="str">
        <f t="shared" si="3"/>
        <v/>
      </c>
      <c r="G39" t="str">
        <f t="shared" si="4"/>
        <v/>
      </c>
    </row>
    <row r="40" spans="1:7">
      <c r="A40" t="s">
        <v>1769</v>
      </c>
      <c r="B40" s="14" t="s">
        <v>1769</v>
      </c>
      <c r="C40" t="b">
        <f t="shared" si="1"/>
        <v>1</v>
      </c>
      <c r="D40" t="str">
        <f t="shared" si="5"/>
        <v>Prov for DD-Assoc Loan</v>
      </c>
      <c r="E40" t="str">
        <f t="shared" si="2"/>
        <v>Exist</v>
      </c>
      <c r="F40" t="str">
        <f t="shared" si="3"/>
        <v/>
      </c>
      <c r="G40" t="str">
        <f t="shared" si="4"/>
        <v/>
      </c>
    </row>
    <row r="41" spans="1:7">
      <c r="B41" s="14" t="s">
        <v>1864</v>
      </c>
      <c r="C41" t="b">
        <f t="shared" si="1"/>
        <v>0</v>
      </c>
      <c r="D41" t="e">
        <f t="shared" si="5"/>
        <v>#N/A</v>
      </c>
      <c r="E41" t="str">
        <f t="shared" si="2"/>
        <v/>
      </c>
      <c r="F41" t="str">
        <f t="shared" si="3"/>
        <v>New</v>
      </c>
      <c r="G41" t="str">
        <f t="shared" si="4"/>
        <v/>
      </c>
    </row>
    <row r="42" spans="1:7">
      <c r="A42" t="s">
        <v>1770</v>
      </c>
      <c r="B42" s="14" t="s">
        <v>1770</v>
      </c>
      <c r="C42" t="b">
        <f t="shared" si="1"/>
        <v>1</v>
      </c>
      <c r="D42" t="str">
        <f t="shared" si="5"/>
        <v>Due from Rel-Trade</v>
      </c>
      <c r="E42" t="str">
        <f t="shared" si="2"/>
        <v>Exist</v>
      </c>
      <c r="F42" t="str">
        <f t="shared" si="3"/>
        <v/>
      </c>
      <c r="G42" t="str">
        <f t="shared" si="4"/>
        <v/>
      </c>
    </row>
    <row r="43" spans="1:7">
      <c r="A43" t="s">
        <v>1771</v>
      </c>
      <c r="B43" s="14" t="s">
        <v>1771</v>
      </c>
      <c r="C43" t="b">
        <f t="shared" si="1"/>
        <v>1</v>
      </c>
      <c r="D43" t="str">
        <f t="shared" si="5"/>
        <v>Prov for DD-Rel Trade</v>
      </c>
      <c r="E43" t="str">
        <f t="shared" si="2"/>
        <v>Exist</v>
      </c>
      <c r="F43" t="str">
        <f t="shared" si="3"/>
        <v/>
      </c>
      <c r="G43" t="str">
        <f t="shared" si="4"/>
        <v/>
      </c>
    </row>
    <row r="44" spans="1:7">
      <c r="A44" t="s">
        <v>1772</v>
      </c>
      <c r="B44" s="14" t="s">
        <v>1772</v>
      </c>
      <c r="C44" t="b">
        <f t="shared" si="1"/>
        <v>1</v>
      </c>
      <c r="D44" t="str">
        <f t="shared" si="5"/>
        <v>Due from Rel-Non-Trade</v>
      </c>
      <c r="E44" t="str">
        <f t="shared" si="2"/>
        <v>Exist</v>
      </c>
      <c r="F44" t="str">
        <f t="shared" si="3"/>
        <v/>
      </c>
      <c r="G44" t="str">
        <f t="shared" si="4"/>
        <v/>
      </c>
    </row>
    <row r="45" spans="1:7">
      <c r="A45" t="s">
        <v>1773</v>
      </c>
      <c r="B45" s="14" t="s">
        <v>1773</v>
      </c>
      <c r="C45" t="b">
        <f t="shared" si="1"/>
        <v>1</v>
      </c>
      <c r="D45" t="str">
        <f t="shared" si="5"/>
        <v>Prov for DD-Rel Non-Trade</v>
      </c>
      <c r="E45" t="str">
        <f t="shared" si="2"/>
        <v>Exist</v>
      </c>
      <c r="F45" t="str">
        <f t="shared" si="3"/>
        <v/>
      </c>
      <c r="G45" t="str">
        <f t="shared" si="4"/>
        <v/>
      </c>
    </row>
    <row r="46" spans="1:7">
      <c r="B46" s="14" t="s">
        <v>1865</v>
      </c>
      <c r="C46" t="b">
        <f t="shared" si="1"/>
        <v>0</v>
      </c>
      <c r="D46" t="e">
        <f t="shared" si="5"/>
        <v>#N/A</v>
      </c>
      <c r="E46" t="str">
        <f t="shared" si="2"/>
        <v/>
      </c>
      <c r="F46" t="str">
        <f t="shared" si="3"/>
        <v>New</v>
      </c>
      <c r="G46" t="str">
        <f t="shared" si="4"/>
        <v/>
      </c>
    </row>
    <row r="47" spans="1:7">
      <c r="A47" t="s">
        <v>1662</v>
      </c>
      <c r="B47" s="14" t="s">
        <v>1662</v>
      </c>
      <c r="C47" t="b">
        <f t="shared" si="1"/>
        <v>1</v>
      </c>
      <c r="D47" t="str">
        <f t="shared" si="5"/>
        <v>Prov for Gain/Loss in FX (Debtors)</v>
      </c>
      <c r="E47" t="str">
        <f t="shared" si="2"/>
        <v>Exist</v>
      </c>
      <c r="F47" t="str">
        <f t="shared" si="3"/>
        <v/>
      </c>
      <c r="G47" t="str">
        <f t="shared" si="4"/>
        <v/>
      </c>
    </row>
    <row r="48" spans="1:7">
      <c r="A48" t="s">
        <v>1663</v>
      </c>
      <c r="B48" s="14" t="s">
        <v>1663</v>
      </c>
      <c r="C48" t="b">
        <f t="shared" si="1"/>
        <v>1</v>
      </c>
      <c r="D48" t="str">
        <f t="shared" si="5"/>
        <v>Marketable Securities</v>
      </c>
      <c r="E48" t="str">
        <f t="shared" si="2"/>
        <v>Exist</v>
      </c>
      <c r="F48" t="str">
        <f t="shared" si="3"/>
        <v/>
      </c>
      <c r="G48" t="str">
        <f t="shared" si="4"/>
        <v/>
      </c>
    </row>
    <row r="49" spans="1:7">
      <c r="A49" t="s">
        <v>1664</v>
      </c>
      <c r="B49" s="14" t="s">
        <v>1664</v>
      </c>
      <c r="C49" t="b">
        <f t="shared" si="1"/>
        <v>1</v>
      </c>
      <c r="D49" t="str">
        <f t="shared" si="5"/>
        <v>Prov for Gain/Loss In Mkt Sec</v>
      </c>
      <c r="E49" t="str">
        <f t="shared" si="2"/>
        <v>Exist</v>
      </c>
      <c r="F49" t="str">
        <f t="shared" si="3"/>
        <v/>
      </c>
      <c r="G49" t="str">
        <f t="shared" si="4"/>
        <v/>
      </c>
    </row>
    <row r="50" spans="1:7">
      <c r="A50" t="s">
        <v>1774</v>
      </c>
      <c r="B50" s="14"/>
      <c r="C50" t="b">
        <f t="shared" si="1"/>
        <v>0</v>
      </c>
      <c r="D50" t="e">
        <f t="shared" si="5"/>
        <v>#N/A</v>
      </c>
      <c r="E50" t="str">
        <f t="shared" si="2"/>
        <v/>
      </c>
      <c r="F50" t="str">
        <f t="shared" si="3"/>
        <v>New</v>
      </c>
      <c r="G50" t="str">
        <f t="shared" si="4"/>
        <v>Remove</v>
      </c>
    </row>
    <row r="51" spans="1:7">
      <c r="A51" t="s">
        <v>1665</v>
      </c>
      <c r="B51" s="14" t="s">
        <v>1665</v>
      </c>
      <c r="C51" t="b">
        <f t="shared" si="1"/>
        <v>1</v>
      </c>
      <c r="D51" t="str">
        <f t="shared" si="5"/>
        <v>Assets Held For Sale</v>
      </c>
      <c r="E51" t="str">
        <f t="shared" si="2"/>
        <v>Exist</v>
      </c>
      <c r="F51" t="str">
        <f t="shared" si="3"/>
        <v/>
      </c>
      <c r="G51" t="str">
        <f t="shared" si="4"/>
        <v/>
      </c>
    </row>
    <row r="52" spans="1:7">
      <c r="A52" t="s">
        <v>1775</v>
      </c>
      <c r="B52" s="14" t="s">
        <v>1775</v>
      </c>
      <c r="C52" t="b">
        <f t="shared" si="1"/>
        <v>1</v>
      </c>
      <c r="D52" t="str">
        <f t="shared" si="5"/>
        <v>Tax Recoverable</v>
      </c>
      <c r="E52" t="str">
        <f t="shared" si="2"/>
        <v>Exist</v>
      </c>
      <c r="F52" t="str">
        <f t="shared" si="3"/>
        <v/>
      </c>
      <c r="G52" t="str">
        <f t="shared" si="4"/>
        <v/>
      </c>
    </row>
    <row r="53" spans="1:7">
      <c r="A53" t="s">
        <v>1776</v>
      </c>
      <c r="B53" s="14" t="s">
        <v>1776</v>
      </c>
      <c r="C53" t="b">
        <f t="shared" si="1"/>
        <v>1</v>
      </c>
      <c r="D53" t="str">
        <f t="shared" si="5"/>
        <v>GST-Input</v>
      </c>
      <c r="E53" t="str">
        <f t="shared" si="2"/>
        <v>Exist</v>
      </c>
      <c r="F53" t="str">
        <f t="shared" si="3"/>
        <v/>
      </c>
      <c r="G53" t="str">
        <f t="shared" si="4"/>
        <v/>
      </c>
    </row>
    <row r="54" spans="1:7">
      <c r="A54" t="s">
        <v>1777</v>
      </c>
      <c r="B54" s="14" t="s">
        <v>1777</v>
      </c>
      <c r="C54" t="b">
        <f t="shared" si="1"/>
        <v>1</v>
      </c>
      <c r="D54" t="str">
        <f t="shared" si="5"/>
        <v>Prepayment</v>
      </c>
      <c r="E54" t="str">
        <f t="shared" si="2"/>
        <v>Exist</v>
      </c>
      <c r="F54" t="str">
        <f t="shared" si="3"/>
        <v/>
      </c>
      <c r="G54" t="str">
        <f t="shared" si="4"/>
        <v/>
      </c>
    </row>
    <row r="55" spans="1:7">
      <c r="A55" t="s">
        <v>1778</v>
      </c>
      <c r="B55" s="14" t="s">
        <v>1778</v>
      </c>
      <c r="C55" t="b">
        <f t="shared" si="1"/>
        <v>1</v>
      </c>
      <c r="D55" t="str">
        <f t="shared" si="5"/>
        <v>Deposit</v>
      </c>
      <c r="E55" t="str">
        <f t="shared" si="2"/>
        <v>Exist</v>
      </c>
      <c r="F55" t="str">
        <f t="shared" si="3"/>
        <v/>
      </c>
      <c r="G55" t="str">
        <f t="shared" si="4"/>
        <v/>
      </c>
    </row>
    <row r="56" spans="1:7">
      <c r="A56" t="s">
        <v>1779</v>
      </c>
      <c r="B56" s="14" t="s">
        <v>1779</v>
      </c>
      <c r="C56" t="b">
        <f t="shared" si="1"/>
        <v>1</v>
      </c>
      <c r="D56" t="str">
        <f t="shared" si="5"/>
        <v>Advance to Supplier</v>
      </c>
      <c r="E56" t="str">
        <f t="shared" si="2"/>
        <v>Exist</v>
      </c>
      <c r="F56" t="str">
        <f t="shared" si="3"/>
        <v/>
      </c>
      <c r="G56" t="str">
        <f t="shared" si="4"/>
        <v/>
      </c>
    </row>
    <row r="57" spans="1:7">
      <c r="A57" t="s">
        <v>1780</v>
      </c>
      <c r="B57" s="14" t="s">
        <v>1780</v>
      </c>
      <c r="C57" t="b">
        <f t="shared" si="1"/>
        <v>1</v>
      </c>
      <c r="D57" t="str">
        <f t="shared" si="5"/>
        <v>Staff Advance</v>
      </c>
      <c r="E57" t="str">
        <f t="shared" si="2"/>
        <v>Exist</v>
      </c>
      <c r="F57" t="str">
        <f t="shared" si="3"/>
        <v/>
      </c>
      <c r="G57" t="str">
        <f t="shared" si="4"/>
        <v/>
      </c>
    </row>
    <row r="58" spans="1:7">
      <c r="A58" t="s">
        <v>1781</v>
      </c>
      <c r="B58" s="14" t="s">
        <v>1781</v>
      </c>
      <c r="C58" t="b">
        <f t="shared" si="1"/>
        <v>1</v>
      </c>
      <c r="D58" t="str">
        <f t="shared" si="5"/>
        <v>Staff Loan</v>
      </c>
      <c r="E58" t="str">
        <f t="shared" si="2"/>
        <v>Exist</v>
      </c>
      <c r="F58" t="str">
        <f t="shared" si="3"/>
        <v/>
      </c>
      <c r="G58" t="str">
        <f t="shared" si="4"/>
        <v/>
      </c>
    </row>
    <row r="59" spans="1:7">
      <c r="A59" t="s">
        <v>1717</v>
      </c>
      <c r="B59" s="14"/>
      <c r="C59" t="b">
        <f t="shared" si="1"/>
        <v>0</v>
      </c>
      <c r="D59" t="e">
        <f t="shared" si="5"/>
        <v>#N/A</v>
      </c>
      <c r="E59" t="str">
        <f t="shared" si="2"/>
        <v/>
      </c>
      <c r="F59" t="str">
        <f t="shared" si="3"/>
        <v>New</v>
      </c>
      <c r="G59" t="str">
        <f t="shared" si="4"/>
        <v>Remove</v>
      </c>
    </row>
    <row r="60" spans="1:7">
      <c r="A60" t="s">
        <v>1666</v>
      </c>
      <c r="B60" s="14" t="s">
        <v>1666</v>
      </c>
      <c r="C60" t="b">
        <f t="shared" si="1"/>
        <v>1</v>
      </c>
      <c r="D60" t="str">
        <f t="shared" si="5"/>
        <v>Interest Receivables</v>
      </c>
      <c r="E60" t="str">
        <f t="shared" si="2"/>
        <v>Exist</v>
      </c>
      <c r="F60" t="str">
        <f t="shared" si="3"/>
        <v/>
      </c>
      <c r="G60" t="str">
        <f t="shared" si="4"/>
        <v/>
      </c>
    </row>
    <row r="61" spans="1:7">
      <c r="A61" t="s">
        <v>1667</v>
      </c>
      <c r="B61" s="14" t="s">
        <v>1667</v>
      </c>
      <c r="C61" t="b">
        <f t="shared" si="1"/>
        <v>1</v>
      </c>
      <c r="D61" t="str">
        <f t="shared" si="5"/>
        <v>Recoverable Exps</v>
      </c>
      <c r="E61" t="str">
        <f t="shared" si="2"/>
        <v>Exist</v>
      </c>
      <c r="F61" t="str">
        <f t="shared" si="3"/>
        <v/>
      </c>
      <c r="G61" t="str">
        <f t="shared" si="4"/>
        <v/>
      </c>
    </row>
    <row r="62" spans="1:7">
      <c r="A62" t="s">
        <v>1668</v>
      </c>
      <c r="B62" s="14" t="s">
        <v>1668</v>
      </c>
      <c r="C62" t="b">
        <f t="shared" si="1"/>
        <v>1</v>
      </c>
      <c r="D62" t="str">
        <f t="shared" si="5"/>
        <v>Other Misc Debtors</v>
      </c>
      <c r="E62" t="str">
        <f t="shared" si="2"/>
        <v>Exist</v>
      </c>
      <c r="F62" t="str">
        <f t="shared" si="3"/>
        <v/>
      </c>
      <c r="G62" t="str">
        <f t="shared" si="4"/>
        <v/>
      </c>
    </row>
    <row r="63" spans="1:7">
      <c r="A63" t="s">
        <v>1782</v>
      </c>
      <c r="B63" s="14" t="s">
        <v>1782</v>
      </c>
      <c r="C63" t="b">
        <f t="shared" si="1"/>
        <v>1</v>
      </c>
      <c r="D63" t="str">
        <f t="shared" si="5"/>
        <v>Suspense-GST</v>
      </c>
      <c r="E63" t="str">
        <f t="shared" si="2"/>
        <v>Exist</v>
      </c>
      <c r="F63" t="str">
        <f t="shared" si="3"/>
        <v/>
      </c>
      <c r="G63" t="str">
        <f t="shared" si="4"/>
        <v/>
      </c>
    </row>
    <row r="64" spans="1:7">
      <c r="B64" s="14" t="s">
        <v>1866</v>
      </c>
      <c r="C64" t="b">
        <f t="shared" si="1"/>
        <v>0</v>
      </c>
      <c r="D64" t="e">
        <f t="shared" si="5"/>
        <v>#N/A</v>
      </c>
      <c r="E64" t="str">
        <f t="shared" si="2"/>
        <v/>
      </c>
      <c r="F64" t="str">
        <f t="shared" si="3"/>
        <v>New</v>
      </c>
      <c r="G64" t="str">
        <f t="shared" si="4"/>
        <v/>
      </c>
    </row>
    <row r="65" spans="1:7">
      <c r="A65" t="s">
        <v>1783</v>
      </c>
      <c r="B65" s="14" t="s">
        <v>1783</v>
      </c>
      <c r="C65" t="b">
        <f t="shared" si="1"/>
        <v>1</v>
      </c>
      <c r="D65" t="str">
        <f t="shared" si="5"/>
        <v>Suspense-Others</v>
      </c>
      <c r="E65" t="str">
        <f t="shared" si="2"/>
        <v>Exist</v>
      </c>
      <c r="F65" t="str">
        <f t="shared" si="3"/>
        <v/>
      </c>
      <c r="G65" t="str">
        <f t="shared" si="4"/>
        <v/>
      </c>
    </row>
    <row r="66" spans="1:7">
      <c r="A66" t="s">
        <v>245</v>
      </c>
      <c r="B66" s="15" t="s">
        <v>245</v>
      </c>
      <c r="C66" t="b">
        <f t="shared" si="1"/>
        <v>1</v>
      </c>
      <c r="D66" t="str">
        <f t="shared" ref="D66:D97" si="6">VLOOKUP(B66, A66:A388, 1, FALSE)</f>
        <v>TOTAL CURRENT ASSETS</v>
      </c>
      <c r="E66" t="str">
        <f t="shared" si="2"/>
        <v>Exist</v>
      </c>
      <c r="F66" t="str">
        <f t="shared" si="3"/>
        <v/>
      </c>
      <c r="G66" t="str">
        <f t="shared" si="4"/>
        <v/>
      </c>
    </row>
    <row r="67" spans="1:7">
      <c r="A67" t="s">
        <v>1784</v>
      </c>
      <c r="B67" s="14" t="s">
        <v>1784</v>
      </c>
      <c r="C67" t="b">
        <f t="shared" ref="C67:C130" si="7">EXACT(A67,B67)</f>
        <v>1</v>
      </c>
      <c r="D67" t="str">
        <f t="shared" si="6"/>
        <v>Land-Freehold</v>
      </c>
      <c r="E67" t="str">
        <f t="shared" ref="E67:E130" si="8">IF((AND(EXACT(C67,"TRUE"),_xlfn.IFNA(D67,"NA")&lt;&gt;"NA")),"Exist","")</f>
        <v>Exist</v>
      </c>
      <c r="F67" t="str">
        <f t="shared" ref="F67:F130" si="9">IF((AND(EXACT(C67,"FALSE"),_xlfn.IFNA(D67,"NA")="NA")),"New","")</f>
        <v/>
      </c>
      <c r="G67" t="str">
        <f t="shared" ref="G67:G130" si="10">IF((AND(ISBLANK(B67),EXACT(C67,"FALSE"))),"Remove","")</f>
        <v/>
      </c>
    </row>
    <row r="68" spans="1:7">
      <c r="B68" s="14" t="s">
        <v>1669</v>
      </c>
      <c r="C68" t="b">
        <f t="shared" si="7"/>
        <v>0</v>
      </c>
      <c r="D68" t="e">
        <f t="shared" si="6"/>
        <v>#N/A</v>
      </c>
      <c r="E68" t="str">
        <f t="shared" si="8"/>
        <v/>
      </c>
      <c r="F68" t="str">
        <f t="shared" si="9"/>
        <v>New</v>
      </c>
      <c r="G68" t="str">
        <f t="shared" si="10"/>
        <v/>
      </c>
    </row>
    <row r="69" spans="1:7">
      <c r="A69" t="s">
        <v>1785</v>
      </c>
      <c r="B69" s="14" t="s">
        <v>1785</v>
      </c>
      <c r="C69" t="b">
        <f t="shared" si="7"/>
        <v>1</v>
      </c>
      <c r="D69" t="str">
        <f t="shared" si="6"/>
        <v>Land-Leasehold</v>
      </c>
      <c r="E69" t="str">
        <f t="shared" si="8"/>
        <v>Exist</v>
      </c>
      <c r="F69" t="str">
        <f t="shared" si="9"/>
        <v/>
      </c>
      <c r="G69" t="str">
        <f t="shared" si="10"/>
        <v/>
      </c>
    </row>
    <row r="70" spans="1:7">
      <c r="A70" t="s">
        <v>1786</v>
      </c>
      <c r="B70" s="14" t="s">
        <v>1786</v>
      </c>
      <c r="C70" t="b">
        <f t="shared" si="7"/>
        <v>1</v>
      </c>
      <c r="D70" t="str">
        <f t="shared" si="6"/>
        <v>Accum Dep-Leasehold land</v>
      </c>
      <c r="E70" t="str">
        <f t="shared" si="8"/>
        <v>Exist</v>
      </c>
      <c r="F70" t="str">
        <f t="shared" si="9"/>
        <v/>
      </c>
      <c r="G70" t="str">
        <f t="shared" si="10"/>
        <v/>
      </c>
    </row>
    <row r="71" spans="1:7">
      <c r="B71" s="14" t="s">
        <v>1670</v>
      </c>
      <c r="C71" t="b">
        <f t="shared" si="7"/>
        <v>0</v>
      </c>
      <c r="D71" t="e">
        <f t="shared" si="6"/>
        <v>#N/A</v>
      </c>
      <c r="E71" t="str">
        <f t="shared" si="8"/>
        <v/>
      </c>
      <c r="F71" t="str">
        <f t="shared" si="9"/>
        <v>New</v>
      </c>
      <c r="G71" t="str">
        <f t="shared" si="10"/>
        <v/>
      </c>
    </row>
    <row r="72" spans="1:7">
      <c r="A72" t="s">
        <v>1787</v>
      </c>
      <c r="B72" s="14" t="s">
        <v>1787</v>
      </c>
      <c r="C72" t="b">
        <f t="shared" si="7"/>
        <v>1</v>
      </c>
      <c r="D72" t="str">
        <f t="shared" si="6"/>
        <v>Land-Rights</v>
      </c>
      <c r="E72" t="str">
        <f t="shared" si="8"/>
        <v>Exist</v>
      </c>
      <c r="F72" t="str">
        <f t="shared" si="9"/>
        <v/>
      </c>
      <c r="G72" t="str">
        <f t="shared" si="10"/>
        <v/>
      </c>
    </row>
    <row r="73" spans="1:7">
      <c r="A73" t="s">
        <v>1788</v>
      </c>
      <c r="B73" s="14" t="s">
        <v>1788</v>
      </c>
      <c r="C73" t="b">
        <f t="shared" si="7"/>
        <v>1</v>
      </c>
      <c r="D73" t="str">
        <f t="shared" si="6"/>
        <v>Accum Dep-Land Rights</v>
      </c>
      <c r="E73" t="str">
        <f t="shared" si="8"/>
        <v>Exist</v>
      </c>
      <c r="F73" t="str">
        <f t="shared" si="9"/>
        <v/>
      </c>
      <c r="G73" t="str">
        <f t="shared" si="10"/>
        <v/>
      </c>
    </row>
    <row r="74" spans="1:7">
      <c r="B74" s="14" t="s">
        <v>1671</v>
      </c>
      <c r="C74" t="b">
        <f t="shared" si="7"/>
        <v>0</v>
      </c>
      <c r="D74" t="e">
        <f t="shared" si="6"/>
        <v>#N/A</v>
      </c>
      <c r="E74" t="str">
        <f t="shared" si="8"/>
        <v/>
      </c>
      <c r="F74" t="str">
        <f t="shared" si="9"/>
        <v>New</v>
      </c>
      <c r="G74" t="str">
        <f t="shared" si="10"/>
        <v/>
      </c>
    </row>
    <row r="75" spans="1:7">
      <c r="A75" t="s">
        <v>1672</v>
      </c>
      <c r="B75" s="14" t="s">
        <v>1672</v>
      </c>
      <c r="C75" t="b">
        <f t="shared" si="7"/>
        <v>1</v>
      </c>
      <c r="D75" t="str">
        <f t="shared" si="6"/>
        <v>Building</v>
      </c>
      <c r="E75" t="str">
        <f t="shared" si="8"/>
        <v>Exist</v>
      </c>
      <c r="F75" t="str">
        <f t="shared" si="9"/>
        <v/>
      </c>
      <c r="G75" t="str">
        <f t="shared" si="10"/>
        <v/>
      </c>
    </row>
    <row r="76" spans="1:7">
      <c r="A76" t="s">
        <v>1789</v>
      </c>
      <c r="B76" s="14" t="s">
        <v>1789</v>
      </c>
      <c r="C76" t="b">
        <f t="shared" si="7"/>
        <v>1</v>
      </c>
      <c r="D76" t="str">
        <f t="shared" si="6"/>
        <v>Accum Dep-Building</v>
      </c>
      <c r="E76" t="str">
        <f t="shared" si="8"/>
        <v>Exist</v>
      </c>
      <c r="F76" t="str">
        <f t="shared" si="9"/>
        <v/>
      </c>
      <c r="G76" t="str">
        <f t="shared" si="10"/>
        <v/>
      </c>
    </row>
    <row r="77" spans="1:7">
      <c r="B77" s="14" t="s">
        <v>1673</v>
      </c>
      <c r="C77" t="b">
        <f t="shared" si="7"/>
        <v>0</v>
      </c>
      <c r="D77" t="e">
        <f t="shared" si="6"/>
        <v>#N/A</v>
      </c>
      <c r="E77" t="str">
        <f t="shared" si="8"/>
        <v/>
      </c>
      <c r="F77" t="str">
        <f t="shared" si="9"/>
        <v>New</v>
      </c>
      <c r="G77" t="str">
        <f t="shared" si="10"/>
        <v/>
      </c>
    </row>
    <row r="78" spans="1:7">
      <c r="A78" t="s">
        <v>248</v>
      </c>
      <c r="B78" s="14" t="s">
        <v>248</v>
      </c>
      <c r="C78" t="b">
        <f t="shared" si="7"/>
        <v>1</v>
      </c>
      <c r="D78" t="str">
        <f t="shared" si="6"/>
        <v>Construction in Progress</v>
      </c>
      <c r="E78" t="str">
        <f t="shared" si="8"/>
        <v>Exist</v>
      </c>
      <c r="F78" t="str">
        <f t="shared" si="9"/>
        <v/>
      </c>
      <c r="G78" t="str">
        <f t="shared" si="10"/>
        <v/>
      </c>
    </row>
    <row r="79" spans="1:7">
      <c r="A79" t="s">
        <v>249</v>
      </c>
      <c r="B79" s="14" t="s">
        <v>249</v>
      </c>
      <c r="C79" t="b">
        <f t="shared" si="7"/>
        <v>1</v>
      </c>
      <c r="D79" t="str">
        <f t="shared" si="6"/>
        <v>Renovations</v>
      </c>
      <c r="E79" t="str">
        <f t="shared" si="8"/>
        <v>Exist</v>
      </c>
      <c r="F79" t="str">
        <f t="shared" si="9"/>
        <v/>
      </c>
      <c r="G79" t="str">
        <f t="shared" si="10"/>
        <v/>
      </c>
    </row>
    <row r="80" spans="1:7">
      <c r="A80" t="s">
        <v>1790</v>
      </c>
      <c r="B80" s="14" t="s">
        <v>1790</v>
      </c>
      <c r="C80" t="b">
        <f t="shared" si="7"/>
        <v>1</v>
      </c>
      <c r="D80" t="str">
        <f t="shared" si="6"/>
        <v>Accum Dep-Renovations</v>
      </c>
      <c r="E80" t="str">
        <f t="shared" si="8"/>
        <v>Exist</v>
      </c>
      <c r="F80" t="str">
        <f t="shared" si="9"/>
        <v/>
      </c>
      <c r="G80" t="str">
        <f t="shared" si="10"/>
        <v/>
      </c>
    </row>
    <row r="81" spans="1:7">
      <c r="B81" s="14" t="s">
        <v>1674</v>
      </c>
      <c r="C81" t="b">
        <f t="shared" si="7"/>
        <v>0</v>
      </c>
      <c r="D81" t="e">
        <f t="shared" si="6"/>
        <v>#N/A</v>
      </c>
      <c r="E81" t="str">
        <f t="shared" si="8"/>
        <v/>
      </c>
      <c r="F81" t="str">
        <f t="shared" si="9"/>
        <v>New</v>
      </c>
      <c r="G81" t="str">
        <f t="shared" si="10"/>
        <v/>
      </c>
    </row>
    <row r="82" spans="1:7">
      <c r="A82" t="s">
        <v>250</v>
      </c>
      <c r="B82" s="14" t="s">
        <v>250</v>
      </c>
      <c r="C82" t="b">
        <f t="shared" si="7"/>
        <v>1</v>
      </c>
      <c r="D82" t="str">
        <f t="shared" si="6"/>
        <v>Investment Property</v>
      </c>
      <c r="E82" t="str">
        <f t="shared" si="8"/>
        <v>Exist</v>
      </c>
      <c r="F82" t="str">
        <f t="shared" si="9"/>
        <v/>
      </c>
      <c r="G82" t="str">
        <f t="shared" si="10"/>
        <v/>
      </c>
    </row>
    <row r="83" spans="1:7">
      <c r="A83" t="s">
        <v>1791</v>
      </c>
      <c r="B83" s="14" t="s">
        <v>1791</v>
      </c>
      <c r="C83" t="b">
        <f t="shared" si="7"/>
        <v>1</v>
      </c>
      <c r="D83" t="str">
        <f t="shared" si="6"/>
        <v>Accum Dep-Investment Property</v>
      </c>
      <c r="E83" t="str">
        <f t="shared" si="8"/>
        <v>Exist</v>
      </c>
      <c r="F83" t="str">
        <f t="shared" si="9"/>
        <v/>
      </c>
      <c r="G83" t="str">
        <f t="shared" si="10"/>
        <v/>
      </c>
    </row>
    <row r="84" spans="1:7">
      <c r="B84" s="14" t="s">
        <v>1675</v>
      </c>
      <c r="C84" t="b">
        <f t="shared" si="7"/>
        <v>0</v>
      </c>
      <c r="D84" t="e">
        <f t="shared" si="6"/>
        <v>#N/A</v>
      </c>
      <c r="E84" t="str">
        <f t="shared" si="8"/>
        <v/>
      </c>
      <c r="F84" t="str">
        <f t="shared" si="9"/>
        <v>New</v>
      </c>
      <c r="G84" t="str">
        <f t="shared" si="10"/>
        <v/>
      </c>
    </row>
    <row r="85" spans="1:7">
      <c r="A85" t="s">
        <v>1676</v>
      </c>
      <c r="B85" s="14" t="s">
        <v>1676</v>
      </c>
      <c r="C85" t="b">
        <f t="shared" si="7"/>
        <v>1</v>
      </c>
      <c r="D85" t="str">
        <f t="shared" si="6"/>
        <v>Plant</v>
      </c>
      <c r="E85" t="str">
        <f t="shared" si="8"/>
        <v>Exist</v>
      </c>
      <c r="F85" t="str">
        <f t="shared" si="9"/>
        <v/>
      </c>
      <c r="G85" t="str">
        <f t="shared" si="10"/>
        <v/>
      </c>
    </row>
    <row r="86" spans="1:7">
      <c r="A86" t="s">
        <v>1792</v>
      </c>
      <c r="B86" s="14" t="s">
        <v>1792</v>
      </c>
      <c r="C86" t="b">
        <f t="shared" si="7"/>
        <v>1</v>
      </c>
      <c r="D86" t="str">
        <f t="shared" si="6"/>
        <v>Accum Dep-Plant</v>
      </c>
      <c r="E86" t="str">
        <f t="shared" si="8"/>
        <v>Exist</v>
      </c>
      <c r="F86" t="str">
        <f t="shared" si="9"/>
        <v/>
      </c>
      <c r="G86" t="str">
        <f t="shared" si="10"/>
        <v/>
      </c>
    </row>
    <row r="87" spans="1:7">
      <c r="A87" t="s">
        <v>1793</v>
      </c>
      <c r="B87" s="14" t="s">
        <v>1793</v>
      </c>
      <c r="C87" t="b">
        <f t="shared" si="7"/>
        <v>1</v>
      </c>
      <c r="D87" t="str">
        <f t="shared" si="6"/>
        <v>Prov for Impairment-Plant</v>
      </c>
      <c r="E87" t="str">
        <f t="shared" si="8"/>
        <v>Exist</v>
      </c>
      <c r="F87" t="str">
        <f t="shared" si="9"/>
        <v/>
      </c>
      <c r="G87" t="str">
        <f t="shared" si="10"/>
        <v/>
      </c>
    </row>
    <row r="88" spans="1:7">
      <c r="A88" t="s">
        <v>1677</v>
      </c>
      <c r="B88" s="14" t="s">
        <v>1677</v>
      </c>
      <c r="C88" t="b">
        <f t="shared" si="7"/>
        <v>1</v>
      </c>
      <c r="D88" t="str">
        <f t="shared" si="6"/>
        <v>Machinery</v>
      </c>
      <c r="E88" t="str">
        <f t="shared" si="8"/>
        <v>Exist</v>
      </c>
      <c r="F88" t="str">
        <f t="shared" si="9"/>
        <v/>
      </c>
      <c r="G88" t="str">
        <f t="shared" si="10"/>
        <v/>
      </c>
    </row>
    <row r="89" spans="1:7">
      <c r="A89" t="s">
        <v>1794</v>
      </c>
      <c r="B89" s="14" t="s">
        <v>1794</v>
      </c>
      <c r="C89" t="b">
        <f t="shared" si="7"/>
        <v>1</v>
      </c>
      <c r="D89" t="str">
        <f t="shared" si="6"/>
        <v>Accum Dep-Machinery</v>
      </c>
      <c r="E89" t="str">
        <f t="shared" si="8"/>
        <v>Exist</v>
      </c>
      <c r="F89" t="str">
        <f t="shared" si="9"/>
        <v/>
      </c>
      <c r="G89" t="str">
        <f t="shared" si="10"/>
        <v/>
      </c>
    </row>
    <row r="90" spans="1:7">
      <c r="B90" s="14" t="s">
        <v>1678</v>
      </c>
      <c r="C90" t="b">
        <f t="shared" si="7"/>
        <v>0</v>
      </c>
      <c r="D90" t="e">
        <f t="shared" si="6"/>
        <v>#N/A</v>
      </c>
      <c r="E90" t="str">
        <f t="shared" si="8"/>
        <v/>
      </c>
      <c r="F90" t="str">
        <f t="shared" si="9"/>
        <v>New</v>
      </c>
      <c r="G90" t="str">
        <f t="shared" si="10"/>
        <v/>
      </c>
    </row>
    <row r="91" spans="1:7">
      <c r="A91" t="s">
        <v>1679</v>
      </c>
      <c r="B91" s="14" t="s">
        <v>1679</v>
      </c>
      <c r="C91" t="b">
        <f t="shared" si="7"/>
        <v>1</v>
      </c>
      <c r="D91" t="str">
        <f t="shared" si="6"/>
        <v>Equipment</v>
      </c>
      <c r="E91" t="str">
        <f t="shared" si="8"/>
        <v>Exist</v>
      </c>
      <c r="F91" t="str">
        <f t="shared" si="9"/>
        <v/>
      </c>
      <c r="G91" t="str">
        <f t="shared" si="10"/>
        <v/>
      </c>
    </row>
    <row r="92" spans="1:7">
      <c r="A92" t="s">
        <v>1795</v>
      </c>
      <c r="B92" s="14" t="s">
        <v>1795</v>
      </c>
      <c r="C92" t="b">
        <f t="shared" si="7"/>
        <v>1</v>
      </c>
      <c r="D92" t="str">
        <f t="shared" si="6"/>
        <v>Accum Dep-Equipment</v>
      </c>
      <c r="E92" t="str">
        <f t="shared" si="8"/>
        <v>Exist</v>
      </c>
      <c r="F92" t="str">
        <f t="shared" si="9"/>
        <v/>
      </c>
      <c r="G92" t="str">
        <f t="shared" si="10"/>
        <v/>
      </c>
    </row>
    <row r="93" spans="1:7">
      <c r="B93" s="14" t="s">
        <v>1680</v>
      </c>
      <c r="C93" t="b">
        <f t="shared" si="7"/>
        <v>0</v>
      </c>
      <c r="D93" t="e">
        <f t="shared" si="6"/>
        <v>#N/A</v>
      </c>
      <c r="E93" t="str">
        <f t="shared" si="8"/>
        <v/>
      </c>
      <c r="F93" t="str">
        <f t="shared" si="9"/>
        <v>New</v>
      </c>
      <c r="G93" t="str">
        <f t="shared" si="10"/>
        <v/>
      </c>
    </row>
    <row r="94" spans="1:7">
      <c r="A94" t="s">
        <v>1681</v>
      </c>
      <c r="B94" s="14" t="s">
        <v>1681</v>
      </c>
      <c r="C94" t="b">
        <f t="shared" si="7"/>
        <v>1</v>
      </c>
      <c r="D94" t="str">
        <f t="shared" si="6"/>
        <v>Rental Equipment</v>
      </c>
      <c r="E94" t="str">
        <f t="shared" si="8"/>
        <v>Exist</v>
      </c>
      <c r="F94" t="str">
        <f t="shared" si="9"/>
        <v/>
      </c>
      <c r="G94" t="str">
        <f t="shared" si="10"/>
        <v/>
      </c>
    </row>
    <row r="95" spans="1:7">
      <c r="A95" t="s">
        <v>1796</v>
      </c>
      <c r="B95" s="14" t="s">
        <v>1796</v>
      </c>
      <c r="C95" t="b">
        <f t="shared" si="7"/>
        <v>1</v>
      </c>
      <c r="D95" t="str">
        <f t="shared" si="6"/>
        <v>Accum Dep-Rental Equipment</v>
      </c>
      <c r="E95" t="str">
        <f t="shared" si="8"/>
        <v>Exist</v>
      </c>
      <c r="F95" t="str">
        <f t="shared" si="9"/>
        <v/>
      </c>
      <c r="G95" t="str">
        <f t="shared" si="10"/>
        <v/>
      </c>
    </row>
    <row r="96" spans="1:7">
      <c r="B96" s="14" t="s">
        <v>1682</v>
      </c>
      <c r="C96" t="b">
        <f t="shared" si="7"/>
        <v>0</v>
      </c>
      <c r="D96" t="e">
        <f t="shared" si="6"/>
        <v>#N/A</v>
      </c>
      <c r="E96" t="str">
        <f t="shared" si="8"/>
        <v/>
      </c>
      <c r="F96" t="str">
        <f t="shared" si="9"/>
        <v>New</v>
      </c>
      <c r="G96" t="str">
        <f t="shared" si="10"/>
        <v/>
      </c>
    </row>
    <row r="97" spans="1:7">
      <c r="A97" t="s">
        <v>1683</v>
      </c>
      <c r="B97" s="14" t="s">
        <v>1683</v>
      </c>
      <c r="C97" t="b">
        <f t="shared" si="7"/>
        <v>1</v>
      </c>
      <c r="D97" t="str">
        <f t="shared" si="6"/>
        <v>Pipelines</v>
      </c>
      <c r="E97" t="str">
        <f t="shared" si="8"/>
        <v>Exist</v>
      </c>
      <c r="F97" t="str">
        <f t="shared" si="9"/>
        <v/>
      </c>
      <c r="G97" t="str">
        <f t="shared" si="10"/>
        <v/>
      </c>
    </row>
    <row r="98" spans="1:7">
      <c r="A98" t="s">
        <v>1797</v>
      </c>
      <c r="B98" s="14" t="s">
        <v>1797</v>
      </c>
      <c r="C98" t="b">
        <f t="shared" si="7"/>
        <v>1</v>
      </c>
      <c r="D98" t="str">
        <f t="shared" ref="D98:D129" si="11">VLOOKUP(B98, A98:A420, 1, FALSE)</f>
        <v>Accum Dep-Pipelines</v>
      </c>
      <c r="E98" t="str">
        <f t="shared" si="8"/>
        <v>Exist</v>
      </c>
      <c r="F98" t="str">
        <f t="shared" si="9"/>
        <v/>
      </c>
      <c r="G98" t="str">
        <f t="shared" si="10"/>
        <v/>
      </c>
    </row>
    <row r="99" spans="1:7">
      <c r="B99" s="14" t="s">
        <v>1684</v>
      </c>
      <c r="C99" t="b">
        <f t="shared" si="7"/>
        <v>0</v>
      </c>
      <c r="D99" t="e">
        <f t="shared" si="11"/>
        <v>#N/A</v>
      </c>
      <c r="E99" t="str">
        <f t="shared" si="8"/>
        <v/>
      </c>
      <c r="F99" t="str">
        <f t="shared" si="9"/>
        <v>New</v>
      </c>
      <c r="G99" t="str">
        <f t="shared" si="10"/>
        <v/>
      </c>
    </row>
    <row r="100" spans="1:7">
      <c r="A100" t="s">
        <v>1685</v>
      </c>
      <c r="B100" s="14" t="s">
        <v>1685</v>
      </c>
      <c r="C100" t="b">
        <f t="shared" si="7"/>
        <v>1</v>
      </c>
      <c r="D100" t="str">
        <f t="shared" si="11"/>
        <v>Storage Tanks</v>
      </c>
      <c r="E100" t="str">
        <f t="shared" si="8"/>
        <v>Exist</v>
      </c>
      <c r="F100" t="str">
        <f t="shared" si="9"/>
        <v/>
      </c>
      <c r="G100" t="str">
        <f t="shared" si="10"/>
        <v/>
      </c>
    </row>
    <row r="101" spans="1:7">
      <c r="A101" t="s">
        <v>1798</v>
      </c>
      <c r="B101" s="14" t="s">
        <v>1798</v>
      </c>
      <c r="C101" t="b">
        <f t="shared" si="7"/>
        <v>1</v>
      </c>
      <c r="D101" t="str">
        <f t="shared" si="11"/>
        <v>Accum Dep-Storage Tanks</v>
      </c>
      <c r="E101" t="str">
        <f t="shared" si="8"/>
        <v>Exist</v>
      </c>
      <c r="F101" t="str">
        <f t="shared" si="9"/>
        <v/>
      </c>
      <c r="G101" t="str">
        <f t="shared" si="10"/>
        <v/>
      </c>
    </row>
    <row r="102" spans="1:7">
      <c r="B102" s="14" t="s">
        <v>1686</v>
      </c>
      <c r="C102" t="b">
        <f t="shared" si="7"/>
        <v>0</v>
      </c>
      <c r="D102" t="e">
        <f t="shared" si="11"/>
        <v>#N/A</v>
      </c>
      <c r="E102" t="str">
        <f t="shared" si="8"/>
        <v/>
      </c>
      <c r="F102" t="str">
        <f t="shared" si="9"/>
        <v>New</v>
      </c>
      <c r="G102" t="str">
        <f t="shared" si="10"/>
        <v/>
      </c>
    </row>
    <row r="103" spans="1:7">
      <c r="A103" t="s">
        <v>1687</v>
      </c>
      <c r="B103" s="14" t="s">
        <v>1687</v>
      </c>
      <c r="C103" t="b">
        <f t="shared" si="7"/>
        <v>1</v>
      </c>
      <c r="D103" t="str">
        <f t="shared" si="11"/>
        <v>ISO Tanks</v>
      </c>
      <c r="E103" t="str">
        <f t="shared" si="8"/>
        <v>Exist</v>
      </c>
      <c r="F103" t="str">
        <f t="shared" si="9"/>
        <v/>
      </c>
      <c r="G103" t="str">
        <f t="shared" si="10"/>
        <v/>
      </c>
    </row>
    <row r="104" spans="1:7">
      <c r="A104" t="s">
        <v>1799</v>
      </c>
      <c r="B104" s="14" t="s">
        <v>1799</v>
      </c>
      <c r="C104" t="b">
        <f t="shared" si="7"/>
        <v>1</v>
      </c>
      <c r="D104" t="str">
        <f t="shared" si="11"/>
        <v>Accum Dep-ISO Tanks</v>
      </c>
      <c r="E104" t="str">
        <f t="shared" si="8"/>
        <v>Exist</v>
      </c>
      <c r="F104" t="str">
        <f t="shared" si="9"/>
        <v/>
      </c>
      <c r="G104" t="str">
        <f t="shared" si="10"/>
        <v/>
      </c>
    </row>
    <row r="105" spans="1:7">
      <c r="B105" s="14" t="s">
        <v>1688</v>
      </c>
      <c r="C105" t="b">
        <f t="shared" si="7"/>
        <v>0</v>
      </c>
      <c r="D105" t="e">
        <f t="shared" si="11"/>
        <v>#N/A</v>
      </c>
      <c r="E105" t="str">
        <f t="shared" si="8"/>
        <v/>
      </c>
      <c r="F105" t="str">
        <f t="shared" si="9"/>
        <v>New</v>
      </c>
      <c r="G105" t="str">
        <f t="shared" si="10"/>
        <v/>
      </c>
    </row>
    <row r="106" spans="1:7">
      <c r="A106" t="s">
        <v>1689</v>
      </c>
      <c r="B106" s="14" t="s">
        <v>1689</v>
      </c>
      <c r="C106" t="b">
        <f t="shared" si="7"/>
        <v>1</v>
      </c>
      <c r="D106" t="str">
        <f t="shared" si="11"/>
        <v>Racks &amp; Cylinders</v>
      </c>
      <c r="E106" t="str">
        <f t="shared" si="8"/>
        <v>Exist</v>
      </c>
      <c r="F106" t="str">
        <f t="shared" si="9"/>
        <v/>
      </c>
      <c r="G106" t="str">
        <f t="shared" si="10"/>
        <v/>
      </c>
    </row>
    <row r="107" spans="1:7">
      <c r="A107" t="s">
        <v>1800</v>
      </c>
      <c r="B107" s="14" t="s">
        <v>1800</v>
      </c>
      <c r="C107" t="b">
        <f t="shared" si="7"/>
        <v>1</v>
      </c>
      <c r="D107" t="str">
        <f t="shared" si="11"/>
        <v>Accum Dep-Racks &amp; Cylinders</v>
      </c>
      <c r="E107" t="str">
        <f t="shared" si="8"/>
        <v>Exist</v>
      </c>
      <c r="F107" t="str">
        <f t="shared" si="9"/>
        <v/>
      </c>
      <c r="G107" t="str">
        <f t="shared" si="10"/>
        <v/>
      </c>
    </row>
    <row r="108" spans="1:7">
      <c r="A108" t="s">
        <v>1867</v>
      </c>
      <c r="B108" s="14" t="s">
        <v>1867</v>
      </c>
      <c r="C108" t="b">
        <f t="shared" si="7"/>
        <v>1</v>
      </c>
      <c r="D108" t="str">
        <f t="shared" si="11"/>
        <v>Prov for Impairment-Racks &amp; Cylinders</v>
      </c>
      <c r="E108" t="str">
        <f t="shared" si="8"/>
        <v>Exist</v>
      </c>
      <c r="F108" t="str">
        <f t="shared" si="9"/>
        <v/>
      </c>
      <c r="G108" t="str">
        <f t="shared" si="10"/>
        <v/>
      </c>
    </row>
    <row r="109" spans="1:7">
      <c r="A109" t="s">
        <v>1690</v>
      </c>
      <c r="B109" s="14" t="s">
        <v>1690</v>
      </c>
      <c r="C109" t="b">
        <f t="shared" si="7"/>
        <v>1</v>
      </c>
      <c r="D109" t="str">
        <f t="shared" si="11"/>
        <v>Tools</v>
      </c>
      <c r="E109" t="str">
        <f t="shared" si="8"/>
        <v>Exist</v>
      </c>
      <c r="F109" t="str">
        <f t="shared" si="9"/>
        <v/>
      </c>
      <c r="G109" t="str">
        <f t="shared" si="10"/>
        <v/>
      </c>
    </row>
    <row r="110" spans="1:7">
      <c r="A110" t="s">
        <v>1801</v>
      </c>
      <c r="B110" s="14" t="s">
        <v>1801</v>
      </c>
      <c r="C110" t="b">
        <f t="shared" si="7"/>
        <v>1</v>
      </c>
      <c r="D110" t="str">
        <f t="shared" si="11"/>
        <v>Accum Dep-Tools</v>
      </c>
      <c r="E110" t="str">
        <f t="shared" si="8"/>
        <v>Exist</v>
      </c>
      <c r="F110" t="str">
        <f t="shared" si="9"/>
        <v/>
      </c>
      <c r="G110" t="str">
        <f t="shared" si="10"/>
        <v/>
      </c>
    </row>
    <row r="111" spans="1:7">
      <c r="B111" s="14" t="s">
        <v>1691</v>
      </c>
      <c r="C111" t="b">
        <f t="shared" si="7"/>
        <v>0</v>
      </c>
      <c r="D111" t="e">
        <f t="shared" si="11"/>
        <v>#N/A</v>
      </c>
      <c r="E111" t="str">
        <f t="shared" si="8"/>
        <v/>
      </c>
      <c r="F111" t="str">
        <f t="shared" si="9"/>
        <v>New</v>
      </c>
      <c r="G111" t="str">
        <f t="shared" si="10"/>
        <v/>
      </c>
    </row>
    <row r="112" spans="1:7">
      <c r="A112" t="s">
        <v>1692</v>
      </c>
      <c r="B112" s="14" t="s">
        <v>1692</v>
      </c>
      <c r="C112" t="b">
        <f t="shared" si="7"/>
        <v>1</v>
      </c>
      <c r="D112" t="str">
        <f t="shared" si="11"/>
        <v>Dies &amp; Moulds</v>
      </c>
      <c r="E112" t="str">
        <f t="shared" si="8"/>
        <v>Exist</v>
      </c>
      <c r="F112" t="str">
        <f t="shared" si="9"/>
        <v/>
      </c>
      <c r="G112" t="str">
        <f t="shared" si="10"/>
        <v/>
      </c>
    </row>
    <row r="113" spans="1:7" ht="15.95" customHeight="1">
      <c r="A113" t="s">
        <v>1802</v>
      </c>
      <c r="B113" s="14" t="s">
        <v>1802</v>
      </c>
      <c r="C113" t="b">
        <f t="shared" si="7"/>
        <v>1</v>
      </c>
      <c r="D113" t="str">
        <f t="shared" si="11"/>
        <v>Accum Dep-Dies &amp; Moulds</v>
      </c>
      <c r="E113" t="str">
        <f t="shared" si="8"/>
        <v>Exist</v>
      </c>
      <c r="F113" t="str">
        <f t="shared" si="9"/>
        <v/>
      </c>
      <c r="G113" t="str">
        <f t="shared" si="10"/>
        <v/>
      </c>
    </row>
    <row r="114" spans="1:7">
      <c r="B114" s="14" t="s">
        <v>1693</v>
      </c>
      <c r="C114" t="b">
        <f t="shared" si="7"/>
        <v>0</v>
      </c>
      <c r="D114" t="e">
        <f t="shared" si="11"/>
        <v>#N/A</v>
      </c>
      <c r="E114" t="str">
        <f t="shared" si="8"/>
        <v/>
      </c>
      <c r="F114" t="str">
        <f t="shared" si="9"/>
        <v>New</v>
      </c>
      <c r="G114" t="str">
        <f t="shared" si="10"/>
        <v/>
      </c>
    </row>
    <row r="115" spans="1:7">
      <c r="A115" t="s">
        <v>1694</v>
      </c>
      <c r="B115" s="14" t="s">
        <v>1694</v>
      </c>
      <c r="C115" t="b">
        <f t="shared" si="7"/>
        <v>1</v>
      </c>
      <c r="D115" t="str">
        <f t="shared" si="11"/>
        <v>Spare Parts</v>
      </c>
      <c r="E115" t="str">
        <f t="shared" si="8"/>
        <v>Exist</v>
      </c>
      <c r="F115" t="str">
        <f t="shared" si="9"/>
        <v/>
      </c>
      <c r="G115" t="str">
        <f t="shared" si="10"/>
        <v/>
      </c>
    </row>
    <row r="116" spans="1:7">
      <c r="A116" t="s">
        <v>1803</v>
      </c>
      <c r="B116" s="14" t="s">
        <v>1803</v>
      </c>
      <c r="C116" t="b">
        <f t="shared" si="7"/>
        <v>1</v>
      </c>
      <c r="D116" t="str">
        <f t="shared" si="11"/>
        <v>Accum Dep -Spare Parts</v>
      </c>
      <c r="E116" t="str">
        <f t="shared" si="8"/>
        <v>Exist</v>
      </c>
      <c r="F116" t="str">
        <f t="shared" si="9"/>
        <v/>
      </c>
      <c r="G116" t="str">
        <f t="shared" si="10"/>
        <v/>
      </c>
    </row>
    <row r="117" spans="1:7">
      <c r="B117" s="14" t="s">
        <v>1695</v>
      </c>
      <c r="C117" t="b">
        <f t="shared" si="7"/>
        <v>0</v>
      </c>
      <c r="D117" t="e">
        <f t="shared" si="11"/>
        <v>#N/A</v>
      </c>
      <c r="E117" t="str">
        <f t="shared" si="8"/>
        <v/>
      </c>
      <c r="F117" t="str">
        <f t="shared" si="9"/>
        <v>New</v>
      </c>
      <c r="G117" t="str">
        <f t="shared" si="10"/>
        <v/>
      </c>
    </row>
    <row r="118" spans="1:7">
      <c r="A118" t="s">
        <v>1696</v>
      </c>
      <c r="B118" s="14" t="s">
        <v>1696</v>
      </c>
      <c r="C118" t="b">
        <f t="shared" si="7"/>
        <v>1</v>
      </c>
      <c r="D118" t="str">
        <f t="shared" si="11"/>
        <v>Furniture &amp; Fittings</v>
      </c>
      <c r="E118" t="str">
        <f t="shared" si="8"/>
        <v>Exist</v>
      </c>
      <c r="F118" t="str">
        <f t="shared" si="9"/>
        <v/>
      </c>
      <c r="G118" t="str">
        <f t="shared" si="10"/>
        <v/>
      </c>
    </row>
    <row r="119" spans="1:7">
      <c r="A119" t="s">
        <v>1804</v>
      </c>
      <c r="B119" s="14" t="s">
        <v>1804</v>
      </c>
      <c r="C119" t="b">
        <f t="shared" si="7"/>
        <v>1</v>
      </c>
      <c r="D119" t="str">
        <f t="shared" si="11"/>
        <v>Accum Dep-F&amp;F</v>
      </c>
      <c r="E119" t="str">
        <f t="shared" si="8"/>
        <v>Exist</v>
      </c>
      <c r="F119" t="str">
        <f t="shared" si="9"/>
        <v/>
      </c>
      <c r="G119" t="str">
        <f t="shared" si="10"/>
        <v/>
      </c>
    </row>
    <row r="120" spans="1:7">
      <c r="B120" s="14" t="s">
        <v>1697</v>
      </c>
      <c r="C120" t="b">
        <f t="shared" si="7"/>
        <v>0</v>
      </c>
      <c r="D120" t="e">
        <f t="shared" si="11"/>
        <v>#N/A</v>
      </c>
      <c r="E120" t="str">
        <f t="shared" si="8"/>
        <v/>
      </c>
      <c r="F120" t="str">
        <f t="shared" si="9"/>
        <v>New</v>
      </c>
      <c r="G120" t="str">
        <f t="shared" si="10"/>
        <v/>
      </c>
    </row>
    <row r="121" spans="1:7">
      <c r="A121" t="s">
        <v>1698</v>
      </c>
      <c r="B121" s="14" t="s">
        <v>1698</v>
      </c>
      <c r="C121" t="b">
        <f t="shared" si="7"/>
        <v>1</v>
      </c>
      <c r="D121" t="str">
        <f t="shared" si="11"/>
        <v>Office Equipment</v>
      </c>
      <c r="E121" t="str">
        <f t="shared" si="8"/>
        <v>Exist</v>
      </c>
      <c r="F121" t="str">
        <f t="shared" si="9"/>
        <v/>
      </c>
      <c r="G121" t="str">
        <f t="shared" si="10"/>
        <v/>
      </c>
    </row>
    <row r="122" spans="1:7">
      <c r="A122" t="s">
        <v>1805</v>
      </c>
      <c r="B122" s="14" t="s">
        <v>1805</v>
      </c>
      <c r="C122" t="b">
        <f t="shared" si="7"/>
        <v>1</v>
      </c>
      <c r="D122" t="str">
        <f t="shared" si="11"/>
        <v>Accum Dep-Office Equip</v>
      </c>
      <c r="E122" t="str">
        <f t="shared" si="8"/>
        <v>Exist</v>
      </c>
      <c r="F122" t="str">
        <f t="shared" si="9"/>
        <v/>
      </c>
      <c r="G122" t="str">
        <f t="shared" si="10"/>
        <v/>
      </c>
    </row>
    <row r="123" spans="1:7">
      <c r="B123" s="14" t="s">
        <v>1699</v>
      </c>
      <c r="C123" t="b">
        <f t="shared" si="7"/>
        <v>0</v>
      </c>
      <c r="D123" t="e">
        <f t="shared" si="11"/>
        <v>#N/A</v>
      </c>
      <c r="E123" t="str">
        <f t="shared" si="8"/>
        <v/>
      </c>
      <c r="F123" t="str">
        <f t="shared" si="9"/>
        <v>New</v>
      </c>
      <c r="G123" t="str">
        <f t="shared" si="10"/>
        <v/>
      </c>
    </row>
    <row r="124" spans="1:7">
      <c r="A124" t="s">
        <v>1806</v>
      </c>
      <c r="B124" s="14" t="s">
        <v>1806</v>
      </c>
      <c r="C124" t="b">
        <f t="shared" si="7"/>
        <v>1</v>
      </c>
      <c r="D124" t="str">
        <f t="shared" si="11"/>
        <v>Computer</v>
      </c>
      <c r="E124" t="str">
        <f t="shared" si="8"/>
        <v>Exist</v>
      </c>
      <c r="F124" t="str">
        <f t="shared" si="9"/>
        <v/>
      </c>
      <c r="G124" t="str">
        <f t="shared" si="10"/>
        <v/>
      </c>
    </row>
    <row r="125" spans="1:7">
      <c r="A125" t="s">
        <v>1807</v>
      </c>
      <c r="B125" s="14" t="s">
        <v>1807</v>
      </c>
      <c r="C125" t="b">
        <f t="shared" si="7"/>
        <v>1</v>
      </c>
      <c r="D125" t="str">
        <f t="shared" si="11"/>
        <v>Accum Dep-Computer</v>
      </c>
      <c r="E125" t="str">
        <f t="shared" si="8"/>
        <v>Exist</v>
      </c>
      <c r="F125" t="str">
        <f t="shared" si="9"/>
        <v/>
      </c>
      <c r="G125" t="str">
        <f t="shared" si="10"/>
        <v/>
      </c>
    </row>
    <row r="126" spans="1:7">
      <c r="B126" s="14" t="s">
        <v>1700</v>
      </c>
      <c r="C126" t="b">
        <f t="shared" si="7"/>
        <v>0</v>
      </c>
      <c r="D126" t="e">
        <f t="shared" si="11"/>
        <v>#N/A</v>
      </c>
      <c r="E126" t="str">
        <f t="shared" si="8"/>
        <v/>
      </c>
      <c r="F126" t="str">
        <f t="shared" si="9"/>
        <v>New</v>
      </c>
      <c r="G126" t="str">
        <f t="shared" si="10"/>
        <v/>
      </c>
    </row>
    <row r="127" spans="1:7">
      <c r="A127" t="s">
        <v>1701</v>
      </c>
      <c r="B127" s="14" t="s">
        <v>1701</v>
      </c>
      <c r="C127" t="b">
        <f t="shared" si="7"/>
        <v>1</v>
      </c>
      <c r="D127" t="str">
        <f t="shared" si="11"/>
        <v>Motor Vehicle</v>
      </c>
      <c r="E127" t="str">
        <f t="shared" si="8"/>
        <v>Exist</v>
      </c>
      <c r="F127" t="str">
        <f t="shared" si="9"/>
        <v/>
      </c>
      <c r="G127" t="str">
        <f t="shared" si="10"/>
        <v/>
      </c>
    </row>
    <row r="128" spans="1:7">
      <c r="A128" t="s">
        <v>1808</v>
      </c>
      <c r="B128" s="14" t="s">
        <v>1808</v>
      </c>
      <c r="C128" t="b">
        <f t="shared" si="7"/>
        <v>1</v>
      </c>
      <c r="D128" t="str">
        <f t="shared" si="11"/>
        <v>Accum Dep-Motor Vehicle</v>
      </c>
      <c r="E128" t="str">
        <f t="shared" si="8"/>
        <v>Exist</v>
      </c>
      <c r="F128" t="str">
        <f t="shared" si="9"/>
        <v/>
      </c>
      <c r="G128" t="str">
        <f t="shared" si="10"/>
        <v/>
      </c>
    </row>
    <row r="129" spans="1:7">
      <c r="B129" s="14" t="s">
        <v>1702</v>
      </c>
      <c r="C129" t="b">
        <f t="shared" si="7"/>
        <v>0</v>
      </c>
      <c r="D129" t="e">
        <f t="shared" si="11"/>
        <v>#N/A</v>
      </c>
      <c r="E129" t="str">
        <f t="shared" si="8"/>
        <v/>
      </c>
      <c r="F129" t="str">
        <f t="shared" si="9"/>
        <v>New</v>
      </c>
      <c r="G129" t="str">
        <f t="shared" si="10"/>
        <v/>
      </c>
    </row>
    <row r="130" spans="1:7">
      <c r="B130" s="14" t="s">
        <v>1703</v>
      </c>
      <c r="C130" t="b">
        <f t="shared" si="7"/>
        <v>0</v>
      </c>
      <c r="D130" t="e">
        <f t="shared" ref="D130:D160" si="12">VLOOKUP(B130, A130:A452, 1, FALSE)</f>
        <v>#N/A</v>
      </c>
      <c r="E130" t="str">
        <f t="shared" si="8"/>
        <v/>
      </c>
      <c r="F130" t="str">
        <f t="shared" si="9"/>
        <v>New</v>
      </c>
      <c r="G130" t="str">
        <f t="shared" si="10"/>
        <v/>
      </c>
    </row>
    <row r="131" spans="1:7">
      <c r="A131" t="s">
        <v>256</v>
      </c>
      <c r="B131" s="15" t="s">
        <v>256</v>
      </c>
      <c r="C131" t="b">
        <f t="shared" ref="C131:C194" si="13">EXACT(A131,B131)</f>
        <v>1</v>
      </c>
      <c r="D131" t="str">
        <f t="shared" si="12"/>
        <v>NET FIXED ASSETS</v>
      </c>
      <c r="E131" t="str">
        <f t="shared" ref="E131:E194" si="14">IF((AND(EXACT(C131,"TRUE"),_xlfn.IFNA(D131,"NA")&lt;&gt;"NA")),"Exist","")</f>
        <v>Exist</v>
      </c>
      <c r="F131" t="str">
        <f t="shared" ref="F131:F194" si="15">IF((AND(EXACT(C131,"FALSE"),_xlfn.IFNA(D131,"NA")="NA")),"New","")</f>
        <v/>
      </c>
      <c r="G131" t="str">
        <f t="shared" ref="G131:G194" si="16">IF((AND(ISBLANK(B131),EXACT(C131,"FALSE"))),"Remove","")</f>
        <v/>
      </c>
    </row>
    <row r="132" spans="1:7">
      <c r="A132" t="s">
        <v>1704</v>
      </c>
      <c r="B132" s="14" t="s">
        <v>1704</v>
      </c>
      <c r="C132" t="b">
        <f t="shared" si="13"/>
        <v>1</v>
      </c>
      <c r="D132" t="str">
        <f t="shared" si="12"/>
        <v>Investment in Subsidiary</v>
      </c>
      <c r="E132" t="str">
        <f t="shared" si="14"/>
        <v>Exist</v>
      </c>
      <c r="F132" t="str">
        <f t="shared" si="15"/>
        <v/>
      </c>
      <c r="G132" t="str">
        <f t="shared" si="16"/>
        <v/>
      </c>
    </row>
    <row r="133" spans="1:7">
      <c r="B133" s="14" t="s">
        <v>1868</v>
      </c>
      <c r="C133" t="b">
        <f t="shared" si="13"/>
        <v>0</v>
      </c>
      <c r="D133" t="e">
        <f t="shared" si="12"/>
        <v>#N/A</v>
      </c>
      <c r="E133" t="str">
        <f t="shared" si="14"/>
        <v/>
      </c>
      <c r="F133" t="str">
        <f t="shared" si="15"/>
        <v>New</v>
      </c>
      <c r="G133" t="str">
        <f t="shared" si="16"/>
        <v/>
      </c>
    </row>
    <row r="134" spans="1:7">
      <c r="A134" t="s">
        <v>1705</v>
      </c>
      <c r="B134" s="14" t="s">
        <v>1705</v>
      </c>
      <c r="C134" t="b">
        <f t="shared" si="13"/>
        <v>1</v>
      </c>
      <c r="D134" t="str">
        <f t="shared" si="12"/>
        <v>Investment in JV Co</v>
      </c>
      <c r="E134" t="str">
        <f t="shared" si="14"/>
        <v>Exist</v>
      </c>
      <c r="F134" t="str">
        <f t="shared" si="15"/>
        <v/>
      </c>
      <c r="G134" t="str">
        <f t="shared" si="16"/>
        <v/>
      </c>
    </row>
    <row r="135" spans="1:7">
      <c r="B135" s="14" t="s">
        <v>1869</v>
      </c>
      <c r="C135" t="b">
        <f t="shared" si="13"/>
        <v>0</v>
      </c>
      <c r="D135" t="e">
        <f t="shared" si="12"/>
        <v>#N/A</v>
      </c>
      <c r="E135" t="str">
        <f t="shared" si="14"/>
        <v/>
      </c>
      <c r="F135" t="str">
        <f t="shared" si="15"/>
        <v>New</v>
      </c>
      <c r="G135" t="str">
        <f t="shared" si="16"/>
        <v/>
      </c>
    </row>
    <row r="136" spans="1:7">
      <c r="A136" t="s">
        <v>1706</v>
      </c>
      <c r="B136" s="14" t="s">
        <v>1706</v>
      </c>
      <c r="C136" t="b">
        <f t="shared" si="13"/>
        <v>1</v>
      </c>
      <c r="D136" t="str">
        <f t="shared" si="12"/>
        <v>Investment in Assoc Co</v>
      </c>
      <c r="E136" t="str">
        <f t="shared" si="14"/>
        <v>Exist</v>
      </c>
      <c r="F136" t="str">
        <f t="shared" si="15"/>
        <v/>
      </c>
      <c r="G136" t="str">
        <f t="shared" si="16"/>
        <v/>
      </c>
    </row>
    <row r="137" spans="1:7">
      <c r="B137" s="14" t="s">
        <v>1870</v>
      </c>
      <c r="C137" t="b">
        <f t="shared" si="13"/>
        <v>0</v>
      </c>
      <c r="D137" t="e">
        <f t="shared" si="12"/>
        <v>#N/A</v>
      </c>
      <c r="E137" t="str">
        <f t="shared" si="14"/>
        <v/>
      </c>
      <c r="F137" t="str">
        <f t="shared" si="15"/>
        <v>New</v>
      </c>
      <c r="G137" t="str">
        <f t="shared" si="16"/>
        <v/>
      </c>
    </row>
    <row r="138" spans="1:7">
      <c r="A138" t="s">
        <v>1707</v>
      </c>
      <c r="B138" s="14" t="s">
        <v>1707</v>
      </c>
      <c r="C138" t="b">
        <f t="shared" si="13"/>
        <v>1</v>
      </c>
      <c r="D138" t="str">
        <f t="shared" si="12"/>
        <v>Investment in Rel Co</v>
      </c>
      <c r="E138" t="str">
        <f t="shared" si="14"/>
        <v>Exist</v>
      </c>
      <c r="F138" t="str">
        <f t="shared" si="15"/>
        <v/>
      </c>
      <c r="G138" t="str">
        <f t="shared" si="16"/>
        <v/>
      </c>
    </row>
    <row r="139" spans="1:7">
      <c r="B139" s="14" t="s">
        <v>1871</v>
      </c>
      <c r="C139" t="b">
        <f t="shared" si="13"/>
        <v>0</v>
      </c>
      <c r="D139" t="e">
        <f t="shared" si="12"/>
        <v>#N/A</v>
      </c>
      <c r="E139" t="str">
        <f t="shared" si="14"/>
        <v/>
      </c>
      <c r="F139" t="str">
        <f t="shared" si="15"/>
        <v>New</v>
      </c>
      <c r="G139" t="str">
        <f t="shared" si="16"/>
        <v/>
      </c>
    </row>
    <row r="140" spans="1:7">
      <c r="A140" t="s">
        <v>1708</v>
      </c>
      <c r="B140" s="14" t="s">
        <v>1708</v>
      </c>
      <c r="C140" t="b">
        <f t="shared" si="13"/>
        <v>1</v>
      </c>
      <c r="D140" t="str">
        <f t="shared" si="12"/>
        <v>Investment in Quoted shares</v>
      </c>
      <c r="E140" t="str">
        <f t="shared" si="14"/>
        <v>Exist</v>
      </c>
      <c r="F140" t="str">
        <f t="shared" si="15"/>
        <v/>
      </c>
      <c r="G140" t="str">
        <f t="shared" si="16"/>
        <v/>
      </c>
    </row>
    <row r="141" spans="1:7">
      <c r="B141" s="14" t="s">
        <v>1872</v>
      </c>
      <c r="C141" t="b">
        <f t="shared" si="13"/>
        <v>0</v>
      </c>
      <c r="D141" t="e">
        <f t="shared" si="12"/>
        <v>#N/A</v>
      </c>
      <c r="E141" t="str">
        <f t="shared" si="14"/>
        <v/>
      </c>
      <c r="F141" t="str">
        <f t="shared" si="15"/>
        <v>New</v>
      </c>
      <c r="G141" t="str">
        <f t="shared" si="16"/>
        <v/>
      </c>
    </row>
    <row r="142" spans="1:7">
      <c r="A142" t="s">
        <v>1809</v>
      </c>
      <c r="B142" s="14" t="s">
        <v>1809</v>
      </c>
      <c r="C142" t="b">
        <f t="shared" si="13"/>
        <v>1</v>
      </c>
      <c r="D142" t="str">
        <f t="shared" si="12"/>
        <v>Intangibles-Trade Name</v>
      </c>
      <c r="E142" t="str">
        <f t="shared" si="14"/>
        <v>Exist</v>
      </c>
      <c r="F142" t="str">
        <f t="shared" si="15"/>
        <v/>
      </c>
      <c r="G142" t="str">
        <f t="shared" si="16"/>
        <v/>
      </c>
    </row>
    <row r="143" spans="1:7">
      <c r="B143" s="14" t="s">
        <v>1873</v>
      </c>
      <c r="C143" t="b">
        <f t="shared" si="13"/>
        <v>0</v>
      </c>
      <c r="D143" t="e">
        <f t="shared" si="12"/>
        <v>#N/A</v>
      </c>
      <c r="E143" t="str">
        <f t="shared" si="14"/>
        <v/>
      </c>
      <c r="F143" t="str">
        <f t="shared" si="15"/>
        <v>New</v>
      </c>
      <c r="G143" t="str">
        <f t="shared" si="16"/>
        <v/>
      </c>
    </row>
    <row r="144" spans="1:7">
      <c r="A144" t="s">
        <v>1810</v>
      </c>
      <c r="B144" s="14" t="s">
        <v>1810</v>
      </c>
      <c r="C144" t="b">
        <f t="shared" si="13"/>
        <v>1</v>
      </c>
      <c r="D144" t="str">
        <f t="shared" si="12"/>
        <v>Intangibles-Customer Relationship</v>
      </c>
      <c r="E144" t="str">
        <f t="shared" si="14"/>
        <v>Exist</v>
      </c>
      <c r="F144" t="str">
        <f t="shared" si="15"/>
        <v/>
      </c>
      <c r="G144" t="str">
        <f t="shared" si="16"/>
        <v/>
      </c>
    </row>
    <row r="145" spans="1:8">
      <c r="B145" s="14" t="s">
        <v>1874</v>
      </c>
      <c r="C145" t="b">
        <f t="shared" si="13"/>
        <v>0</v>
      </c>
      <c r="D145" t="e">
        <f t="shared" si="12"/>
        <v>#N/A</v>
      </c>
      <c r="E145" t="str">
        <f t="shared" si="14"/>
        <v/>
      </c>
      <c r="F145" t="str">
        <f t="shared" si="15"/>
        <v>New</v>
      </c>
      <c r="G145" t="str">
        <f t="shared" si="16"/>
        <v/>
      </c>
    </row>
    <row r="146" spans="1:8">
      <c r="A146" t="s">
        <v>1811</v>
      </c>
      <c r="B146" s="14" t="s">
        <v>1811</v>
      </c>
      <c r="C146" t="b">
        <f t="shared" si="13"/>
        <v>1</v>
      </c>
      <c r="D146" t="str">
        <f t="shared" si="12"/>
        <v>Intangibles-Trademark &amp; Patent</v>
      </c>
      <c r="E146" t="str">
        <f t="shared" si="14"/>
        <v>Exist</v>
      </c>
      <c r="F146" t="str">
        <f t="shared" si="15"/>
        <v/>
      </c>
      <c r="G146" t="str">
        <f t="shared" si="16"/>
        <v/>
      </c>
    </row>
    <row r="147" spans="1:8">
      <c r="B147" s="14" t="s">
        <v>1257</v>
      </c>
      <c r="C147" t="b">
        <f t="shared" si="13"/>
        <v>0</v>
      </c>
      <c r="D147" t="e">
        <f t="shared" si="12"/>
        <v>#N/A</v>
      </c>
      <c r="E147" t="str">
        <f t="shared" si="14"/>
        <v/>
      </c>
      <c r="F147" t="str">
        <f t="shared" si="15"/>
        <v>New</v>
      </c>
      <c r="G147" t="str">
        <f t="shared" si="16"/>
        <v/>
      </c>
    </row>
    <row r="148" spans="1:8">
      <c r="A148" t="s">
        <v>1812</v>
      </c>
      <c r="B148" s="14" t="s">
        <v>1812</v>
      </c>
      <c r="C148" t="b">
        <f t="shared" si="13"/>
        <v>1</v>
      </c>
      <c r="D148" t="str">
        <f t="shared" si="12"/>
        <v>Intangibles-Product License</v>
      </c>
      <c r="E148" t="str">
        <f t="shared" si="14"/>
        <v>Exist</v>
      </c>
      <c r="F148" t="str">
        <f t="shared" si="15"/>
        <v/>
      </c>
      <c r="G148" t="str">
        <f t="shared" si="16"/>
        <v/>
      </c>
    </row>
    <row r="149" spans="1:8">
      <c r="B149" s="14" t="s">
        <v>1258</v>
      </c>
      <c r="C149" t="b">
        <f t="shared" si="13"/>
        <v>0</v>
      </c>
      <c r="D149" t="e">
        <f t="shared" si="12"/>
        <v>#N/A</v>
      </c>
      <c r="E149" t="str">
        <f t="shared" si="14"/>
        <v/>
      </c>
      <c r="F149" t="str">
        <f t="shared" si="15"/>
        <v>New</v>
      </c>
      <c r="G149" t="str">
        <f t="shared" si="16"/>
        <v/>
      </c>
    </row>
    <row r="150" spans="1:8">
      <c r="A150" t="s">
        <v>1813</v>
      </c>
      <c r="B150" s="14" t="s">
        <v>1813</v>
      </c>
      <c r="C150" t="b">
        <f t="shared" si="13"/>
        <v>1</v>
      </c>
      <c r="D150" t="str">
        <f t="shared" si="12"/>
        <v>Intangibles-Club Membership</v>
      </c>
      <c r="E150" t="str">
        <f t="shared" si="14"/>
        <v>Exist</v>
      </c>
      <c r="F150" t="str">
        <f t="shared" si="15"/>
        <v/>
      </c>
      <c r="G150" t="str">
        <f t="shared" si="16"/>
        <v/>
      </c>
    </row>
    <row r="151" spans="1:8">
      <c r="B151" s="14" t="s">
        <v>1875</v>
      </c>
      <c r="C151" t="b">
        <f t="shared" si="13"/>
        <v>0</v>
      </c>
      <c r="D151" t="e">
        <f t="shared" si="12"/>
        <v>#N/A</v>
      </c>
      <c r="E151" t="str">
        <f t="shared" si="14"/>
        <v/>
      </c>
      <c r="F151" t="str">
        <f t="shared" si="15"/>
        <v>New</v>
      </c>
      <c r="G151" t="str">
        <f t="shared" si="16"/>
        <v/>
      </c>
    </row>
    <row r="152" spans="1:8">
      <c r="A152" t="s">
        <v>1814</v>
      </c>
      <c r="B152" s="14" t="s">
        <v>1814</v>
      </c>
      <c r="C152" t="b">
        <f t="shared" si="13"/>
        <v>1</v>
      </c>
      <c r="D152" t="str">
        <f t="shared" si="12"/>
        <v>Intangibles-Others</v>
      </c>
      <c r="E152" t="str">
        <f t="shared" si="14"/>
        <v>Exist</v>
      </c>
      <c r="F152" t="str">
        <f t="shared" si="15"/>
        <v/>
      </c>
      <c r="G152" t="str">
        <f t="shared" si="16"/>
        <v/>
      </c>
    </row>
    <row r="153" spans="1:8">
      <c r="A153" t="s">
        <v>300</v>
      </c>
      <c r="B153" s="14" t="s">
        <v>300</v>
      </c>
      <c r="C153" t="b">
        <f t="shared" si="13"/>
        <v>1</v>
      </c>
      <c r="D153" t="str">
        <f t="shared" si="12"/>
        <v>Due From Interco - Non Current</v>
      </c>
      <c r="E153" t="str">
        <f t="shared" si="14"/>
        <v>Exist</v>
      </c>
      <c r="F153" t="str">
        <f t="shared" si="15"/>
        <v/>
      </c>
      <c r="G153" t="str">
        <f t="shared" si="16"/>
        <v/>
      </c>
    </row>
    <row r="154" spans="1:8">
      <c r="B154" s="14" t="s">
        <v>1876</v>
      </c>
      <c r="C154" t="b">
        <f t="shared" si="13"/>
        <v>0</v>
      </c>
      <c r="D154" t="e">
        <f t="shared" si="12"/>
        <v>#N/A</v>
      </c>
      <c r="E154" t="str">
        <f t="shared" si="14"/>
        <v/>
      </c>
      <c r="F154" t="str">
        <f t="shared" si="15"/>
        <v>New</v>
      </c>
      <c r="G154" t="str">
        <f t="shared" si="16"/>
        <v/>
      </c>
    </row>
    <row r="155" spans="1:8">
      <c r="A155" t="s">
        <v>1709</v>
      </c>
      <c r="B155" s="14" t="s">
        <v>1709</v>
      </c>
      <c r="C155" t="b">
        <f t="shared" si="13"/>
        <v>1</v>
      </c>
      <c r="D155" t="str">
        <f t="shared" si="12"/>
        <v>Due from JV/Assoc-Non Current</v>
      </c>
      <c r="E155" t="str">
        <f t="shared" si="14"/>
        <v>Exist</v>
      </c>
      <c r="F155" t="str">
        <f t="shared" si="15"/>
        <v/>
      </c>
      <c r="G155" t="str">
        <f t="shared" si="16"/>
        <v/>
      </c>
    </row>
    <row r="156" spans="1:8">
      <c r="B156" s="14" t="s">
        <v>1877</v>
      </c>
      <c r="C156" t="b">
        <f t="shared" si="13"/>
        <v>0</v>
      </c>
      <c r="D156" t="e">
        <f t="shared" si="12"/>
        <v>#N/A</v>
      </c>
      <c r="E156" t="str">
        <f t="shared" si="14"/>
        <v/>
      </c>
      <c r="F156" t="str">
        <f t="shared" si="15"/>
        <v>New</v>
      </c>
      <c r="G156" t="str">
        <f t="shared" si="16"/>
        <v/>
      </c>
    </row>
    <row r="157" spans="1:8">
      <c r="A157" t="s">
        <v>1815</v>
      </c>
      <c r="B157" s="14" t="s">
        <v>1710</v>
      </c>
      <c r="C157" t="b">
        <f t="shared" si="13"/>
        <v>0</v>
      </c>
      <c r="D157" t="e">
        <f t="shared" si="12"/>
        <v>#N/A</v>
      </c>
      <c r="E157" t="str">
        <f t="shared" si="14"/>
        <v/>
      </c>
      <c r="F157" t="str">
        <f t="shared" si="15"/>
        <v>New</v>
      </c>
      <c r="G157" t="str">
        <f t="shared" si="16"/>
        <v/>
      </c>
      <c r="H157" t="s">
        <v>91</v>
      </c>
    </row>
    <row r="158" spans="1:8">
      <c r="B158" s="14" t="s">
        <v>1878</v>
      </c>
      <c r="C158" t="b">
        <f t="shared" si="13"/>
        <v>0</v>
      </c>
      <c r="D158" t="e">
        <f t="shared" si="12"/>
        <v>#N/A</v>
      </c>
      <c r="E158" t="str">
        <f t="shared" si="14"/>
        <v/>
      </c>
      <c r="F158" t="str">
        <f t="shared" si="15"/>
        <v>New</v>
      </c>
      <c r="G158" t="str">
        <f t="shared" si="16"/>
        <v/>
      </c>
    </row>
    <row r="159" spans="1:8">
      <c r="A159" t="s">
        <v>1816</v>
      </c>
      <c r="B159" s="14" t="s">
        <v>1711</v>
      </c>
      <c r="C159" t="b">
        <f t="shared" si="13"/>
        <v>0</v>
      </c>
      <c r="D159" t="e">
        <f t="shared" si="12"/>
        <v>#N/A</v>
      </c>
      <c r="E159" t="str">
        <f t="shared" si="14"/>
        <v/>
      </c>
      <c r="F159" t="str">
        <f t="shared" si="15"/>
        <v>New</v>
      </c>
      <c r="G159" t="str">
        <f t="shared" si="16"/>
        <v/>
      </c>
    </row>
    <row r="160" spans="1:8">
      <c r="A160" t="s">
        <v>302</v>
      </c>
      <c r="B160" s="14"/>
      <c r="C160" t="b">
        <f t="shared" si="13"/>
        <v>0</v>
      </c>
      <c r="D160" t="e">
        <f t="shared" si="12"/>
        <v>#N/A</v>
      </c>
      <c r="E160" t="str">
        <f t="shared" si="14"/>
        <v/>
      </c>
      <c r="F160" t="str">
        <f t="shared" si="15"/>
        <v>New</v>
      </c>
      <c r="G160" t="str">
        <f t="shared" si="16"/>
        <v>Remove</v>
      </c>
    </row>
    <row r="161" spans="1:7">
      <c r="B161" s="14" t="s">
        <v>1712</v>
      </c>
      <c r="C161" t="b">
        <f t="shared" si="13"/>
        <v>0</v>
      </c>
      <c r="D161" t="e">
        <f t="shared" ref="D161:D224" si="17">VLOOKUP(B161, A161:A483, 1, FALSE)</f>
        <v>#N/A</v>
      </c>
      <c r="E161" t="str">
        <f t="shared" si="14"/>
        <v/>
      </c>
      <c r="F161" t="str">
        <f t="shared" si="15"/>
        <v>New</v>
      </c>
      <c r="G161" t="str">
        <f t="shared" si="16"/>
        <v/>
      </c>
    </row>
    <row r="162" spans="1:7">
      <c r="A162" t="s">
        <v>261</v>
      </c>
      <c r="B162" s="14" t="s">
        <v>261</v>
      </c>
      <c r="C162" t="b">
        <f t="shared" si="13"/>
        <v>1</v>
      </c>
      <c r="D162" t="str">
        <f t="shared" si="17"/>
        <v>Deferred Tax Assets</v>
      </c>
      <c r="E162" t="str">
        <f t="shared" si="14"/>
        <v>Exist</v>
      </c>
      <c r="F162" t="str">
        <f t="shared" si="15"/>
        <v/>
      </c>
      <c r="G162" t="str">
        <f t="shared" si="16"/>
        <v/>
      </c>
    </row>
    <row r="163" spans="1:7">
      <c r="A163" t="s">
        <v>263</v>
      </c>
      <c r="B163" s="14" t="s">
        <v>263</v>
      </c>
      <c r="C163" t="b">
        <f t="shared" si="13"/>
        <v>1</v>
      </c>
      <c r="D163" t="str">
        <f t="shared" si="17"/>
        <v>Goodwill</v>
      </c>
      <c r="E163" t="str">
        <f t="shared" si="14"/>
        <v>Exist</v>
      </c>
      <c r="F163" t="str">
        <f t="shared" si="15"/>
        <v/>
      </c>
      <c r="G163" t="str">
        <f t="shared" si="16"/>
        <v/>
      </c>
    </row>
    <row r="164" spans="1:7">
      <c r="A164" t="s">
        <v>264</v>
      </c>
      <c r="B164" s="14"/>
      <c r="C164" t="b">
        <f t="shared" si="13"/>
        <v>0</v>
      </c>
      <c r="D164" t="e">
        <f t="shared" si="17"/>
        <v>#N/A</v>
      </c>
      <c r="E164" t="str">
        <f t="shared" si="14"/>
        <v/>
      </c>
      <c r="F164" t="str">
        <f t="shared" si="15"/>
        <v>New</v>
      </c>
      <c r="G164" t="str">
        <f t="shared" si="16"/>
        <v>Remove</v>
      </c>
    </row>
    <row r="165" spans="1:7">
      <c r="A165" t="s">
        <v>265</v>
      </c>
      <c r="B165" s="15" t="s">
        <v>265</v>
      </c>
      <c r="C165" t="b">
        <f t="shared" si="13"/>
        <v>1</v>
      </c>
      <c r="D165" t="str">
        <f t="shared" si="17"/>
        <v>TOTAL NON CURRENT ASSETS</v>
      </c>
      <c r="E165" t="str">
        <f t="shared" si="14"/>
        <v>Exist</v>
      </c>
      <c r="F165" t="str">
        <f t="shared" si="15"/>
        <v/>
      </c>
      <c r="G165" t="str">
        <f t="shared" si="16"/>
        <v/>
      </c>
    </row>
    <row r="166" spans="1:7">
      <c r="A166" t="s">
        <v>266</v>
      </c>
      <c r="B166" s="15" t="s">
        <v>266</v>
      </c>
      <c r="C166" t="b">
        <f t="shared" si="13"/>
        <v>1</v>
      </c>
      <c r="D166" t="str">
        <f t="shared" si="17"/>
        <v>TOTAL ASSETS</v>
      </c>
      <c r="E166" t="str">
        <f t="shared" si="14"/>
        <v>Exist</v>
      </c>
      <c r="F166" t="str">
        <f t="shared" si="15"/>
        <v/>
      </c>
      <c r="G166" t="str">
        <f t="shared" si="16"/>
        <v/>
      </c>
    </row>
    <row r="167" spans="1:7">
      <c r="A167" t="s">
        <v>1713</v>
      </c>
      <c r="B167" s="14" t="s">
        <v>1713</v>
      </c>
      <c r="C167" t="b">
        <f t="shared" si="13"/>
        <v>1</v>
      </c>
      <c r="D167" t="str">
        <f t="shared" si="17"/>
        <v>Bank Overdraft</v>
      </c>
      <c r="E167" t="str">
        <f t="shared" si="14"/>
        <v>Exist</v>
      </c>
      <c r="F167" t="str">
        <f t="shared" si="15"/>
        <v/>
      </c>
      <c r="G167" t="str">
        <f t="shared" si="16"/>
        <v/>
      </c>
    </row>
    <row r="168" spans="1:7">
      <c r="A168" t="s">
        <v>1714</v>
      </c>
      <c r="B168" s="14" t="s">
        <v>1714</v>
      </c>
      <c r="C168" t="b">
        <f t="shared" si="13"/>
        <v>1</v>
      </c>
      <c r="D168" t="str">
        <f t="shared" si="17"/>
        <v>Revolving Credit</v>
      </c>
      <c r="E168" t="str">
        <f t="shared" si="14"/>
        <v>Exist</v>
      </c>
      <c r="F168" t="str">
        <f t="shared" si="15"/>
        <v/>
      </c>
      <c r="G168" t="str">
        <f t="shared" si="16"/>
        <v/>
      </c>
    </row>
    <row r="169" spans="1:7">
      <c r="A169" t="s">
        <v>1715</v>
      </c>
      <c r="B169" s="14" t="s">
        <v>1715</v>
      </c>
      <c r="C169" t="b">
        <f t="shared" si="13"/>
        <v>1</v>
      </c>
      <c r="D169" t="str">
        <f t="shared" si="17"/>
        <v>Factoring/Bills Payable/TR</v>
      </c>
      <c r="E169" t="str">
        <f t="shared" si="14"/>
        <v>Exist</v>
      </c>
      <c r="F169" t="str">
        <f t="shared" si="15"/>
        <v/>
      </c>
      <c r="G169" t="str">
        <f t="shared" si="16"/>
        <v/>
      </c>
    </row>
    <row r="170" spans="1:7">
      <c r="A170" t="s">
        <v>1716</v>
      </c>
      <c r="B170" s="14" t="s">
        <v>1716</v>
      </c>
      <c r="C170" t="b">
        <f t="shared" si="13"/>
        <v>1</v>
      </c>
      <c r="D170" t="str">
        <f t="shared" si="17"/>
        <v>Short-Term Loan</v>
      </c>
      <c r="E170" t="str">
        <f t="shared" si="14"/>
        <v>Exist</v>
      </c>
      <c r="F170" t="str">
        <f t="shared" si="15"/>
        <v/>
      </c>
      <c r="G170" t="str">
        <f t="shared" si="16"/>
        <v/>
      </c>
    </row>
    <row r="171" spans="1:7">
      <c r="A171" t="s">
        <v>1817</v>
      </c>
      <c r="B171" s="14" t="s">
        <v>1817</v>
      </c>
      <c r="C171" t="b">
        <f t="shared" si="13"/>
        <v>1</v>
      </c>
      <c r="D171" t="str">
        <f t="shared" si="17"/>
        <v>Term Loan-Current</v>
      </c>
      <c r="E171" t="str">
        <f t="shared" si="14"/>
        <v>Exist</v>
      </c>
      <c r="F171" t="str">
        <f t="shared" si="15"/>
        <v/>
      </c>
      <c r="G171" t="str">
        <f t="shared" si="16"/>
        <v/>
      </c>
    </row>
    <row r="172" spans="1:7">
      <c r="A172" t="s">
        <v>1818</v>
      </c>
      <c r="B172" s="14" t="s">
        <v>1818</v>
      </c>
      <c r="C172" t="b">
        <f t="shared" si="13"/>
        <v>1</v>
      </c>
      <c r="D172" t="str">
        <f t="shared" si="17"/>
        <v>HP Creditors-Current</v>
      </c>
      <c r="E172" t="str">
        <f t="shared" si="14"/>
        <v>Exist</v>
      </c>
      <c r="F172" t="str">
        <f t="shared" si="15"/>
        <v/>
      </c>
      <c r="G172" t="str">
        <f t="shared" si="16"/>
        <v/>
      </c>
    </row>
    <row r="173" spans="1:7">
      <c r="B173" s="14" t="s">
        <v>1717</v>
      </c>
      <c r="C173" t="b">
        <f t="shared" si="13"/>
        <v>0</v>
      </c>
      <c r="D173" t="e">
        <f t="shared" si="17"/>
        <v>#N/A</v>
      </c>
      <c r="E173" t="str">
        <f t="shared" si="14"/>
        <v/>
      </c>
      <c r="F173" t="str">
        <f t="shared" si="15"/>
        <v>New</v>
      </c>
      <c r="G173" t="str">
        <f t="shared" si="16"/>
        <v/>
      </c>
    </row>
    <row r="174" spans="1:7">
      <c r="A174" t="s">
        <v>1819</v>
      </c>
      <c r="B174" s="14"/>
      <c r="C174" t="b">
        <f t="shared" si="13"/>
        <v>0</v>
      </c>
      <c r="D174" t="e">
        <f t="shared" si="17"/>
        <v>#N/A</v>
      </c>
      <c r="E174" t="str">
        <f t="shared" si="14"/>
        <v/>
      </c>
      <c r="F174" t="str">
        <f t="shared" si="15"/>
        <v>New</v>
      </c>
      <c r="G174" t="str">
        <f t="shared" si="16"/>
        <v>Remove</v>
      </c>
    </row>
    <row r="175" spans="1:7">
      <c r="B175" s="14" t="s">
        <v>272</v>
      </c>
      <c r="C175" t="b">
        <f t="shared" si="13"/>
        <v>0</v>
      </c>
      <c r="D175" t="e">
        <f t="shared" si="17"/>
        <v>#N/A</v>
      </c>
      <c r="E175" t="str">
        <f t="shared" si="14"/>
        <v/>
      </c>
      <c r="F175" t="str">
        <f t="shared" si="15"/>
        <v>New</v>
      </c>
      <c r="G175" t="str">
        <f t="shared" si="16"/>
        <v/>
      </c>
    </row>
    <row r="176" spans="1:7">
      <c r="A176" t="s">
        <v>1820</v>
      </c>
      <c r="B176" s="14" t="s">
        <v>1820</v>
      </c>
      <c r="C176" t="b">
        <f t="shared" si="13"/>
        <v>1</v>
      </c>
      <c r="D176" t="str">
        <f t="shared" si="17"/>
        <v>Accrued Purchases-External</v>
      </c>
      <c r="E176" t="str">
        <f t="shared" si="14"/>
        <v>Exist</v>
      </c>
      <c r="F176" t="str">
        <f t="shared" si="15"/>
        <v/>
      </c>
      <c r="G176" t="str">
        <f t="shared" si="16"/>
        <v/>
      </c>
    </row>
    <row r="177" spans="1:7">
      <c r="A177" t="s">
        <v>1821</v>
      </c>
      <c r="B177" s="14" t="s">
        <v>1821</v>
      </c>
      <c r="C177" t="b">
        <f t="shared" si="13"/>
        <v>1</v>
      </c>
      <c r="D177" t="str">
        <f t="shared" si="17"/>
        <v>Accrued Purchases-Interco</v>
      </c>
      <c r="E177" t="str">
        <f t="shared" si="14"/>
        <v>Exist</v>
      </c>
      <c r="F177" t="str">
        <f t="shared" si="15"/>
        <v/>
      </c>
      <c r="G177" t="str">
        <f t="shared" si="16"/>
        <v/>
      </c>
    </row>
    <row r="178" spans="1:7">
      <c r="A178" t="s">
        <v>1822</v>
      </c>
      <c r="B178" s="14" t="s">
        <v>1825</v>
      </c>
      <c r="C178" t="b">
        <f t="shared" si="13"/>
        <v>0</v>
      </c>
      <c r="D178" t="str">
        <f t="shared" si="17"/>
        <v>Due to Interco-Trade</v>
      </c>
      <c r="E178" t="str">
        <f t="shared" si="14"/>
        <v/>
      </c>
      <c r="F178" t="str">
        <f t="shared" si="15"/>
        <v/>
      </c>
      <c r="G178" t="str">
        <f t="shared" si="16"/>
        <v/>
      </c>
    </row>
    <row r="179" spans="1:7">
      <c r="A179" t="s">
        <v>1823</v>
      </c>
      <c r="B179" s="14" t="s">
        <v>1826</v>
      </c>
      <c r="C179" t="b">
        <f t="shared" si="13"/>
        <v>0</v>
      </c>
      <c r="D179" t="str">
        <f t="shared" si="17"/>
        <v>Due to Interco-Non-Trade</v>
      </c>
      <c r="E179" t="str">
        <f t="shared" si="14"/>
        <v/>
      </c>
      <c r="F179" t="str">
        <f t="shared" si="15"/>
        <v/>
      </c>
      <c r="G179" t="str">
        <f t="shared" si="16"/>
        <v/>
      </c>
    </row>
    <row r="180" spans="1:7">
      <c r="A180" t="s">
        <v>1824</v>
      </c>
      <c r="B180" s="14" t="s">
        <v>1880</v>
      </c>
      <c r="C180" t="b">
        <f t="shared" si="13"/>
        <v>0</v>
      </c>
      <c r="D180" t="e">
        <f t="shared" si="17"/>
        <v>#N/A</v>
      </c>
      <c r="E180" t="str">
        <f t="shared" si="14"/>
        <v/>
      </c>
      <c r="F180" t="str">
        <f t="shared" si="15"/>
        <v>New</v>
      </c>
      <c r="G180" t="str">
        <f t="shared" si="16"/>
        <v/>
      </c>
    </row>
    <row r="181" spans="1:7">
      <c r="A181" t="s">
        <v>1825</v>
      </c>
      <c r="B181" s="14" t="s">
        <v>1822</v>
      </c>
      <c r="C181" t="b">
        <f t="shared" si="13"/>
        <v>0</v>
      </c>
      <c r="D181" t="e">
        <f t="shared" si="17"/>
        <v>#N/A</v>
      </c>
      <c r="E181" t="str">
        <f t="shared" si="14"/>
        <v/>
      </c>
      <c r="F181" t="str">
        <f t="shared" si="15"/>
        <v>New</v>
      </c>
      <c r="G181" t="str">
        <f t="shared" si="16"/>
        <v/>
      </c>
    </row>
    <row r="182" spans="1:7">
      <c r="A182" t="s">
        <v>1826</v>
      </c>
      <c r="B182" s="14" t="s">
        <v>1823</v>
      </c>
      <c r="C182" t="b">
        <f t="shared" si="13"/>
        <v>0</v>
      </c>
      <c r="D182" t="e">
        <f t="shared" si="17"/>
        <v>#N/A</v>
      </c>
      <c r="E182" t="str">
        <f t="shared" si="14"/>
        <v/>
      </c>
      <c r="F182" t="str">
        <f t="shared" si="15"/>
        <v>New</v>
      </c>
      <c r="G182" t="str">
        <f t="shared" si="16"/>
        <v/>
      </c>
    </row>
    <row r="183" spans="1:7">
      <c r="A183" t="s">
        <v>1827</v>
      </c>
      <c r="B183" s="14" t="s">
        <v>1824</v>
      </c>
      <c r="C183" t="b">
        <f t="shared" si="13"/>
        <v>0</v>
      </c>
      <c r="D183" t="e">
        <f t="shared" si="17"/>
        <v>#N/A</v>
      </c>
      <c r="E183" t="str">
        <f t="shared" si="14"/>
        <v/>
      </c>
      <c r="F183" t="str">
        <f t="shared" si="15"/>
        <v>New</v>
      </c>
      <c r="G183" t="str">
        <f t="shared" si="16"/>
        <v/>
      </c>
    </row>
    <row r="184" spans="1:7">
      <c r="A184" t="s">
        <v>1828</v>
      </c>
      <c r="B184" s="14" t="s">
        <v>1828</v>
      </c>
      <c r="C184" t="b">
        <f t="shared" si="13"/>
        <v>1</v>
      </c>
      <c r="D184" t="str">
        <f t="shared" si="17"/>
        <v>Due to JV-Trade</v>
      </c>
      <c r="E184" t="str">
        <f t="shared" si="14"/>
        <v>Exist</v>
      </c>
      <c r="F184" t="str">
        <f t="shared" si="15"/>
        <v/>
      </c>
      <c r="G184" t="str">
        <f t="shared" si="16"/>
        <v/>
      </c>
    </row>
    <row r="185" spans="1:7">
      <c r="A185" t="s">
        <v>1829</v>
      </c>
      <c r="B185" s="14" t="s">
        <v>1829</v>
      </c>
      <c r="C185" t="b">
        <f t="shared" si="13"/>
        <v>1</v>
      </c>
      <c r="D185" t="str">
        <f t="shared" si="17"/>
        <v>Due to JV-Non-Trade</v>
      </c>
      <c r="E185" t="str">
        <f t="shared" si="14"/>
        <v>Exist</v>
      </c>
      <c r="F185" t="str">
        <f t="shared" si="15"/>
        <v/>
      </c>
      <c r="G185" t="str">
        <f t="shared" si="16"/>
        <v/>
      </c>
    </row>
    <row r="186" spans="1:7">
      <c r="A186" t="s">
        <v>1830</v>
      </c>
      <c r="B186" s="14" t="s">
        <v>1830</v>
      </c>
      <c r="C186" t="b">
        <f t="shared" si="13"/>
        <v>1</v>
      </c>
      <c r="D186" t="str">
        <f t="shared" si="17"/>
        <v>Due to JV-Loan - Current Li</v>
      </c>
      <c r="E186" t="str">
        <f t="shared" si="14"/>
        <v>Exist</v>
      </c>
      <c r="F186" t="str">
        <f t="shared" si="15"/>
        <v/>
      </c>
      <c r="G186" t="str">
        <f t="shared" si="16"/>
        <v/>
      </c>
    </row>
    <row r="187" spans="1:7">
      <c r="A187" t="s">
        <v>1831</v>
      </c>
      <c r="B187" s="14" t="s">
        <v>1831</v>
      </c>
      <c r="C187" t="b">
        <f t="shared" si="13"/>
        <v>1</v>
      </c>
      <c r="D187" t="str">
        <f t="shared" si="17"/>
        <v>Due to Assoc-Trade</v>
      </c>
      <c r="E187" t="str">
        <f t="shared" si="14"/>
        <v>Exist</v>
      </c>
      <c r="F187" t="str">
        <f t="shared" si="15"/>
        <v/>
      </c>
      <c r="G187" t="str">
        <f t="shared" si="16"/>
        <v/>
      </c>
    </row>
    <row r="188" spans="1:7">
      <c r="A188" t="s">
        <v>1832</v>
      </c>
      <c r="B188" s="14" t="s">
        <v>1832</v>
      </c>
      <c r="C188" t="b">
        <f t="shared" si="13"/>
        <v>1</v>
      </c>
      <c r="D188" t="str">
        <f t="shared" si="17"/>
        <v>Due to Assoc-Non-Trade</v>
      </c>
      <c r="E188" t="str">
        <f t="shared" si="14"/>
        <v>Exist</v>
      </c>
      <c r="F188" t="str">
        <f t="shared" si="15"/>
        <v/>
      </c>
      <c r="G188" t="str">
        <f t="shared" si="16"/>
        <v/>
      </c>
    </row>
    <row r="189" spans="1:7">
      <c r="A189" t="s">
        <v>1833</v>
      </c>
      <c r="B189" s="14" t="s">
        <v>1833</v>
      </c>
      <c r="C189" t="b">
        <f t="shared" si="13"/>
        <v>1</v>
      </c>
      <c r="D189" t="str">
        <f t="shared" si="17"/>
        <v>Due to Assoc-Loan - Current Li</v>
      </c>
      <c r="E189" t="str">
        <f t="shared" si="14"/>
        <v>Exist</v>
      </c>
      <c r="F189" t="str">
        <f t="shared" si="15"/>
        <v/>
      </c>
      <c r="G189" t="str">
        <f t="shared" si="16"/>
        <v/>
      </c>
    </row>
    <row r="190" spans="1:7">
      <c r="A190" t="s">
        <v>1834</v>
      </c>
      <c r="B190" s="14" t="s">
        <v>1834</v>
      </c>
      <c r="C190" t="b">
        <f t="shared" si="13"/>
        <v>1</v>
      </c>
      <c r="D190" t="str">
        <f t="shared" si="17"/>
        <v>Due to Rel Parties-Trade</v>
      </c>
      <c r="E190" t="str">
        <f t="shared" si="14"/>
        <v>Exist</v>
      </c>
      <c r="F190" t="str">
        <f t="shared" si="15"/>
        <v/>
      </c>
      <c r="G190" t="str">
        <f t="shared" si="16"/>
        <v/>
      </c>
    </row>
    <row r="191" spans="1:7">
      <c r="A191" t="s">
        <v>1835</v>
      </c>
      <c r="B191" s="14" t="s">
        <v>1835</v>
      </c>
      <c r="C191" t="b">
        <f t="shared" si="13"/>
        <v>1</v>
      </c>
      <c r="D191" t="str">
        <f t="shared" si="17"/>
        <v>Due to Rel Parties-Non-Trade</v>
      </c>
      <c r="E191" t="str">
        <f t="shared" si="14"/>
        <v>Exist</v>
      </c>
      <c r="F191" t="str">
        <f t="shared" si="15"/>
        <v/>
      </c>
      <c r="G191" t="str">
        <f t="shared" si="16"/>
        <v/>
      </c>
    </row>
    <row r="192" spans="1:7">
      <c r="A192" t="s">
        <v>1836</v>
      </c>
      <c r="B192" s="14"/>
      <c r="C192" t="b">
        <f t="shared" si="13"/>
        <v>0</v>
      </c>
      <c r="D192" t="e">
        <f t="shared" si="17"/>
        <v>#N/A</v>
      </c>
      <c r="E192" t="str">
        <f t="shared" si="14"/>
        <v/>
      </c>
      <c r="F192" t="str">
        <f t="shared" si="15"/>
        <v>New</v>
      </c>
      <c r="G192" t="str">
        <f t="shared" si="16"/>
        <v>Remove</v>
      </c>
    </row>
    <row r="193" spans="1:7">
      <c r="A193" t="s">
        <v>1837</v>
      </c>
      <c r="B193" s="14" t="s">
        <v>1837</v>
      </c>
      <c r="C193" t="b">
        <f t="shared" si="13"/>
        <v>1</v>
      </c>
      <c r="D193" t="str">
        <f t="shared" si="17"/>
        <v>Due to Shareholders - Current Li</v>
      </c>
      <c r="E193" t="str">
        <f t="shared" si="14"/>
        <v>Exist</v>
      </c>
      <c r="F193" t="str">
        <f t="shared" si="15"/>
        <v/>
      </c>
      <c r="G193" t="str">
        <f t="shared" si="16"/>
        <v/>
      </c>
    </row>
    <row r="194" spans="1:7">
      <c r="A194" t="s">
        <v>1718</v>
      </c>
      <c r="B194" s="14" t="s">
        <v>1718</v>
      </c>
      <c r="C194" t="b">
        <f t="shared" si="13"/>
        <v>1</v>
      </c>
      <c r="D194" t="str">
        <f t="shared" si="17"/>
        <v>Prov for Gain/Loss in FX (Creditors)</v>
      </c>
      <c r="E194" t="str">
        <f t="shared" si="14"/>
        <v>Exist</v>
      </c>
      <c r="F194" t="str">
        <f t="shared" si="15"/>
        <v/>
      </c>
      <c r="G194" t="str">
        <f t="shared" si="16"/>
        <v/>
      </c>
    </row>
    <row r="195" spans="1:7">
      <c r="A195" t="s">
        <v>1719</v>
      </c>
      <c r="B195" s="14" t="s">
        <v>1719</v>
      </c>
      <c r="C195" t="b">
        <f t="shared" ref="C195:C257" si="18">EXACT(A195,B195)</f>
        <v>1</v>
      </c>
      <c r="D195" t="str">
        <f t="shared" si="17"/>
        <v>Prov for taxation (Current Year)</v>
      </c>
      <c r="E195" t="str">
        <f t="shared" ref="E195:E257" si="19">IF((AND(EXACT(C195,"TRUE"),_xlfn.IFNA(D195,"NA")&lt;&gt;"NA")),"Exist","")</f>
        <v>Exist</v>
      </c>
      <c r="F195" t="str">
        <f t="shared" ref="F195:F257" si="20">IF((AND(EXACT(C195,"FALSE"),_xlfn.IFNA(D195,"NA")="NA")),"New","")</f>
        <v/>
      </c>
      <c r="G195" t="str">
        <f t="shared" ref="G195:G257" si="21">IF((AND(ISBLANK(B195),EXACT(C195,"FALSE"))),"Remove","")</f>
        <v/>
      </c>
    </row>
    <row r="196" spans="1:7">
      <c r="A196" t="s">
        <v>1720</v>
      </c>
      <c r="B196" s="14" t="s">
        <v>1720</v>
      </c>
      <c r="C196" t="b">
        <f t="shared" si="18"/>
        <v>1</v>
      </c>
      <c r="D196" t="str">
        <f t="shared" si="17"/>
        <v>Prov for taxation (Prior Year)</v>
      </c>
      <c r="E196" t="str">
        <f t="shared" si="19"/>
        <v>Exist</v>
      </c>
      <c r="F196" t="str">
        <f t="shared" si="20"/>
        <v/>
      </c>
      <c r="G196" t="str">
        <f t="shared" si="21"/>
        <v/>
      </c>
    </row>
    <row r="197" spans="1:7">
      <c r="A197" t="s">
        <v>1838</v>
      </c>
      <c r="B197" s="14" t="s">
        <v>1838</v>
      </c>
      <c r="C197" t="b">
        <f t="shared" si="18"/>
        <v>1</v>
      </c>
      <c r="D197" t="str">
        <f t="shared" si="17"/>
        <v>Accruals-Salary and Leave</v>
      </c>
      <c r="E197" t="str">
        <f t="shared" si="19"/>
        <v>Exist</v>
      </c>
      <c r="F197" t="str">
        <f t="shared" si="20"/>
        <v/>
      </c>
      <c r="G197" t="str">
        <f t="shared" si="21"/>
        <v/>
      </c>
    </row>
    <row r="198" spans="1:7">
      <c r="A198" t="s">
        <v>1839</v>
      </c>
      <c r="B198" s="14" t="s">
        <v>1839</v>
      </c>
      <c r="C198" t="b">
        <f t="shared" si="18"/>
        <v>1</v>
      </c>
      <c r="D198" t="str">
        <f t="shared" si="17"/>
        <v>Accruals-Social Securities</v>
      </c>
      <c r="E198" t="str">
        <f t="shared" si="19"/>
        <v>Exist</v>
      </c>
      <c r="F198" t="str">
        <f t="shared" si="20"/>
        <v/>
      </c>
      <c r="G198" t="str">
        <f t="shared" si="21"/>
        <v/>
      </c>
    </row>
    <row r="199" spans="1:7">
      <c r="A199" t="s">
        <v>1840</v>
      </c>
      <c r="B199" s="14" t="s">
        <v>1840</v>
      </c>
      <c r="C199" t="b">
        <f t="shared" si="18"/>
        <v>1</v>
      </c>
      <c r="D199" t="str">
        <f t="shared" si="17"/>
        <v>Accruals-Other HR Exps</v>
      </c>
      <c r="E199" t="str">
        <f t="shared" si="19"/>
        <v>Exist</v>
      </c>
      <c r="F199" t="str">
        <f t="shared" si="20"/>
        <v/>
      </c>
      <c r="G199" t="str">
        <f t="shared" si="21"/>
        <v/>
      </c>
    </row>
    <row r="200" spans="1:7">
      <c r="A200" t="s">
        <v>1841</v>
      </c>
      <c r="B200" s="14" t="s">
        <v>1841</v>
      </c>
      <c r="C200" t="b">
        <f t="shared" si="18"/>
        <v>1</v>
      </c>
      <c r="D200" t="str">
        <f t="shared" si="17"/>
        <v>Accruals-Staff Claims</v>
      </c>
      <c r="E200" t="str">
        <f t="shared" si="19"/>
        <v>Exist</v>
      </c>
      <c r="F200" t="str">
        <f t="shared" si="20"/>
        <v/>
      </c>
      <c r="G200" t="str">
        <f t="shared" si="21"/>
        <v/>
      </c>
    </row>
    <row r="201" spans="1:7">
      <c r="A201" t="s">
        <v>1842</v>
      </c>
      <c r="B201" s="14" t="s">
        <v>1842</v>
      </c>
      <c r="C201" t="b">
        <f t="shared" si="18"/>
        <v>1</v>
      </c>
      <c r="D201" t="str">
        <f t="shared" si="17"/>
        <v>Accruals-Transportation</v>
      </c>
      <c r="E201" t="str">
        <f t="shared" si="19"/>
        <v>Exist</v>
      </c>
      <c r="F201" t="str">
        <f t="shared" si="20"/>
        <v/>
      </c>
      <c r="G201" t="str">
        <f t="shared" si="21"/>
        <v/>
      </c>
    </row>
    <row r="202" spans="1:7">
      <c r="A202" t="s">
        <v>1843</v>
      </c>
      <c r="B202" s="14" t="s">
        <v>1843</v>
      </c>
      <c r="C202" t="b">
        <f t="shared" si="18"/>
        <v>1</v>
      </c>
      <c r="D202" t="str">
        <f t="shared" si="17"/>
        <v>Accruals-Audit Fees</v>
      </c>
      <c r="E202" t="str">
        <f t="shared" si="19"/>
        <v>Exist</v>
      </c>
      <c r="F202" t="str">
        <f t="shared" si="20"/>
        <v/>
      </c>
      <c r="G202" t="str">
        <f t="shared" si="21"/>
        <v/>
      </c>
    </row>
    <row r="203" spans="1:7">
      <c r="A203" t="s">
        <v>1844</v>
      </c>
      <c r="B203" s="14" t="s">
        <v>1844</v>
      </c>
      <c r="C203" t="b">
        <f t="shared" si="18"/>
        <v>1</v>
      </c>
      <c r="D203" t="str">
        <f t="shared" si="17"/>
        <v>Accruals-Tax Fees</v>
      </c>
      <c r="E203" t="str">
        <f t="shared" si="19"/>
        <v>Exist</v>
      </c>
      <c r="F203" t="str">
        <f t="shared" si="20"/>
        <v/>
      </c>
      <c r="G203" t="str">
        <f t="shared" si="21"/>
        <v/>
      </c>
    </row>
    <row r="204" spans="1:7">
      <c r="A204" t="s">
        <v>1845</v>
      </c>
      <c r="B204" s="14" t="s">
        <v>1845</v>
      </c>
      <c r="C204" t="b">
        <f t="shared" si="18"/>
        <v>1</v>
      </c>
      <c r="D204" t="str">
        <f t="shared" si="17"/>
        <v>Accruals-Professional Fees</v>
      </c>
      <c r="E204" t="str">
        <f t="shared" si="19"/>
        <v>Exist</v>
      </c>
      <c r="F204" t="str">
        <f t="shared" si="20"/>
        <v/>
      </c>
      <c r="G204" t="str">
        <f t="shared" si="21"/>
        <v/>
      </c>
    </row>
    <row r="205" spans="1:7">
      <c r="A205" t="s">
        <v>1846</v>
      </c>
      <c r="B205" s="14" t="s">
        <v>1846</v>
      </c>
      <c r="C205" t="b">
        <f t="shared" si="18"/>
        <v>1</v>
      </c>
      <c r="D205" t="str">
        <f t="shared" si="17"/>
        <v>Accruals-Interest Payables</v>
      </c>
      <c r="E205" t="str">
        <f t="shared" si="19"/>
        <v>Exist</v>
      </c>
      <c r="F205" t="str">
        <f t="shared" si="20"/>
        <v/>
      </c>
      <c r="G205" t="str">
        <f t="shared" si="21"/>
        <v/>
      </c>
    </row>
    <row r="206" spans="1:7">
      <c r="A206" t="s">
        <v>1847</v>
      </c>
      <c r="B206" s="14" t="s">
        <v>1847</v>
      </c>
      <c r="C206" t="b">
        <f t="shared" si="18"/>
        <v>1</v>
      </c>
      <c r="D206" t="str">
        <f t="shared" si="17"/>
        <v>Accruals-Others</v>
      </c>
      <c r="E206" t="str">
        <f t="shared" si="19"/>
        <v>Exist</v>
      </c>
      <c r="F206" t="str">
        <f t="shared" si="20"/>
        <v/>
      </c>
      <c r="G206" t="str">
        <f t="shared" si="21"/>
        <v/>
      </c>
    </row>
    <row r="207" spans="1:7">
      <c r="A207" t="s">
        <v>1721</v>
      </c>
      <c r="B207" s="14" t="s">
        <v>1721</v>
      </c>
      <c r="C207" t="b">
        <f t="shared" si="18"/>
        <v>1</v>
      </c>
      <c r="D207" t="str">
        <f t="shared" si="17"/>
        <v>Customer Deposit</v>
      </c>
      <c r="E207" t="str">
        <f t="shared" si="19"/>
        <v>Exist</v>
      </c>
      <c r="F207" t="str">
        <f t="shared" si="20"/>
        <v/>
      </c>
      <c r="G207" t="str">
        <f t="shared" si="21"/>
        <v/>
      </c>
    </row>
    <row r="208" spans="1:7">
      <c r="A208" t="s">
        <v>1848</v>
      </c>
      <c r="B208" s="14" t="s">
        <v>1848</v>
      </c>
      <c r="C208" t="b">
        <f t="shared" si="18"/>
        <v>1</v>
      </c>
      <c r="D208" t="str">
        <f t="shared" si="17"/>
        <v>Customer down payment</v>
      </c>
      <c r="E208" t="str">
        <f t="shared" si="19"/>
        <v>Exist</v>
      </c>
      <c r="F208" t="str">
        <f t="shared" si="20"/>
        <v/>
      </c>
      <c r="G208" t="str">
        <f t="shared" si="21"/>
        <v/>
      </c>
    </row>
    <row r="209" spans="1:7">
      <c r="A209" t="s">
        <v>1849</v>
      </c>
      <c r="B209" s="14" t="s">
        <v>1849</v>
      </c>
      <c r="C209" t="b">
        <f t="shared" si="18"/>
        <v>1</v>
      </c>
      <c r="D209" t="str">
        <f t="shared" si="17"/>
        <v>Deferred Revenue-Cash Vouchers</v>
      </c>
      <c r="E209" t="str">
        <f t="shared" si="19"/>
        <v>Exist</v>
      </c>
      <c r="F209" t="str">
        <f t="shared" si="20"/>
        <v/>
      </c>
      <c r="G209" t="str">
        <f t="shared" si="21"/>
        <v/>
      </c>
    </row>
    <row r="210" spans="1:7">
      <c r="B210" s="14" t="s">
        <v>1722</v>
      </c>
      <c r="C210" t="b">
        <f t="shared" si="18"/>
        <v>0</v>
      </c>
      <c r="D210" t="e">
        <f t="shared" si="17"/>
        <v>#N/A</v>
      </c>
      <c r="E210" t="str">
        <f t="shared" si="19"/>
        <v/>
      </c>
      <c r="F210" t="str">
        <f t="shared" si="20"/>
        <v>New</v>
      </c>
      <c r="G210" t="str">
        <f t="shared" si="21"/>
        <v/>
      </c>
    </row>
    <row r="211" spans="1:7">
      <c r="A211" t="s">
        <v>1850</v>
      </c>
      <c r="B211" s="14"/>
      <c r="C211" t="b">
        <f t="shared" si="18"/>
        <v>0</v>
      </c>
      <c r="D211" t="e">
        <f t="shared" si="17"/>
        <v>#N/A</v>
      </c>
      <c r="E211" t="str">
        <f t="shared" si="19"/>
        <v/>
      </c>
      <c r="F211" t="str">
        <f t="shared" si="20"/>
        <v>New</v>
      </c>
      <c r="G211" t="str">
        <f t="shared" si="21"/>
        <v>Remove</v>
      </c>
    </row>
    <row r="212" spans="1:7">
      <c r="A212" t="s">
        <v>1723</v>
      </c>
      <c r="B212" s="14" t="s">
        <v>1723</v>
      </c>
      <c r="C212" t="b">
        <f t="shared" si="18"/>
        <v>1</v>
      </c>
      <c r="D212" t="str">
        <f t="shared" si="17"/>
        <v>Landed Cost Clearing A/C</v>
      </c>
      <c r="E212" t="str">
        <f t="shared" si="19"/>
        <v>Exist</v>
      </c>
      <c r="F212" t="str">
        <f t="shared" si="20"/>
        <v/>
      </c>
      <c r="G212" t="str">
        <f t="shared" si="21"/>
        <v/>
      </c>
    </row>
    <row r="213" spans="1:7">
      <c r="A213" t="s">
        <v>1851</v>
      </c>
      <c r="B213" s="14" t="s">
        <v>1851</v>
      </c>
      <c r="C213" t="b">
        <f t="shared" si="18"/>
        <v>1</v>
      </c>
      <c r="D213" t="str">
        <f t="shared" si="17"/>
        <v>Other Creditors-Sundry</v>
      </c>
      <c r="E213" t="str">
        <f t="shared" si="19"/>
        <v>Exist</v>
      </c>
      <c r="F213" t="str">
        <f t="shared" si="20"/>
        <v/>
      </c>
      <c r="G213" t="str">
        <f t="shared" si="21"/>
        <v/>
      </c>
    </row>
    <row r="214" spans="1:7">
      <c r="A214" t="s">
        <v>1852</v>
      </c>
      <c r="B214" s="14" t="s">
        <v>1852</v>
      </c>
      <c r="C214" t="b">
        <f t="shared" si="18"/>
        <v>1</v>
      </c>
      <c r="D214" t="str">
        <f t="shared" si="17"/>
        <v>Other Creditors-Bill Lost Clear</v>
      </c>
      <c r="E214" t="str">
        <f t="shared" si="19"/>
        <v>Exist</v>
      </c>
      <c r="F214" t="str">
        <f t="shared" si="20"/>
        <v/>
      </c>
      <c r="G214" t="str">
        <f t="shared" si="21"/>
        <v/>
      </c>
    </row>
    <row r="215" spans="1:7">
      <c r="A215" t="s">
        <v>1853</v>
      </c>
      <c r="B215" s="14" t="s">
        <v>1853</v>
      </c>
      <c r="C215" t="b">
        <f t="shared" si="18"/>
        <v>1</v>
      </c>
      <c r="D215" t="str">
        <f t="shared" si="17"/>
        <v>Other Creditors-W/H Tax</v>
      </c>
      <c r="E215" t="str">
        <f t="shared" si="19"/>
        <v>Exist</v>
      </c>
      <c r="F215" t="str">
        <f t="shared" si="20"/>
        <v/>
      </c>
      <c r="G215" t="str">
        <f t="shared" si="21"/>
        <v/>
      </c>
    </row>
    <row r="216" spans="1:7">
      <c r="A216" t="s">
        <v>1854</v>
      </c>
      <c r="B216" s="14" t="s">
        <v>1854</v>
      </c>
      <c r="C216" t="b">
        <f t="shared" si="18"/>
        <v>1</v>
      </c>
      <c r="D216" t="str">
        <f t="shared" si="17"/>
        <v>Other Creditors-Others</v>
      </c>
      <c r="E216" t="str">
        <f t="shared" si="19"/>
        <v>Exist</v>
      </c>
      <c r="F216" t="str">
        <f t="shared" si="20"/>
        <v/>
      </c>
      <c r="G216" t="str">
        <f t="shared" si="21"/>
        <v/>
      </c>
    </row>
    <row r="217" spans="1:7">
      <c r="A217" t="s">
        <v>1724</v>
      </c>
      <c r="B217" s="14" t="s">
        <v>1724</v>
      </c>
      <c r="C217" t="b">
        <f t="shared" si="18"/>
        <v>1</v>
      </c>
      <c r="D217" t="str">
        <f t="shared" si="17"/>
        <v>GST-output</v>
      </c>
      <c r="E217" t="str">
        <f t="shared" si="19"/>
        <v>Exist</v>
      </c>
      <c r="F217" t="str">
        <f t="shared" si="20"/>
        <v/>
      </c>
      <c r="G217" t="str">
        <f t="shared" si="21"/>
        <v/>
      </c>
    </row>
    <row r="218" spans="1:7">
      <c r="A218" t="s">
        <v>1725</v>
      </c>
      <c r="B218" s="14" t="s">
        <v>1725</v>
      </c>
      <c r="C218" t="b">
        <f t="shared" si="18"/>
        <v>1</v>
      </c>
      <c r="D218" t="str">
        <f t="shared" si="17"/>
        <v>Proposed Dividend</v>
      </c>
      <c r="E218" t="str">
        <f t="shared" si="19"/>
        <v>Exist</v>
      </c>
      <c r="F218" t="str">
        <f t="shared" si="20"/>
        <v/>
      </c>
      <c r="G218" t="str">
        <f t="shared" si="21"/>
        <v/>
      </c>
    </row>
    <row r="219" spans="1:7">
      <c r="A219" t="s">
        <v>1726</v>
      </c>
      <c r="B219" s="14" t="s">
        <v>1726</v>
      </c>
      <c r="C219" t="b">
        <f t="shared" si="18"/>
        <v>1</v>
      </c>
      <c r="D219" t="str">
        <f t="shared" si="17"/>
        <v>Dividend Payable</v>
      </c>
      <c r="E219" t="str">
        <f t="shared" si="19"/>
        <v>Exist</v>
      </c>
      <c r="F219" t="str">
        <f t="shared" si="20"/>
        <v/>
      </c>
      <c r="G219" t="str">
        <f t="shared" si="21"/>
        <v/>
      </c>
    </row>
    <row r="220" spans="1:7">
      <c r="A220" t="s">
        <v>1855</v>
      </c>
      <c r="B220" s="14"/>
      <c r="C220" t="b">
        <f t="shared" si="18"/>
        <v>0</v>
      </c>
      <c r="D220" t="e">
        <f t="shared" si="17"/>
        <v>#N/A</v>
      </c>
      <c r="E220" t="str">
        <f t="shared" si="19"/>
        <v/>
      </c>
      <c r="F220" t="str">
        <f t="shared" si="20"/>
        <v>New</v>
      </c>
      <c r="G220" t="str">
        <f t="shared" si="21"/>
        <v>Remove</v>
      </c>
    </row>
    <row r="221" spans="1:7">
      <c r="A221" t="s">
        <v>1856</v>
      </c>
      <c r="B221" s="14" t="s">
        <v>1856</v>
      </c>
      <c r="C221" t="b">
        <f t="shared" si="18"/>
        <v>1</v>
      </c>
      <c r="D221" t="str">
        <f t="shared" si="17"/>
        <v>Prov for Bonus</v>
      </c>
      <c r="E221" t="str">
        <f t="shared" si="19"/>
        <v>Exist</v>
      </c>
      <c r="F221" t="str">
        <f t="shared" si="20"/>
        <v/>
      </c>
      <c r="G221" t="str">
        <f t="shared" si="21"/>
        <v/>
      </c>
    </row>
    <row r="222" spans="1:7">
      <c r="A222" t="s">
        <v>1727</v>
      </c>
      <c r="B222" s="14" t="s">
        <v>1727</v>
      </c>
      <c r="C222" t="b">
        <f t="shared" si="18"/>
        <v>1</v>
      </c>
      <c r="D222" t="str">
        <f t="shared" si="17"/>
        <v>Prov for Com &amp; Incentives</v>
      </c>
      <c r="E222" t="str">
        <f t="shared" si="19"/>
        <v>Exist</v>
      </c>
      <c r="F222" t="str">
        <f t="shared" si="20"/>
        <v/>
      </c>
      <c r="G222" t="str">
        <f t="shared" si="21"/>
        <v/>
      </c>
    </row>
    <row r="223" spans="1:7">
      <c r="A223" t="s">
        <v>1857</v>
      </c>
      <c r="B223" s="14" t="s">
        <v>1857</v>
      </c>
      <c r="C223" t="b">
        <f t="shared" si="18"/>
        <v>1</v>
      </c>
      <c r="D223" t="str">
        <f t="shared" si="17"/>
        <v>Prov for Gratuities</v>
      </c>
      <c r="E223" t="str">
        <f t="shared" si="19"/>
        <v>Exist</v>
      </c>
      <c r="F223" t="str">
        <f t="shared" si="20"/>
        <v/>
      </c>
      <c r="G223" t="str">
        <f t="shared" si="21"/>
        <v/>
      </c>
    </row>
    <row r="224" spans="1:7">
      <c r="A224" t="s">
        <v>1728</v>
      </c>
      <c r="B224" s="14" t="s">
        <v>1728</v>
      </c>
      <c r="C224" t="b">
        <f t="shared" si="18"/>
        <v>1</v>
      </c>
      <c r="D224" t="str">
        <f t="shared" si="17"/>
        <v>Prov for A&amp;P</v>
      </c>
      <c r="E224" t="str">
        <f t="shared" si="19"/>
        <v>Exist</v>
      </c>
      <c r="F224" t="str">
        <f t="shared" si="20"/>
        <v/>
      </c>
      <c r="G224" t="str">
        <f t="shared" si="21"/>
        <v/>
      </c>
    </row>
    <row r="225" spans="1:7">
      <c r="A225" t="s">
        <v>1729</v>
      </c>
      <c r="B225" s="14" t="s">
        <v>1729</v>
      </c>
      <c r="C225" t="b">
        <f t="shared" si="18"/>
        <v>1</v>
      </c>
      <c r="D225" t="str">
        <f t="shared" ref="D225:D257" si="22">VLOOKUP(B225, A225:A547, 1, FALSE)</f>
        <v>Prov for Cylinder Loss</v>
      </c>
      <c r="E225" t="str">
        <f t="shared" si="19"/>
        <v>Exist</v>
      </c>
      <c r="F225" t="str">
        <f t="shared" si="20"/>
        <v/>
      </c>
      <c r="G225" t="str">
        <f t="shared" si="21"/>
        <v/>
      </c>
    </row>
    <row r="226" spans="1:7">
      <c r="A226" t="s">
        <v>1730</v>
      </c>
      <c r="B226" s="14" t="s">
        <v>1730</v>
      </c>
      <c r="C226" t="b">
        <f t="shared" si="18"/>
        <v>1</v>
      </c>
      <c r="D226" t="str">
        <f t="shared" si="22"/>
        <v>Prov for Plant Maintenance</v>
      </c>
      <c r="E226" t="str">
        <f t="shared" si="19"/>
        <v>Exist</v>
      </c>
      <c r="F226" t="str">
        <f t="shared" si="20"/>
        <v/>
      </c>
      <c r="G226" t="str">
        <f t="shared" si="21"/>
        <v/>
      </c>
    </row>
    <row r="227" spans="1:7">
      <c r="A227" t="s">
        <v>277</v>
      </c>
      <c r="B227" s="15" t="s">
        <v>277</v>
      </c>
      <c r="C227" t="b">
        <f t="shared" si="18"/>
        <v>1</v>
      </c>
      <c r="D227" t="str">
        <f t="shared" si="22"/>
        <v>TOTAL CURRENT LIABILITIES</v>
      </c>
      <c r="E227" t="str">
        <f t="shared" si="19"/>
        <v>Exist</v>
      </c>
      <c r="F227" t="str">
        <f t="shared" si="20"/>
        <v/>
      </c>
      <c r="G227" t="str">
        <f t="shared" si="21"/>
        <v/>
      </c>
    </row>
    <row r="228" spans="1:7">
      <c r="A228" t="s">
        <v>1731</v>
      </c>
      <c r="B228" s="14" t="s">
        <v>1731</v>
      </c>
      <c r="C228" t="b">
        <f t="shared" si="18"/>
        <v>1</v>
      </c>
      <c r="D228" t="str">
        <f t="shared" si="22"/>
        <v>Long-Term Loan</v>
      </c>
      <c r="E228" t="str">
        <f t="shared" si="19"/>
        <v>Exist</v>
      </c>
      <c r="F228" t="str">
        <f t="shared" si="20"/>
        <v/>
      </c>
      <c r="G228" t="str">
        <f t="shared" si="21"/>
        <v/>
      </c>
    </row>
    <row r="229" spans="1:7">
      <c r="A229" t="s">
        <v>1732</v>
      </c>
      <c r="B229" s="14" t="s">
        <v>1732</v>
      </c>
      <c r="C229" t="b">
        <f t="shared" si="18"/>
        <v>1</v>
      </c>
      <c r="D229" t="str">
        <f t="shared" si="22"/>
        <v>HP Creditors</v>
      </c>
      <c r="E229" t="str">
        <f t="shared" si="19"/>
        <v>Exist</v>
      </c>
      <c r="F229" t="str">
        <f t="shared" si="20"/>
        <v/>
      </c>
      <c r="G229" t="str">
        <f t="shared" si="21"/>
        <v/>
      </c>
    </row>
    <row r="230" spans="1:7">
      <c r="A230" t="s">
        <v>1858</v>
      </c>
      <c r="B230" s="14" t="s">
        <v>1858</v>
      </c>
      <c r="C230" t="b">
        <f t="shared" si="18"/>
        <v>1</v>
      </c>
      <c r="D230" t="str">
        <f t="shared" si="22"/>
        <v>Due to Interco-Loan - Non Current Li</v>
      </c>
      <c r="E230" t="str">
        <f t="shared" si="19"/>
        <v>Exist</v>
      </c>
      <c r="F230" t="str">
        <f t="shared" si="20"/>
        <v/>
      </c>
      <c r="G230" t="str">
        <f t="shared" si="21"/>
        <v/>
      </c>
    </row>
    <row r="231" spans="1:7">
      <c r="A231" t="s">
        <v>1859</v>
      </c>
      <c r="B231" s="14" t="s">
        <v>1859</v>
      </c>
      <c r="C231" t="b">
        <f t="shared" si="18"/>
        <v>1</v>
      </c>
      <c r="D231" t="str">
        <f t="shared" si="22"/>
        <v>Due to JV-Loan - Non Current Li</v>
      </c>
      <c r="E231" t="str">
        <f t="shared" si="19"/>
        <v>Exist</v>
      </c>
      <c r="F231" t="str">
        <f t="shared" si="20"/>
        <v/>
      </c>
      <c r="G231" t="str">
        <f t="shared" si="21"/>
        <v/>
      </c>
    </row>
    <row r="232" spans="1:7">
      <c r="A232" t="s">
        <v>1860</v>
      </c>
      <c r="B232" s="14" t="s">
        <v>1860</v>
      </c>
      <c r="C232" t="b">
        <f t="shared" si="18"/>
        <v>1</v>
      </c>
      <c r="D232" t="str">
        <f t="shared" si="22"/>
        <v>Due to Assoc-Loan - Non Current Li</v>
      </c>
      <c r="E232" t="str">
        <f t="shared" si="19"/>
        <v>Exist</v>
      </c>
      <c r="F232" t="str">
        <f t="shared" si="20"/>
        <v/>
      </c>
      <c r="G232" t="str">
        <f t="shared" si="21"/>
        <v/>
      </c>
    </row>
    <row r="233" spans="1:7">
      <c r="A233" t="s">
        <v>1861</v>
      </c>
      <c r="B233" s="14" t="s">
        <v>1861</v>
      </c>
      <c r="C233" t="b">
        <f t="shared" si="18"/>
        <v>1</v>
      </c>
      <c r="D233" t="str">
        <f t="shared" si="22"/>
        <v>Due to Rel Parties-Loan</v>
      </c>
      <c r="E233" t="str">
        <f t="shared" si="19"/>
        <v>Exist</v>
      </c>
      <c r="F233" t="str">
        <f t="shared" si="20"/>
        <v/>
      </c>
      <c r="G233" t="str">
        <f t="shared" si="21"/>
        <v/>
      </c>
    </row>
    <row r="234" spans="1:7">
      <c r="A234" t="s">
        <v>1862</v>
      </c>
      <c r="B234" s="14" t="s">
        <v>1862</v>
      </c>
      <c r="C234" t="b">
        <f t="shared" si="18"/>
        <v>1</v>
      </c>
      <c r="D234" t="str">
        <f t="shared" si="22"/>
        <v>Due to Shareholders - Non Current Li</v>
      </c>
      <c r="E234" t="str">
        <f t="shared" si="19"/>
        <v>Exist</v>
      </c>
      <c r="F234" t="str">
        <f t="shared" si="20"/>
        <v/>
      </c>
      <c r="G234" t="str">
        <f t="shared" si="21"/>
        <v/>
      </c>
    </row>
    <row r="235" spans="1:7">
      <c r="A235" t="s">
        <v>1863</v>
      </c>
      <c r="B235" s="14" t="s">
        <v>1863</v>
      </c>
      <c r="C235" t="b">
        <f t="shared" si="18"/>
        <v>1</v>
      </c>
      <c r="D235" t="str">
        <f t="shared" si="22"/>
        <v>Due to Interbranch - Non Current Li</v>
      </c>
      <c r="E235" t="str">
        <f t="shared" si="19"/>
        <v>Exist</v>
      </c>
      <c r="F235" t="str">
        <f t="shared" si="20"/>
        <v/>
      </c>
      <c r="G235" t="str">
        <f t="shared" si="21"/>
        <v/>
      </c>
    </row>
    <row r="236" spans="1:7">
      <c r="A236" t="s">
        <v>281</v>
      </c>
      <c r="B236" s="14" t="s">
        <v>281</v>
      </c>
      <c r="C236" t="b">
        <f t="shared" si="18"/>
        <v>1</v>
      </c>
      <c r="D236" t="str">
        <f t="shared" si="22"/>
        <v>Deferred Tax Liabilities</v>
      </c>
      <c r="E236" t="str">
        <f t="shared" si="19"/>
        <v>Exist</v>
      </c>
      <c r="F236" t="str">
        <f t="shared" si="20"/>
        <v/>
      </c>
      <c r="G236" t="str">
        <f t="shared" si="21"/>
        <v/>
      </c>
    </row>
    <row r="237" spans="1:7">
      <c r="A237" t="s">
        <v>309</v>
      </c>
      <c r="B237" s="14" t="s">
        <v>1733</v>
      </c>
      <c r="C237" t="b">
        <f t="shared" si="18"/>
        <v>0</v>
      </c>
      <c r="D237" t="e">
        <f t="shared" si="22"/>
        <v>#N/A</v>
      </c>
      <c r="E237" t="str">
        <f t="shared" si="19"/>
        <v/>
      </c>
      <c r="F237" t="str">
        <f t="shared" si="20"/>
        <v>New</v>
      </c>
      <c r="G237" t="str">
        <f t="shared" si="21"/>
        <v/>
      </c>
    </row>
    <row r="238" spans="1:7">
      <c r="A238" t="s">
        <v>282</v>
      </c>
      <c r="B238" s="15" t="s">
        <v>282</v>
      </c>
      <c r="C238" t="b">
        <f t="shared" si="18"/>
        <v>1</v>
      </c>
      <c r="D238" t="str">
        <f t="shared" si="22"/>
        <v>TOTAL NON CURRENT LIABILITIES</v>
      </c>
      <c r="E238" t="str">
        <f t="shared" si="19"/>
        <v>Exist</v>
      </c>
      <c r="F238" t="str">
        <f t="shared" si="20"/>
        <v/>
      </c>
      <c r="G238" t="str">
        <f t="shared" si="21"/>
        <v/>
      </c>
    </row>
    <row r="239" spans="1:7">
      <c r="A239" t="s">
        <v>283</v>
      </c>
      <c r="B239" s="15" t="s">
        <v>283</v>
      </c>
      <c r="C239" t="b">
        <f t="shared" si="18"/>
        <v>1</v>
      </c>
      <c r="D239" t="str">
        <f t="shared" si="22"/>
        <v>TOTAL LIABILITIES</v>
      </c>
      <c r="E239" t="str">
        <f t="shared" si="19"/>
        <v>Exist</v>
      </c>
      <c r="F239" t="str">
        <f t="shared" si="20"/>
        <v/>
      </c>
      <c r="G239" t="str">
        <f t="shared" si="21"/>
        <v/>
      </c>
    </row>
    <row r="240" spans="1:7">
      <c r="A240" t="s">
        <v>1734</v>
      </c>
      <c r="B240" s="14" t="s">
        <v>1734</v>
      </c>
      <c r="C240" t="b">
        <f t="shared" si="18"/>
        <v>1</v>
      </c>
      <c r="D240" t="str">
        <f t="shared" si="22"/>
        <v>Share Capital</v>
      </c>
      <c r="E240" t="str">
        <f t="shared" si="19"/>
        <v>Exist</v>
      </c>
      <c r="F240" t="str">
        <f t="shared" si="20"/>
        <v/>
      </c>
      <c r="G240" t="str">
        <f t="shared" si="21"/>
        <v/>
      </c>
    </row>
    <row r="241" spans="1:7">
      <c r="A241" t="s">
        <v>1735</v>
      </c>
      <c r="B241" s="14" t="s">
        <v>1735</v>
      </c>
      <c r="C241" t="b">
        <f t="shared" si="18"/>
        <v>1</v>
      </c>
      <c r="D241" t="str">
        <f t="shared" si="22"/>
        <v>Calls in Arrears</v>
      </c>
      <c r="E241" t="str">
        <f t="shared" si="19"/>
        <v>Exist</v>
      </c>
      <c r="F241" t="str">
        <f t="shared" si="20"/>
        <v/>
      </c>
      <c r="G241" t="str">
        <f t="shared" si="21"/>
        <v/>
      </c>
    </row>
    <row r="242" spans="1:7">
      <c r="A242" t="s">
        <v>1736</v>
      </c>
      <c r="B242" s="14" t="s">
        <v>1736</v>
      </c>
      <c r="C242" t="b">
        <f t="shared" si="18"/>
        <v>1</v>
      </c>
      <c r="D242" t="str">
        <f t="shared" si="22"/>
        <v>Treasury Shares</v>
      </c>
      <c r="E242" t="str">
        <f t="shared" si="19"/>
        <v>Exist</v>
      </c>
      <c r="F242" t="str">
        <f t="shared" si="20"/>
        <v/>
      </c>
      <c r="G242" t="str">
        <f t="shared" si="21"/>
        <v/>
      </c>
    </row>
    <row r="243" spans="1:7">
      <c r="A243" t="s">
        <v>1737</v>
      </c>
      <c r="B243" s="14" t="s">
        <v>1737</v>
      </c>
      <c r="C243" t="b">
        <f t="shared" si="18"/>
        <v>1</v>
      </c>
      <c r="D243" t="str">
        <f t="shared" si="22"/>
        <v>Share Premium</v>
      </c>
      <c r="E243" t="str">
        <f t="shared" si="19"/>
        <v>Exist</v>
      </c>
      <c r="F243" t="str">
        <f t="shared" si="20"/>
        <v/>
      </c>
      <c r="G243" t="str">
        <f t="shared" si="21"/>
        <v/>
      </c>
    </row>
    <row r="244" spans="1:7">
      <c r="A244" t="s">
        <v>1738</v>
      </c>
      <c r="B244" s="14" t="s">
        <v>1738</v>
      </c>
      <c r="C244" t="b">
        <f t="shared" si="18"/>
        <v>1</v>
      </c>
      <c r="D244" t="str">
        <f t="shared" si="22"/>
        <v>Convertible Loan</v>
      </c>
      <c r="E244" t="str">
        <f t="shared" si="19"/>
        <v>Exist</v>
      </c>
      <c r="F244" t="str">
        <f t="shared" si="20"/>
        <v/>
      </c>
      <c r="G244" t="str">
        <f t="shared" si="21"/>
        <v/>
      </c>
    </row>
    <row r="245" spans="1:7">
      <c r="A245" t="s">
        <v>285</v>
      </c>
      <c r="B245" s="14" t="s">
        <v>285</v>
      </c>
      <c r="C245" t="b">
        <f t="shared" si="18"/>
        <v>1</v>
      </c>
      <c r="D245" t="str">
        <f t="shared" si="22"/>
        <v>Quasi-Equity Loan</v>
      </c>
      <c r="E245" t="str">
        <f t="shared" si="19"/>
        <v>Exist</v>
      </c>
      <c r="F245" t="str">
        <f t="shared" si="20"/>
        <v/>
      </c>
      <c r="G245" t="str">
        <f t="shared" si="21"/>
        <v/>
      </c>
    </row>
    <row r="246" spans="1:7">
      <c r="A246" t="s">
        <v>1739</v>
      </c>
      <c r="B246" s="14" t="s">
        <v>1739</v>
      </c>
      <c r="C246" t="b">
        <f t="shared" si="18"/>
        <v>1</v>
      </c>
      <c r="D246" t="str">
        <f t="shared" si="22"/>
        <v>Capital Reserve</v>
      </c>
      <c r="E246" t="str">
        <f t="shared" si="19"/>
        <v>Exist</v>
      </c>
      <c r="F246" t="str">
        <f t="shared" si="20"/>
        <v/>
      </c>
      <c r="G246" t="str">
        <f t="shared" si="21"/>
        <v/>
      </c>
    </row>
    <row r="247" spans="1:7">
      <c r="A247" t="s">
        <v>1740</v>
      </c>
      <c r="B247" s="14" t="s">
        <v>1740</v>
      </c>
      <c r="C247" t="b">
        <f t="shared" si="18"/>
        <v>1</v>
      </c>
      <c r="D247" t="str">
        <f t="shared" si="22"/>
        <v>Asset Revaluation Reserve</v>
      </c>
      <c r="E247" t="str">
        <f t="shared" si="19"/>
        <v>Exist</v>
      </c>
      <c r="F247" t="str">
        <f t="shared" si="20"/>
        <v/>
      </c>
      <c r="G247" t="str">
        <f t="shared" si="21"/>
        <v/>
      </c>
    </row>
    <row r="248" spans="1:7">
      <c r="A248" t="s">
        <v>1741</v>
      </c>
      <c r="B248" s="14" t="s">
        <v>1741</v>
      </c>
      <c r="C248" t="b">
        <f t="shared" si="18"/>
        <v>1</v>
      </c>
      <c r="D248" t="str">
        <f t="shared" si="22"/>
        <v>Statutory Fund Reserve</v>
      </c>
      <c r="E248" t="str">
        <f t="shared" si="19"/>
        <v>Exist</v>
      </c>
      <c r="F248" t="str">
        <f t="shared" si="20"/>
        <v/>
      </c>
      <c r="G248" t="str">
        <f t="shared" si="21"/>
        <v/>
      </c>
    </row>
    <row r="249" spans="1:7">
      <c r="A249" t="s">
        <v>1742</v>
      </c>
      <c r="B249" s="14" t="s">
        <v>1742</v>
      </c>
      <c r="C249" t="b">
        <f t="shared" si="18"/>
        <v>1</v>
      </c>
      <c r="D249" t="str">
        <f t="shared" si="22"/>
        <v>Investment Revaluation Reserve</v>
      </c>
      <c r="E249" t="str">
        <f t="shared" si="19"/>
        <v>Exist</v>
      </c>
      <c r="F249" t="str">
        <f t="shared" si="20"/>
        <v/>
      </c>
      <c r="G249" t="str">
        <f t="shared" si="21"/>
        <v/>
      </c>
    </row>
    <row r="250" spans="1:7">
      <c r="A250" t="s">
        <v>1743</v>
      </c>
      <c r="B250" s="14" t="s">
        <v>1743</v>
      </c>
      <c r="C250" t="b">
        <f t="shared" si="18"/>
        <v>1</v>
      </c>
      <c r="D250" t="str">
        <f t="shared" si="22"/>
        <v>Fair Value Adjustment Reserve</v>
      </c>
      <c r="E250" t="str">
        <f t="shared" si="19"/>
        <v>Exist</v>
      </c>
      <c r="F250" t="str">
        <f t="shared" si="20"/>
        <v/>
      </c>
      <c r="G250" t="str">
        <f t="shared" si="21"/>
        <v/>
      </c>
    </row>
    <row r="251" spans="1:7">
      <c r="A251" t="s">
        <v>1744</v>
      </c>
      <c r="B251" s="14" t="s">
        <v>1744</v>
      </c>
      <c r="C251" t="b">
        <f t="shared" si="18"/>
        <v>1</v>
      </c>
      <c r="D251" t="str">
        <f t="shared" si="22"/>
        <v>Amalgamation Reserve</v>
      </c>
      <c r="E251" t="str">
        <f t="shared" si="19"/>
        <v>Exist</v>
      </c>
      <c r="F251" t="str">
        <f t="shared" si="20"/>
        <v/>
      </c>
      <c r="G251" t="str">
        <f t="shared" si="21"/>
        <v/>
      </c>
    </row>
    <row r="252" spans="1:7">
      <c r="A252" t="s">
        <v>1745</v>
      </c>
      <c r="B252" s="14" t="s">
        <v>1745</v>
      </c>
      <c r="C252" t="b">
        <f t="shared" si="18"/>
        <v>1</v>
      </c>
      <c r="D252" t="str">
        <f t="shared" si="22"/>
        <v>General Reserve</v>
      </c>
      <c r="E252" t="str">
        <f t="shared" si="19"/>
        <v>Exist</v>
      </c>
      <c r="F252" t="str">
        <f t="shared" si="20"/>
        <v/>
      </c>
      <c r="G252" t="str">
        <f t="shared" si="21"/>
        <v/>
      </c>
    </row>
    <row r="253" spans="1:7">
      <c r="A253" t="s">
        <v>1746</v>
      </c>
      <c r="B253" s="14" t="s">
        <v>1746</v>
      </c>
      <c r="C253" t="b">
        <f t="shared" si="18"/>
        <v>1</v>
      </c>
      <c r="D253" t="str">
        <f t="shared" si="22"/>
        <v>ESOS Reserve</v>
      </c>
      <c r="E253" t="str">
        <f t="shared" si="19"/>
        <v>Exist</v>
      </c>
      <c r="F253" t="str">
        <f t="shared" si="20"/>
        <v/>
      </c>
      <c r="G253" t="str">
        <f t="shared" si="21"/>
        <v/>
      </c>
    </row>
    <row r="254" spans="1:7">
      <c r="A254" t="s">
        <v>1747</v>
      </c>
      <c r="B254" s="14" t="s">
        <v>1747</v>
      </c>
      <c r="C254" t="b">
        <f t="shared" si="18"/>
        <v>1</v>
      </c>
      <c r="D254" t="str">
        <f t="shared" si="22"/>
        <v>Accumulated Profit/(Loss)</v>
      </c>
      <c r="E254" t="str">
        <f t="shared" si="19"/>
        <v>Exist</v>
      </c>
      <c r="F254" t="str">
        <f t="shared" si="20"/>
        <v/>
      </c>
      <c r="G254" t="str">
        <f t="shared" si="21"/>
        <v/>
      </c>
    </row>
    <row r="255" spans="1:7">
      <c r="B255" s="14" t="s">
        <v>818</v>
      </c>
      <c r="C255" t="b">
        <f t="shared" si="18"/>
        <v>0</v>
      </c>
      <c r="D255" t="e">
        <f t="shared" si="22"/>
        <v>#N/A</v>
      </c>
      <c r="E255" t="str">
        <f t="shared" si="19"/>
        <v/>
      </c>
      <c r="F255" t="str">
        <f t="shared" si="20"/>
        <v>New</v>
      </c>
      <c r="G255" t="str">
        <f t="shared" si="21"/>
        <v/>
      </c>
    </row>
    <row r="256" spans="1:7">
      <c r="A256" t="s">
        <v>288</v>
      </c>
      <c r="B256" s="14" t="s">
        <v>288</v>
      </c>
      <c r="C256" t="b">
        <f t="shared" si="18"/>
        <v>1</v>
      </c>
      <c r="D256" t="str">
        <f t="shared" si="22"/>
        <v>Minority Interest</v>
      </c>
      <c r="E256" t="str">
        <f t="shared" si="19"/>
        <v>Exist</v>
      </c>
      <c r="F256" t="str">
        <f t="shared" si="20"/>
        <v/>
      </c>
      <c r="G256" t="str">
        <f t="shared" si="21"/>
        <v/>
      </c>
    </row>
    <row r="257" spans="1:7">
      <c r="A257" t="s">
        <v>1748</v>
      </c>
      <c r="B257" s="14" t="s">
        <v>1748</v>
      </c>
      <c r="C257" t="b">
        <f t="shared" si="18"/>
        <v>1</v>
      </c>
      <c r="D257" t="str">
        <f t="shared" si="22"/>
        <v>Foreign Currency Trans Reserve</v>
      </c>
      <c r="E257" t="str">
        <f t="shared" si="19"/>
        <v>Exist</v>
      </c>
      <c r="F257" t="str">
        <f t="shared" si="20"/>
        <v/>
      </c>
      <c r="G257" t="str">
        <f t="shared" si="21"/>
        <v/>
      </c>
    </row>
    <row r="258" spans="1:7">
      <c r="A258" t="s">
        <v>290</v>
      </c>
      <c r="B258" s="15" t="s">
        <v>290</v>
      </c>
    </row>
    <row r="259" spans="1:7">
      <c r="A259" t="s">
        <v>291</v>
      </c>
      <c r="B259" s="15" t="s">
        <v>291</v>
      </c>
    </row>
  </sheetData>
  <conditionalFormatting sqref="C2:D257">
    <cfRule type="cellIs" dxfId="3" priority="4" operator="equal">
      <formula>FALSE</formula>
    </cfRule>
  </conditionalFormatting>
  <conditionalFormatting sqref="D2:D257">
    <cfRule type="cellIs" dxfId="2" priority="3" operator="equal">
      <formula>#N/A</formula>
    </cfRule>
  </conditionalFormatting>
  <conditionalFormatting sqref="F2:F257">
    <cfRule type="cellIs" dxfId="1" priority="2" operator="equal">
      <formula>"New"</formula>
    </cfRule>
  </conditionalFormatting>
  <conditionalFormatting sqref="G2:G257">
    <cfRule type="cellIs" dxfId="0" priority="1" operator="equal">
      <formula>"Remove"</formula>
    </cfRule>
  </conditionalFormatting>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262"/>
  <sheetViews>
    <sheetView topLeftCell="I232" zoomScaleNormal="100" zoomScalePageLayoutView="110" workbookViewId="0">
      <selection activeCell="J247" sqref="J247"/>
    </sheetView>
  </sheetViews>
  <sheetFormatPr defaultColWidth="8.85546875" defaultRowHeight="15"/>
  <cols>
    <col min="2" max="2" width="7" bestFit="1" customWidth="1"/>
    <col min="3" max="3" width="13" bestFit="1" customWidth="1"/>
    <col min="4" max="4" width="10.28515625" bestFit="1" customWidth="1"/>
    <col min="5" max="5" width="10.7109375" bestFit="1" customWidth="1"/>
    <col min="6" max="6" width="7.42578125" bestFit="1" customWidth="1"/>
    <col min="7" max="7" width="84.140625" customWidth="1"/>
    <col min="8" max="8" width="41.7109375" customWidth="1"/>
    <col min="9" max="9" width="31.85546875" customWidth="1"/>
    <col min="10" max="10" width="177.140625" bestFit="1" customWidth="1"/>
    <col min="11" max="12" width="104.7109375" bestFit="1" customWidth="1"/>
  </cols>
  <sheetData>
    <row r="1" spans="1:11" s="4" customFormat="1">
      <c r="A1" s="4" t="s">
        <v>73</v>
      </c>
      <c r="B1" s="4" t="s">
        <v>65</v>
      </c>
      <c r="C1" s="4" t="s">
        <v>1884</v>
      </c>
      <c r="D1" s="4" t="s">
        <v>66</v>
      </c>
      <c r="E1" s="4" t="s">
        <v>1885</v>
      </c>
      <c r="F1" s="4" t="s">
        <v>67</v>
      </c>
      <c r="G1" s="4" t="s">
        <v>68</v>
      </c>
      <c r="H1" s="4" t="s">
        <v>71</v>
      </c>
      <c r="I1" s="4" t="s">
        <v>1886</v>
      </c>
      <c r="J1" s="4" t="s">
        <v>72</v>
      </c>
      <c r="K1" s="4" t="s">
        <v>1287</v>
      </c>
    </row>
    <row r="2" spans="1:11">
      <c r="A2" t="s">
        <v>74</v>
      </c>
      <c r="B2" t="s">
        <v>1433</v>
      </c>
      <c r="C2">
        <v>1</v>
      </c>
      <c r="D2">
        <v>1</v>
      </c>
      <c r="E2">
        <v>1</v>
      </c>
      <c r="F2">
        <v>1</v>
      </c>
      <c r="G2">
        <v>562</v>
      </c>
      <c r="H2" t="s">
        <v>1434</v>
      </c>
      <c r="I2" s="81" t="s">
        <v>1927</v>
      </c>
      <c r="J2" t="str">
        <f>IF(A2&lt;&gt;"Remove",CONCATENATE("INSERT INTO tbFinanceItemSeq(Report,ItemSeqID,ItemSN,ItemID) VALUES('",B2,"',",C2,",",E2,",",G2,")")," ")</f>
        <v>INSERT INTO tbFinanceItemSeq(Report,ItemSeqID,ItemSN,ItemID) VALUES('BSD',1,1,562)</v>
      </c>
      <c r="K2" t="str">
        <f>IF(A2&lt;&gt;"New","",CONCATENATE("INSERT INTO tbFinanceItem(ItemName) VALUES('",H2,"')"))</f>
        <v/>
      </c>
    </row>
    <row r="3" spans="1:11">
      <c r="A3" t="s">
        <v>74</v>
      </c>
      <c r="B3" t="s">
        <v>1433</v>
      </c>
      <c r="C3">
        <v>2</v>
      </c>
      <c r="D3">
        <v>2</v>
      </c>
      <c r="E3">
        <v>2</v>
      </c>
      <c r="F3">
        <v>2</v>
      </c>
      <c r="G3">
        <v>563</v>
      </c>
      <c r="H3" t="s">
        <v>1435</v>
      </c>
      <c r="I3" s="81" t="s">
        <v>1928</v>
      </c>
      <c r="J3" t="str">
        <f t="shared" ref="J3:J76" si="0">IF(A3&lt;&gt;"Remove",CONCATENATE("INSERT INTO tbFinanceItemSeq(Report,ItemSeqID,ItemSN,ItemID) VALUES('",B3,"',",C3,",",E3,",",G3,")")," ")</f>
        <v>INSERT INTO tbFinanceItemSeq(Report,ItemSeqID,ItemSN,ItemID) VALUES('BSD',2,2,563)</v>
      </c>
      <c r="K3" t="str">
        <f t="shared" ref="K3:K67" si="1">IF(A3&lt;&gt;"New","",CONCATENATE("INSERT INTO tbFinanceItem(ItemName) VALUES('",H3,"')"))</f>
        <v/>
      </c>
    </row>
    <row r="4" spans="1:11">
      <c r="A4" t="s">
        <v>74</v>
      </c>
      <c r="B4" t="s">
        <v>1433</v>
      </c>
      <c r="C4">
        <v>3</v>
      </c>
      <c r="D4">
        <v>3</v>
      </c>
      <c r="E4">
        <v>3</v>
      </c>
      <c r="F4">
        <v>3</v>
      </c>
      <c r="G4">
        <v>564</v>
      </c>
      <c r="H4" t="s">
        <v>1436</v>
      </c>
      <c r="I4" s="81" t="s">
        <v>1929</v>
      </c>
      <c r="J4" t="str">
        <f t="shared" si="0"/>
        <v>INSERT INTO tbFinanceItemSeq(Report,ItemSeqID,ItemSN,ItemID) VALUES('BSD',3,3,564)</v>
      </c>
      <c r="K4" t="str">
        <f t="shared" si="1"/>
        <v/>
      </c>
    </row>
    <row r="5" spans="1:11">
      <c r="A5" t="s">
        <v>74</v>
      </c>
      <c r="B5" t="s">
        <v>1433</v>
      </c>
      <c r="C5">
        <v>4</v>
      </c>
      <c r="D5">
        <v>4</v>
      </c>
      <c r="E5">
        <v>4</v>
      </c>
      <c r="F5">
        <v>4</v>
      </c>
      <c r="G5">
        <v>565</v>
      </c>
      <c r="H5" t="s">
        <v>1437</v>
      </c>
      <c r="I5" s="81" t="s">
        <v>1930</v>
      </c>
      <c r="J5" t="str">
        <f t="shared" si="0"/>
        <v>INSERT INTO tbFinanceItemSeq(Report,ItemSeqID,ItemSN,ItemID) VALUES('BSD',4,4,565)</v>
      </c>
      <c r="K5" t="str">
        <f t="shared" si="1"/>
        <v/>
      </c>
    </row>
    <row r="6" spans="1:11">
      <c r="A6" t="s">
        <v>74</v>
      </c>
      <c r="B6" t="s">
        <v>1433</v>
      </c>
      <c r="C6">
        <v>5</v>
      </c>
      <c r="D6">
        <v>5</v>
      </c>
      <c r="E6">
        <v>5</v>
      </c>
      <c r="F6">
        <v>5</v>
      </c>
      <c r="G6">
        <v>566</v>
      </c>
      <c r="H6" t="s">
        <v>1438</v>
      </c>
      <c r="I6" s="81" t="s">
        <v>1931</v>
      </c>
      <c r="J6" t="str">
        <f t="shared" si="0"/>
        <v>INSERT INTO tbFinanceItemSeq(Report,ItemSeqID,ItemSN,ItemID) VALUES('BSD',5,5,566)</v>
      </c>
      <c r="K6" t="str">
        <f t="shared" si="1"/>
        <v/>
      </c>
    </row>
    <row r="7" spans="1:11">
      <c r="A7" t="s">
        <v>74</v>
      </c>
      <c r="B7" t="s">
        <v>1433</v>
      </c>
      <c r="C7">
        <v>6</v>
      </c>
      <c r="D7">
        <v>6</v>
      </c>
      <c r="E7">
        <v>6</v>
      </c>
      <c r="F7">
        <v>6</v>
      </c>
      <c r="G7">
        <v>567</v>
      </c>
      <c r="H7" t="s">
        <v>1439</v>
      </c>
      <c r="I7" s="81" t="s">
        <v>1932</v>
      </c>
      <c r="J7" t="str">
        <f t="shared" si="0"/>
        <v>INSERT INTO tbFinanceItemSeq(Report,ItemSeqID,ItemSN,ItemID) VALUES('BSD',6,6,567)</v>
      </c>
      <c r="K7" t="str">
        <f t="shared" si="1"/>
        <v/>
      </c>
    </row>
    <row r="8" spans="1:11">
      <c r="A8" t="s">
        <v>74</v>
      </c>
      <c r="B8" t="s">
        <v>1433</v>
      </c>
      <c r="C8">
        <v>7</v>
      </c>
      <c r="D8">
        <v>7</v>
      </c>
      <c r="E8">
        <v>7</v>
      </c>
      <c r="F8">
        <v>7</v>
      </c>
      <c r="G8">
        <v>568</v>
      </c>
      <c r="H8" t="s">
        <v>1440</v>
      </c>
      <c r="I8" s="81" t="s">
        <v>1933</v>
      </c>
      <c r="J8" t="str">
        <f t="shared" si="0"/>
        <v>INSERT INTO tbFinanceItemSeq(Report,ItemSeqID,ItemSN,ItemID) VALUES('BSD',7,7,568)</v>
      </c>
      <c r="K8" t="str">
        <f t="shared" si="1"/>
        <v/>
      </c>
    </row>
    <row r="9" spans="1:11">
      <c r="A9" t="s">
        <v>74</v>
      </c>
      <c r="B9" t="s">
        <v>1433</v>
      </c>
      <c r="C9">
        <v>8</v>
      </c>
      <c r="D9">
        <v>8</v>
      </c>
      <c r="E9">
        <v>8</v>
      </c>
      <c r="F9">
        <v>8</v>
      </c>
      <c r="G9">
        <v>569</v>
      </c>
      <c r="H9" t="s">
        <v>1441</v>
      </c>
      <c r="I9" s="81" t="s">
        <v>1934</v>
      </c>
      <c r="J9" t="str">
        <f t="shared" si="0"/>
        <v>INSERT INTO tbFinanceItemSeq(Report,ItemSeqID,ItemSN,ItemID) VALUES('BSD',8,8,569)</v>
      </c>
      <c r="K9" t="str">
        <f t="shared" si="1"/>
        <v/>
      </c>
    </row>
    <row r="10" spans="1:11">
      <c r="A10" t="s">
        <v>74</v>
      </c>
      <c r="B10" t="s">
        <v>1433</v>
      </c>
      <c r="C10">
        <v>9</v>
      </c>
      <c r="D10">
        <v>9</v>
      </c>
      <c r="E10">
        <v>9</v>
      </c>
      <c r="F10">
        <v>9</v>
      </c>
      <c r="G10">
        <v>570</v>
      </c>
      <c r="H10" t="s">
        <v>1442</v>
      </c>
      <c r="I10" s="81" t="s">
        <v>1935</v>
      </c>
      <c r="J10" t="str">
        <f t="shared" si="0"/>
        <v>INSERT INTO tbFinanceItemSeq(Report,ItemSeqID,ItemSN,ItemID) VALUES('BSD',9,9,570)</v>
      </c>
      <c r="K10" t="str">
        <f t="shared" si="1"/>
        <v/>
      </c>
    </row>
    <row r="11" spans="1:11">
      <c r="A11" t="s">
        <v>74</v>
      </c>
      <c r="B11" t="s">
        <v>1433</v>
      </c>
      <c r="C11">
        <v>10</v>
      </c>
      <c r="D11">
        <v>10</v>
      </c>
      <c r="E11">
        <v>10</v>
      </c>
      <c r="F11">
        <v>10</v>
      </c>
      <c r="G11">
        <v>571</v>
      </c>
      <c r="H11" t="s">
        <v>1443</v>
      </c>
      <c r="I11" s="81" t="s">
        <v>1936</v>
      </c>
      <c r="J11" t="str">
        <f t="shared" si="0"/>
        <v>INSERT INTO tbFinanceItemSeq(Report,ItemSeqID,ItemSN,ItemID) VALUES('BSD',10,10,571)</v>
      </c>
      <c r="K11" t="str">
        <f t="shared" si="1"/>
        <v/>
      </c>
    </row>
    <row r="12" spans="1:11">
      <c r="A12" t="s">
        <v>74</v>
      </c>
      <c r="B12" t="s">
        <v>1433</v>
      </c>
      <c r="C12">
        <v>11</v>
      </c>
      <c r="D12">
        <v>11</v>
      </c>
      <c r="E12">
        <v>11</v>
      </c>
      <c r="F12">
        <v>11</v>
      </c>
      <c r="G12">
        <v>572</v>
      </c>
      <c r="H12" t="s">
        <v>1444</v>
      </c>
      <c r="I12" s="81" t="s">
        <v>1937</v>
      </c>
      <c r="J12" t="str">
        <f t="shared" si="0"/>
        <v>INSERT INTO tbFinanceItemSeq(Report,ItemSeqID,ItemSN,ItemID) VALUES('BSD',11,11,572)</v>
      </c>
      <c r="K12" t="str">
        <f t="shared" si="1"/>
        <v/>
      </c>
    </row>
    <row r="13" spans="1:11">
      <c r="A13" t="s">
        <v>74</v>
      </c>
      <c r="B13" t="s">
        <v>1433</v>
      </c>
      <c r="C13">
        <v>12</v>
      </c>
      <c r="D13">
        <v>12</v>
      </c>
      <c r="E13">
        <v>12</v>
      </c>
      <c r="F13">
        <v>12</v>
      </c>
      <c r="G13">
        <v>573</v>
      </c>
      <c r="H13" t="s">
        <v>1445</v>
      </c>
      <c r="I13" s="81" t="s">
        <v>1938</v>
      </c>
      <c r="J13" t="str">
        <f t="shared" si="0"/>
        <v>INSERT INTO tbFinanceItemSeq(Report,ItemSeqID,ItemSN,ItemID) VALUES('BSD',12,12,573)</v>
      </c>
      <c r="K13" t="str">
        <f t="shared" si="1"/>
        <v/>
      </c>
    </row>
    <row r="14" spans="1:11">
      <c r="A14" t="s">
        <v>74</v>
      </c>
      <c r="B14" t="s">
        <v>1433</v>
      </c>
      <c r="C14">
        <v>13</v>
      </c>
      <c r="D14">
        <v>13</v>
      </c>
      <c r="E14">
        <v>13</v>
      </c>
      <c r="F14">
        <v>13</v>
      </c>
      <c r="G14">
        <v>574</v>
      </c>
      <c r="H14" t="s">
        <v>1446</v>
      </c>
      <c r="I14" s="81" t="s">
        <v>1939</v>
      </c>
      <c r="J14" t="str">
        <f t="shared" si="0"/>
        <v>INSERT INTO tbFinanceItemSeq(Report,ItemSeqID,ItemSN,ItemID) VALUES('BSD',13,13,574)</v>
      </c>
      <c r="K14" t="str">
        <f t="shared" si="1"/>
        <v/>
      </c>
    </row>
    <row r="15" spans="1:11">
      <c r="A15" t="s">
        <v>74</v>
      </c>
      <c r="B15" t="s">
        <v>1433</v>
      </c>
      <c r="C15">
        <v>14</v>
      </c>
      <c r="D15">
        <v>14</v>
      </c>
      <c r="E15">
        <v>14</v>
      </c>
      <c r="F15">
        <v>14</v>
      </c>
      <c r="G15">
        <v>575</v>
      </c>
      <c r="H15" t="s">
        <v>1447</v>
      </c>
      <c r="I15" s="81" t="s">
        <v>1940</v>
      </c>
      <c r="J15" t="str">
        <f t="shared" si="0"/>
        <v>INSERT INTO tbFinanceItemSeq(Report,ItemSeqID,ItemSN,ItemID) VALUES('BSD',14,14,575)</v>
      </c>
      <c r="K15" t="str">
        <f t="shared" si="1"/>
        <v/>
      </c>
    </row>
    <row r="16" spans="1:11">
      <c r="A16" t="s">
        <v>74</v>
      </c>
      <c r="B16" t="s">
        <v>1433</v>
      </c>
      <c r="C16">
        <v>15</v>
      </c>
      <c r="D16">
        <v>15</v>
      </c>
      <c r="E16">
        <v>15</v>
      </c>
      <c r="F16">
        <v>15</v>
      </c>
      <c r="G16">
        <v>576</v>
      </c>
      <c r="H16" t="s">
        <v>1448</v>
      </c>
      <c r="I16" s="81" t="s">
        <v>1941</v>
      </c>
      <c r="J16" t="str">
        <f t="shared" si="0"/>
        <v>INSERT INTO tbFinanceItemSeq(Report,ItemSeqID,ItemSN,ItemID) VALUES('BSD',15,15,576)</v>
      </c>
      <c r="K16" t="str">
        <f t="shared" si="1"/>
        <v/>
      </c>
    </row>
    <row r="17" spans="1:11" s="3" customFormat="1">
      <c r="A17" s="3" t="s">
        <v>75</v>
      </c>
      <c r="B17" s="3" t="s">
        <v>1433</v>
      </c>
      <c r="C17" s="3">
        <v>16</v>
      </c>
      <c r="E17" s="3">
        <v>16</v>
      </c>
      <c r="G17" s="3" t="str">
        <f>CONCATENATE("(SELECT top 1 ItemID FROM tbFinanceItem where ItemName = '",H17,"')")</f>
        <v>(SELECT top 1 ItemID FROM tbFinanceItem where ItemName = '(BSD)Stocks Return')</v>
      </c>
      <c r="H17" s="3" t="s">
        <v>1887</v>
      </c>
      <c r="I17" s="81" t="s">
        <v>1942</v>
      </c>
      <c r="J17" s="3" t="str">
        <f t="shared" si="0"/>
        <v>INSERT INTO tbFinanceItemSeq(Report,ItemSeqID,ItemSN,ItemID) VALUES('BSD',16,16,(SELECT top 1 ItemID FROM tbFinanceItem where ItemName = '(BSD)Stocks Return'))</v>
      </c>
      <c r="K17" t="str">
        <f t="shared" si="1"/>
        <v>INSERT INTO tbFinanceItem(ItemName) VALUES('(BSD)Stocks Return')</v>
      </c>
    </row>
    <row r="18" spans="1:11" s="3" customFormat="1">
      <c r="A18" s="3" t="s">
        <v>75</v>
      </c>
      <c r="B18" s="3" t="s">
        <v>1433</v>
      </c>
      <c r="C18" s="3">
        <v>17</v>
      </c>
      <c r="E18" s="3">
        <v>17</v>
      </c>
      <c r="G18" s="3" t="str">
        <f>CONCATENATE("(SELECT top 1 ItemID FROM tbFinanceItem where ItemName = '",H18,"')")</f>
        <v>(SELECT top 1 ItemID FROM tbFinanceItem where ItemName = '(BSD)COGS Clearing Account')</v>
      </c>
      <c r="H18" s="3" t="s">
        <v>1888</v>
      </c>
      <c r="I18" s="81" t="s">
        <v>1943</v>
      </c>
      <c r="J18" s="3" t="str">
        <f t="shared" si="0"/>
        <v>INSERT INTO tbFinanceItemSeq(Report,ItemSeqID,ItemSN,ItemID) VALUES('BSD',17,17,(SELECT top 1 ItemID FROM tbFinanceItem where ItemName = '(BSD)COGS Clearing Account'))</v>
      </c>
      <c r="K18" t="str">
        <f t="shared" si="1"/>
        <v>INSERT INTO tbFinanceItem(ItemName) VALUES('(BSD)COGS Clearing Account')</v>
      </c>
    </row>
    <row r="19" spans="1:11">
      <c r="A19" t="s">
        <v>74</v>
      </c>
      <c r="B19" t="s">
        <v>1433</v>
      </c>
      <c r="C19">
        <v>18</v>
      </c>
      <c r="D19">
        <v>18</v>
      </c>
      <c r="E19">
        <v>18</v>
      </c>
      <c r="F19">
        <v>18</v>
      </c>
      <c r="G19">
        <v>577</v>
      </c>
      <c r="H19" t="s">
        <v>1449</v>
      </c>
      <c r="I19" s="81" t="s">
        <v>1944</v>
      </c>
      <c r="J19" t="str">
        <f t="shared" si="0"/>
        <v>INSERT INTO tbFinanceItemSeq(Report,ItemSeqID,ItemSN,ItemID) VALUES('BSD',18,18,577)</v>
      </c>
      <c r="K19" t="str">
        <f t="shared" si="1"/>
        <v/>
      </c>
    </row>
    <row r="20" spans="1:11">
      <c r="A20" t="s">
        <v>74</v>
      </c>
      <c r="B20" t="s">
        <v>1433</v>
      </c>
      <c r="C20">
        <v>19</v>
      </c>
      <c r="D20">
        <v>19</v>
      </c>
      <c r="E20">
        <v>19</v>
      </c>
      <c r="F20">
        <v>19</v>
      </c>
      <c r="G20">
        <v>578</v>
      </c>
      <c r="H20" t="s">
        <v>1450</v>
      </c>
      <c r="I20" s="81" t="s">
        <v>1945</v>
      </c>
      <c r="J20" t="str">
        <f t="shared" si="0"/>
        <v>INSERT INTO tbFinanceItemSeq(Report,ItemSeqID,ItemSN,ItemID) VALUES('BSD',19,19,578)</v>
      </c>
      <c r="K20" t="str">
        <f t="shared" si="1"/>
        <v/>
      </c>
    </row>
    <row r="21" spans="1:11">
      <c r="A21" t="s">
        <v>74</v>
      </c>
      <c r="B21" t="s">
        <v>1433</v>
      </c>
      <c r="C21">
        <v>20</v>
      </c>
      <c r="D21">
        <v>20</v>
      </c>
      <c r="E21">
        <v>20</v>
      </c>
      <c r="F21">
        <v>20</v>
      </c>
      <c r="G21">
        <v>579</v>
      </c>
      <c r="H21" t="s">
        <v>1451</v>
      </c>
      <c r="I21" s="81" t="s">
        <v>1946</v>
      </c>
      <c r="J21" t="str">
        <f t="shared" si="0"/>
        <v>INSERT INTO tbFinanceItemSeq(Report,ItemSeqID,ItemSN,ItemID) VALUES('BSD',20,20,579)</v>
      </c>
      <c r="K21" t="str">
        <f t="shared" si="1"/>
        <v/>
      </c>
    </row>
    <row r="22" spans="1:11">
      <c r="A22" t="s">
        <v>74</v>
      </c>
      <c r="B22" t="s">
        <v>1433</v>
      </c>
      <c r="C22">
        <v>21</v>
      </c>
      <c r="D22">
        <v>21</v>
      </c>
      <c r="E22">
        <v>21</v>
      </c>
      <c r="F22">
        <v>21</v>
      </c>
      <c r="G22">
        <v>580</v>
      </c>
      <c r="H22" t="s">
        <v>1452</v>
      </c>
      <c r="I22" s="81" t="s">
        <v>1947</v>
      </c>
      <c r="J22" t="str">
        <f t="shared" si="0"/>
        <v>INSERT INTO tbFinanceItemSeq(Report,ItemSeqID,ItemSN,ItemID) VALUES('BSD',21,21,580)</v>
      </c>
      <c r="K22" t="str">
        <f t="shared" si="1"/>
        <v/>
      </c>
    </row>
    <row r="23" spans="1:11">
      <c r="A23" t="s">
        <v>74</v>
      </c>
      <c r="B23" t="s">
        <v>1433</v>
      </c>
      <c r="C23">
        <v>22</v>
      </c>
      <c r="D23">
        <v>22</v>
      </c>
      <c r="E23">
        <v>22</v>
      </c>
      <c r="F23">
        <v>22</v>
      </c>
      <c r="G23">
        <v>581</v>
      </c>
      <c r="H23" t="s">
        <v>1453</v>
      </c>
      <c r="I23" s="81" t="s">
        <v>1948</v>
      </c>
      <c r="J23" t="str">
        <f t="shared" si="0"/>
        <v>INSERT INTO tbFinanceItemSeq(Report,ItemSeqID,ItemSN,ItemID) VALUES('BSD',22,22,581)</v>
      </c>
      <c r="K23" t="str">
        <f t="shared" si="1"/>
        <v/>
      </c>
    </row>
    <row r="24" spans="1:11">
      <c r="A24" t="s">
        <v>74</v>
      </c>
      <c r="B24" t="s">
        <v>1433</v>
      </c>
      <c r="C24">
        <v>23</v>
      </c>
      <c r="D24">
        <v>23</v>
      </c>
      <c r="E24">
        <v>23</v>
      </c>
      <c r="F24">
        <v>23</v>
      </c>
      <c r="G24">
        <v>582</v>
      </c>
      <c r="H24" t="s">
        <v>1454</v>
      </c>
      <c r="I24" s="81" t="s">
        <v>1949</v>
      </c>
      <c r="J24" t="str">
        <f t="shared" si="0"/>
        <v>INSERT INTO tbFinanceItemSeq(Report,ItemSeqID,ItemSN,ItemID) VALUES('BSD',23,23,582)</v>
      </c>
      <c r="K24" t="str">
        <f t="shared" si="1"/>
        <v/>
      </c>
    </row>
    <row r="25" spans="1:11">
      <c r="A25" t="s">
        <v>74</v>
      </c>
      <c r="B25" t="s">
        <v>1433</v>
      </c>
      <c r="C25">
        <v>24</v>
      </c>
      <c r="D25">
        <v>24</v>
      </c>
      <c r="E25">
        <v>24</v>
      </c>
      <c r="F25">
        <v>24</v>
      </c>
      <c r="G25">
        <v>583</v>
      </c>
      <c r="H25" t="s">
        <v>1455</v>
      </c>
      <c r="I25" s="81" t="s">
        <v>1950</v>
      </c>
      <c r="J25" t="str">
        <f t="shared" si="0"/>
        <v>INSERT INTO tbFinanceItemSeq(Report,ItemSeqID,ItemSN,ItemID) VALUES('BSD',24,24,583)</v>
      </c>
      <c r="K25" t="str">
        <f t="shared" si="1"/>
        <v/>
      </c>
    </row>
    <row r="26" spans="1:11">
      <c r="A26" t="s">
        <v>74</v>
      </c>
      <c r="B26" t="s">
        <v>1433</v>
      </c>
      <c r="C26">
        <v>25</v>
      </c>
      <c r="D26">
        <v>25</v>
      </c>
      <c r="E26">
        <v>25</v>
      </c>
      <c r="F26">
        <v>25</v>
      </c>
      <c r="G26">
        <v>584</v>
      </c>
      <c r="H26" t="s">
        <v>1456</v>
      </c>
      <c r="I26" s="81" t="s">
        <v>1951</v>
      </c>
      <c r="J26" t="str">
        <f t="shared" si="0"/>
        <v>INSERT INTO tbFinanceItemSeq(Report,ItemSeqID,ItemSN,ItemID) VALUES('BSD',25,25,584)</v>
      </c>
      <c r="K26" t="str">
        <f t="shared" si="1"/>
        <v/>
      </c>
    </row>
    <row r="27" spans="1:11">
      <c r="A27" t="s">
        <v>74</v>
      </c>
      <c r="B27" t="s">
        <v>1433</v>
      </c>
      <c r="C27">
        <v>26</v>
      </c>
      <c r="D27">
        <v>26</v>
      </c>
      <c r="E27">
        <v>26</v>
      </c>
      <c r="F27">
        <v>26</v>
      </c>
      <c r="G27">
        <v>585</v>
      </c>
      <c r="H27" t="s">
        <v>1457</v>
      </c>
      <c r="I27" s="81" t="s">
        <v>1952</v>
      </c>
      <c r="J27" t="str">
        <f t="shared" si="0"/>
        <v>INSERT INTO tbFinanceItemSeq(Report,ItemSeqID,ItemSN,ItemID) VALUES('BSD',26,26,585)</v>
      </c>
      <c r="K27" t="str">
        <f t="shared" si="1"/>
        <v/>
      </c>
    </row>
    <row r="28" spans="1:11" s="3" customFormat="1">
      <c r="A28" s="3" t="s">
        <v>75</v>
      </c>
      <c r="B28" s="3" t="s">
        <v>1433</v>
      </c>
      <c r="C28" s="3">
        <v>27</v>
      </c>
      <c r="E28" s="3">
        <v>27</v>
      </c>
      <c r="G28" s="3" t="str">
        <f>CONCATENATE("(SELECT top 1 ItemID FROM tbFinanceItem where ItemName = '",H28,"')")</f>
        <v>(SELECT top 1 ItemID FROM tbFinanceItem where ItemName = '(BSD)Due from Interco-Non-Trade Clearing')</v>
      </c>
      <c r="H28" s="3" t="s">
        <v>1889</v>
      </c>
      <c r="I28" s="81" t="s">
        <v>1953</v>
      </c>
      <c r="J28" s="3" t="str">
        <f t="shared" si="0"/>
        <v>INSERT INTO tbFinanceItemSeq(Report,ItemSeqID,ItemSN,ItemID) VALUES('BSD',27,27,(SELECT top 1 ItemID FROM tbFinanceItem where ItemName = '(BSD)Due from Interco-Non-Trade Clearing'))</v>
      </c>
      <c r="K28" t="str">
        <f>IF(A28&lt;&gt;"New","",CONCATENATE("INSERT INTO tbFinanceItem(ItemName) VALUES('",H28,"')"))</f>
        <v>INSERT INTO tbFinanceItem(ItemName) VALUES('(BSD)Due from Interco-Non-Trade Clearing')</v>
      </c>
    </row>
    <row r="29" spans="1:11">
      <c r="A29" t="s">
        <v>74</v>
      </c>
      <c r="B29" t="s">
        <v>1433</v>
      </c>
      <c r="C29">
        <v>28</v>
      </c>
      <c r="D29">
        <v>28</v>
      </c>
      <c r="E29">
        <v>28</v>
      </c>
      <c r="F29">
        <v>28</v>
      </c>
      <c r="G29">
        <v>586</v>
      </c>
      <c r="H29" t="s">
        <v>1458</v>
      </c>
      <c r="I29" s="81" t="s">
        <v>1954</v>
      </c>
      <c r="J29" t="str">
        <f t="shared" si="0"/>
        <v>INSERT INTO tbFinanceItemSeq(Report,ItemSeqID,ItemSN,ItemID) VALUES('BSD',28,28,586)</v>
      </c>
      <c r="K29" t="str">
        <f t="shared" si="1"/>
        <v/>
      </c>
    </row>
    <row r="30" spans="1:11">
      <c r="A30" t="s">
        <v>74</v>
      </c>
      <c r="B30" t="s">
        <v>1433</v>
      </c>
      <c r="C30">
        <v>29</v>
      </c>
      <c r="D30">
        <v>29</v>
      </c>
      <c r="E30">
        <v>29</v>
      </c>
      <c r="F30">
        <v>29</v>
      </c>
      <c r="G30">
        <v>587</v>
      </c>
      <c r="H30" t="s">
        <v>1459</v>
      </c>
      <c r="I30" s="81" t="s">
        <v>1955</v>
      </c>
      <c r="J30" t="str">
        <f t="shared" si="0"/>
        <v>INSERT INTO tbFinanceItemSeq(Report,ItemSeqID,ItemSN,ItemID) VALUES('BSD',29,29,587)</v>
      </c>
      <c r="K30" t="str">
        <f t="shared" si="1"/>
        <v/>
      </c>
    </row>
    <row r="31" spans="1:11">
      <c r="A31" t="s">
        <v>74</v>
      </c>
      <c r="B31" t="s">
        <v>1433</v>
      </c>
      <c r="C31">
        <v>30</v>
      </c>
      <c r="D31">
        <v>30</v>
      </c>
      <c r="E31">
        <v>30</v>
      </c>
      <c r="F31">
        <v>30</v>
      </c>
      <c r="G31">
        <v>588</v>
      </c>
      <c r="H31" t="s">
        <v>1460</v>
      </c>
      <c r="I31" s="81" t="s">
        <v>1956</v>
      </c>
      <c r="J31" t="str">
        <f t="shared" si="0"/>
        <v>INSERT INTO tbFinanceItemSeq(Report,ItemSeqID,ItemSN,ItemID) VALUES('BSD',30,30,588)</v>
      </c>
      <c r="K31" t="str">
        <f t="shared" si="1"/>
        <v/>
      </c>
    </row>
    <row r="32" spans="1:11">
      <c r="A32" t="s">
        <v>74</v>
      </c>
      <c r="B32" t="s">
        <v>1433</v>
      </c>
      <c r="C32">
        <v>31</v>
      </c>
      <c r="D32">
        <v>31</v>
      </c>
      <c r="E32">
        <v>31</v>
      </c>
      <c r="F32">
        <v>31</v>
      </c>
      <c r="G32">
        <v>589</v>
      </c>
      <c r="H32" t="s">
        <v>1461</v>
      </c>
      <c r="I32" s="81" t="s">
        <v>1957</v>
      </c>
      <c r="J32" t="str">
        <f t="shared" si="0"/>
        <v>INSERT INTO tbFinanceItemSeq(Report,ItemSeqID,ItemSN,ItemID) VALUES('BSD',31,31,589)</v>
      </c>
      <c r="K32" t="str">
        <f>IF(A32&lt;&gt;"New","",CONCATENATE("INSERT INTO tbFinanceItem(ItemName) VALUES('",H32,"')"))</f>
        <v/>
      </c>
    </row>
    <row r="33" spans="1:11">
      <c r="A33" t="s">
        <v>74</v>
      </c>
      <c r="B33" t="s">
        <v>1433</v>
      </c>
      <c r="C33">
        <v>32</v>
      </c>
      <c r="D33">
        <v>32</v>
      </c>
      <c r="E33">
        <v>32</v>
      </c>
      <c r="F33">
        <v>32</v>
      </c>
      <c r="G33">
        <v>590</v>
      </c>
      <c r="H33" t="s">
        <v>1462</v>
      </c>
      <c r="I33" s="81" t="s">
        <v>1958</v>
      </c>
      <c r="J33" t="str">
        <f t="shared" si="0"/>
        <v>INSERT INTO tbFinanceItemSeq(Report,ItemSeqID,ItemSN,ItemID) VALUES('BSD',32,32,590)</v>
      </c>
      <c r="K33" t="str">
        <f t="shared" si="1"/>
        <v/>
      </c>
    </row>
    <row r="34" spans="1:11">
      <c r="A34" t="s">
        <v>74</v>
      </c>
      <c r="B34" t="s">
        <v>1433</v>
      </c>
      <c r="C34">
        <v>33</v>
      </c>
      <c r="D34">
        <v>33</v>
      </c>
      <c r="E34">
        <v>33</v>
      </c>
      <c r="F34">
        <v>33</v>
      </c>
      <c r="G34">
        <v>591</v>
      </c>
      <c r="H34" t="s">
        <v>1463</v>
      </c>
      <c r="I34" s="81" t="s">
        <v>1959</v>
      </c>
      <c r="J34" t="str">
        <f t="shared" si="0"/>
        <v>INSERT INTO tbFinanceItemSeq(Report,ItemSeqID,ItemSN,ItemID) VALUES('BSD',33,33,591)</v>
      </c>
      <c r="K34" t="str">
        <f t="shared" si="1"/>
        <v/>
      </c>
    </row>
    <row r="35" spans="1:11">
      <c r="A35" t="s">
        <v>74</v>
      </c>
      <c r="B35" t="s">
        <v>1433</v>
      </c>
      <c r="C35">
        <v>34</v>
      </c>
      <c r="D35">
        <v>34</v>
      </c>
      <c r="E35">
        <v>34</v>
      </c>
      <c r="F35">
        <v>34</v>
      </c>
      <c r="G35">
        <v>592</v>
      </c>
      <c r="H35" t="s">
        <v>1464</v>
      </c>
      <c r="I35" s="81" t="s">
        <v>1960</v>
      </c>
      <c r="J35" t="str">
        <f t="shared" si="0"/>
        <v>INSERT INTO tbFinanceItemSeq(Report,ItemSeqID,ItemSN,ItemID) VALUES('BSD',34,34,592)</v>
      </c>
      <c r="K35" t="str">
        <f t="shared" si="1"/>
        <v/>
      </c>
    </row>
    <row r="36" spans="1:11">
      <c r="A36" t="s">
        <v>74</v>
      </c>
      <c r="B36" t="s">
        <v>1433</v>
      </c>
      <c r="C36">
        <v>35</v>
      </c>
      <c r="D36">
        <v>35</v>
      </c>
      <c r="E36">
        <v>35</v>
      </c>
      <c r="F36">
        <v>35</v>
      </c>
      <c r="G36">
        <v>593</v>
      </c>
      <c r="H36" t="s">
        <v>1465</v>
      </c>
      <c r="I36" s="81" t="s">
        <v>1961</v>
      </c>
      <c r="J36" t="str">
        <f t="shared" si="0"/>
        <v>INSERT INTO tbFinanceItemSeq(Report,ItemSeqID,ItemSN,ItemID) VALUES('BSD',35,35,593)</v>
      </c>
      <c r="K36" t="str">
        <f t="shared" si="1"/>
        <v/>
      </c>
    </row>
    <row r="37" spans="1:11">
      <c r="A37" t="s">
        <v>74</v>
      </c>
      <c r="B37" t="s">
        <v>1433</v>
      </c>
      <c r="C37">
        <v>36</v>
      </c>
      <c r="D37">
        <v>36</v>
      </c>
      <c r="E37">
        <v>36</v>
      </c>
      <c r="F37">
        <v>36</v>
      </c>
      <c r="G37">
        <v>594</v>
      </c>
      <c r="H37" t="s">
        <v>1466</v>
      </c>
      <c r="I37" s="81" t="s">
        <v>1962</v>
      </c>
      <c r="J37" t="str">
        <f t="shared" si="0"/>
        <v>INSERT INTO tbFinanceItemSeq(Report,ItemSeqID,ItemSN,ItemID) VALUES('BSD',36,36,594)</v>
      </c>
      <c r="K37" t="str">
        <f t="shared" si="1"/>
        <v/>
      </c>
    </row>
    <row r="38" spans="1:11">
      <c r="A38" t="s">
        <v>74</v>
      </c>
      <c r="B38" t="s">
        <v>1433</v>
      </c>
      <c r="C38">
        <v>37</v>
      </c>
      <c r="D38">
        <v>37</v>
      </c>
      <c r="E38">
        <v>37</v>
      </c>
      <c r="F38">
        <v>37</v>
      </c>
      <c r="G38">
        <v>595</v>
      </c>
      <c r="H38" t="s">
        <v>1467</v>
      </c>
      <c r="I38" s="81" t="s">
        <v>1963</v>
      </c>
      <c r="J38" t="str">
        <f t="shared" si="0"/>
        <v>INSERT INTO tbFinanceItemSeq(Report,ItemSeqID,ItemSN,ItemID) VALUES('BSD',37,37,595)</v>
      </c>
      <c r="K38" t="str">
        <f t="shared" si="1"/>
        <v/>
      </c>
    </row>
    <row r="39" spans="1:11">
      <c r="A39" t="s">
        <v>74</v>
      </c>
      <c r="B39" t="s">
        <v>1433</v>
      </c>
      <c r="C39">
        <v>38</v>
      </c>
      <c r="D39">
        <v>38</v>
      </c>
      <c r="E39">
        <v>38</v>
      </c>
      <c r="F39">
        <v>38</v>
      </c>
      <c r="G39">
        <v>596</v>
      </c>
      <c r="H39" t="s">
        <v>1468</v>
      </c>
      <c r="I39" s="81" t="s">
        <v>1964</v>
      </c>
      <c r="J39" t="str">
        <f t="shared" si="0"/>
        <v>INSERT INTO tbFinanceItemSeq(Report,ItemSeqID,ItemSN,ItemID) VALUES('BSD',38,38,596)</v>
      </c>
      <c r="K39" t="str">
        <f t="shared" si="1"/>
        <v/>
      </c>
    </row>
    <row r="40" spans="1:11">
      <c r="A40" t="s">
        <v>74</v>
      </c>
      <c r="B40" t="s">
        <v>1433</v>
      </c>
      <c r="C40">
        <v>39</v>
      </c>
      <c r="D40">
        <v>39</v>
      </c>
      <c r="E40">
        <v>39</v>
      </c>
      <c r="F40">
        <v>39</v>
      </c>
      <c r="G40">
        <v>597</v>
      </c>
      <c r="H40" t="s">
        <v>1469</v>
      </c>
      <c r="I40" s="81" t="s">
        <v>1965</v>
      </c>
      <c r="J40" t="str">
        <f t="shared" si="0"/>
        <v>INSERT INTO tbFinanceItemSeq(Report,ItemSeqID,ItemSN,ItemID) VALUES('BSD',39,39,597)</v>
      </c>
      <c r="K40" t="str">
        <f t="shared" si="1"/>
        <v/>
      </c>
    </row>
    <row r="41" spans="1:11" s="3" customFormat="1">
      <c r="A41" s="3" t="s">
        <v>75</v>
      </c>
      <c r="B41" s="3" t="s">
        <v>1433</v>
      </c>
      <c r="C41" s="3">
        <v>40</v>
      </c>
      <c r="E41" s="3">
        <v>40</v>
      </c>
      <c r="G41" s="3" t="str">
        <f>CONCATENATE("(SELECT top 1 ItemID FROM tbFinanceItem where ItemName = '",H41,"')")</f>
        <v>(SELECT top 1 ItemID FROM tbFinanceItem where ItemName = '(BSD)Due from Assoc-Non-Trade Clearing')</v>
      </c>
      <c r="H41" s="3" t="s">
        <v>1890</v>
      </c>
      <c r="I41" s="81" t="s">
        <v>1966</v>
      </c>
      <c r="J41" s="3" t="str">
        <f t="shared" si="0"/>
        <v>INSERT INTO tbFinanceItemSeq(Report,ItemSeqID,ItemSN,ItemID) VALUES('BSD',40,40,(SELECT top 1 ItemID FROM tbFinanceItem where ItemName = '(BSD)Due from Assoc-Non-Trade Clearing'))</v>
      </c>
      <c r="K41" t="str">
        <f t="shared" si="1"/>
        <v>INSERT INTO tbFinanceItem(ItemName) VALUES('(BSD)Due from Assoc-Non-Trade Clearing')</v>
      </c>
    </row>
    <row r="42" spans="1:11">
      <c r="A42" t="s">
        <v>74</v>
      </c>
      <c r="B42" t="s">
        <v>1433</v>
      </c>
      <c r="C42">
        <v>41</v>
      </c>
      <c r="D42">
        <v>40</v>
      </c>
      <c r="E42">
        <v>41</v>
      </c>
      <c r="F42">
        <v>40</v>
      </c>
      <c r="G42">
        <v>598</v>
      </c>
      <c r="H42" t="s">
        <v>1470</v>
      </c>
      <c r="I42" s="81" t="s">
        <v>1967</v>
      </c>
      <c r="J42" t="str">
        <f t="shared" si="0"/>
        <v>INSERT INTO tbFinanceItemSeq(Report,ItemSeqID,ItemSN,ItemID) VALUES('BSD',41,41,598)</v>
      </c>
      <c r="K42" t="str">
        <f t="shared" si="1"/>
        <v/>
      </c>
    </row>
    <row r="43" spans="1:11">
      <c r="A43" t="s">
        <v>74</v>
      </c>
      <c r="B43" t="s">
        <v>1433</v>
      </c>
      <c r="C43">
        <v>42</v>
      </c>
      <c r="D43">
        <v>41</v>
      </c>
      <c r="E43">
        <v>42</v>
      </c>
      <c r="F43">
        <v>41</v>
      </c>
      <c r="G43">
        <v>599</v>
      </c>
      <c r="H43" t="s">
        <v>1471</v>
      </c>
      <c r="I43" s="81" t="s">
        <v>1968</v>
      </c>
      <c r="J43" t="str">
        <f t="shared" si="0"/>
        <v>INSERT INTO tbFinanceItemSeq(Report,ItemSeqID,ItemSN,ItemID) VALUES('BSD',42,42,599)</v>
      </c>
      <c r="K43" t="str">
        <f t="shared" si="1"/>
        <v/>
      </c>
    </row>
    <row r="44" spans="1:11">
      <c r="A44" t="s">
        <v>74</v>
      </c>
      <c r="B44" t="s">
        <v>1433</v>
      </c>
      <c r="C44">
        <v>43</v>
      </c>
      <c r="D44">
        <v>42</v>
      </c>
      <c r="E44">
        <v>43</v>
      </c>
      <c r="F44">
        <v>42</v>
      </c>
      <c r="G44">
        <v>600</v>
      </c>
      <c r="H44" t="s">
        <v>1472</v>
      </c>
      <c r="I44" s="81" t="s">
        <v>1969</v>
      </c>
      <c r="J44" t="str">
        <f t="shared" si="0"/>
        <v>INSERT INTO tbFinanceItemSeq(Report,ItemSeqID,ItemSN,ItemID) VALUES('BSD',43,43,600)</v>
      </c>
      <c r="K44" t="str">
        <f t="shared" si="1"/>
        <v/>
      </c>
    </row>
    <row r="45" spans="1:11">
      <c r="A45" t="s">
        <v>74</v>
      </c>
      <c r="B45" t="s">
        <v>1433</v>
      </c>
      <c r="C45">
        <v>44</v>
      </c>
      <c r="D45">
        <v>43</v>
      </c>
      <c r="E45">
        <v>44</v>
      </c>
      <c r="F45">
        <v>43</v>
      </c>
      <c r="G45">
        <v>601</v>
      </c>
      <c r="H45" t="s">
        <v>1473</v>
      </c>
      <c r="I45" s="81" t="s">
        <v>1970</v>
      </c>
      <c r="J45" t="str">
        <f t="shared" si="0"/>
        <v>INSERT INTO tbFinanceItemSeq(Report,ItemSeqID,ItemSN,ItemID) VALUES('BSD',44,44,601)</v>
      </c>
      <c r="K45" t="str">
        <f t="shared" si="1"/>
        <v/>
      </c>
    </row>
    <row r="46" spans="1:11" s="3" customFormat="1">
      <c r="A46" s="3" t="s">
        <v>75</v>
      </c>
      <c r="B46" s="3" t="s">
        <v>1433</v>
      </c>
      <c r="C46" s="3">
        <v>45</v>
      </c>
      <c r="D46" s="3">
        <v>44</v>
      </c>
      <c r="E46" s="3">
        <v>45</v>
      </c>
      <c r="F46" s="3">
        <v>44</v>
      </c>
      <c r="G46" s="3" t="str">
        <f>CONCATENATE("(SELECT top 1 ItemID FROM tbFinanceItem where ItemName = '",H46,"')")</f>
        <v>(SELECT top 1 ItemID FROM tbFinanceItem where ItemName = '(BSD)Due from Rel-Non-Trade Clearing')</v>
      </c>
      <c r="H46" s="3" t="s">
        <v>1891</v>
      </c>
      <c r="I46" s="132" t="s">
        <v>1971</v>
      </c>
      <c r="J46" s="3" t="str">
        <f t="shared" si="0"/>
        <v>INSERT INTO tbFinanceItemSeq(Report,ItemSeqID,ItemSN,ItemID) VALUES('BSD',45,45,(SELECT top 1 ItemID FROM tbFinanceItem where ItemName = '(BSD)Due from Rel-Non-Trade Clearing'))</v>
      </c>
      <c r="K46" s="3" t="str">
        <f t="shared" si="1"/>
        <v>INSERT INTO tbFinanceItem(ItemName) VALUES('(BSD)Due from Rel-Non-Trade Clearing')</v>
      </c>
    </row>
    <row r="47" spans="1:11">
      <c r="A47" t="s">
        <v>74</v>
      </c>
      <c r="B47" t="s">
        <v>1433</v>
      </c>
      <c r="C47">
        <v>46</v>
      </c>
      <c r="D47">
        <v>45</v>
      </c>
      <c r="E47">
        <v>46</v>
      </c>
      <c r="F47">
        <v>45</v>
      </c>
      <c r="G47">
        <v>602</v>
      </c>
      <c r="H47" t="s">
        <v>1474</v>
      </c>
      <c r="I47" s="81" t="s">
        <v>1972</v>
      </c>
      <c r="J47" t="str">
        <f t="shared" si="0"/>
        <v>INSERT INTO tbFinanceItemSeq(Report,ItemSeqID,ItemSN,ItemID) VALUES('BSD',46,46,602)</v>
      </c>
      <c r="K47" t="str">
        <f t="shared" si="1"/>
        <v/>
      </c>
    </row>
    <row r="48" spans="1:11">
      <c r="A48" t="s">
        <v>74</v>
      </c>
      <c r="B48" t="s">
        <v>1433</v>
      </c>
      <c r="C48">
        <v>47</v>
      </c>
      <c r="D48">
        <v>46</v>
      </c>
      <c r="E48">
        <v>47</v>
      </c>
      <c r="F48">
        <v>46</v>
      </c>
      <c r="G48">
        <v>603</v>
      </c>
      <c r="H48" t="s">
        <v>1475</v>
      </c>
      <c r="I48" s="81" t="s">
        <v>1973</v>
      </c>
      <c r="J48" t="str">
        <f t="shared" si="0"/>
        <v>INSERT INTO tbFinanceItemSeq(Report,ItemSeqID,ItemSN,ItemID) VALUES('BSD',47,47,603)</v>
      </c>
      <c r="K48" t="str">
        <f t="shared" si="1"/>
        <v/>
      </c>
    </row>
    <row r="49" spans="1:11">
      <c r="A49" t="s">
        <v>74</v>
      </c>
      <c r="B49" t="s">
        <v>1433</v>
      </c>
      <c r="C49">
        <v>48</v>
      </c>
      <c r="D49">
        <v>47</v>
      </c>
      <c r="E49">
        <v>48</v>
      </c>
      <c r="F49">
        <v>47</v>
      </c>
      <c r="G49">
        <v>604</v>
      </c>
      <c r="H49" t="s">
        <v>1476</v>
      </c>
      <c r="I49" s="81" t="s">
        <v>1974</v>
      </c>
      <c r="J49" t="str">
        <f t="shared" si="0"/>
        <v>INSERT INTO tbFinanceItemSeq(Report,ItemSeqID,ItemSN,ItemID) VALUES('BSD',48,48,604)</v>
      </c>
      <c r="K49" t="str">
        <f t="shared" si="1"/>
        <v/>
      </c>
    </row>
    <row r="50" spans="1:11" s="2" customFormat="1">
      <c r="A50" s="2" t="s">
        <v>76</v>
      </c>
      <c r="B50" s="2" t="s">
        <v>1433</v>
      </c>
      <c r="C50" s="2">
        <v>49</v>
      </c>
      <c r="D50" s="2">
        <v>48</v>
      </c>
      <c r="E50" s="2">
        <v>49</v>
      </c>
      <c r="F50" s="2">
        <v>48</v>
      </c>
      <c r="G50" s="2">
        <v>605</v>
      </c>
      <c r="H50" s="2" t="s">
        <v>1477</v>
      </c>
      <c r="I50" s="81"/>
      <c r="J50" s="2" t="str">
        <f t="shared" si="0"/>
        <v xml:space="preserve"> </v>
      </c>
      <c r="K50" t="str">
        <f t="shared" si="1"/>
        <v/>
      </c>
    </row>
    <row r="51" spans="1:11">
      <c r="A51" t="s">
        <v>74</v>
      </c>
      <c r="B51" t="s">
        <v>1433</v>
      </c>
      <c r="C51">
        <v>49</v>
      </c>
      <c r="D51">
        <v>49</v>
      </c>
      <c r="E51">
        <v>49</v>
      </c>
      <c r="F51">
        <v>49</v>
      </c>
      <c r="G51">
        <v>606</v>
      </c>
      <c r="H51" t="s">
        <v>1478</v>
      </c>
      <c r="I51" s="81" t="s">
        <v>1975</v>
      </c>
      <c r="J51" t="str">
        <f t="shared" si="0"/>
        <v>INSERT INTO tbFinanceItemSeq(Report,ItemSeqID,ItemSN,ItemID) VALUES('BSD',49,49,606)</v>
      </c>
      <c r="K51" t="str">
        <f t="shared" si="1"/>
        <v/>
      </c>
    </row>
    <row r="52" spans="1:11">
      <c r="A52" t="s">
        <v>74</v>
      </c>
      <c r="B52" t="s">
        <v>1433</v>
      </c>
      <c r="C52">
        <v>50</v>
      </c>
      <c r="D52">
        <v>50</v>
      </c>
      <c r="E52">
        <v>50</v>
      </c>
      <c r="F52">
        <v>50</v>
      </c>
      <c r="G52">
        <v>607</v>
      </c>
      <c r="H52" t="s">
        <v>1479</v>
      </c>
      <c r="I52" s="81" t="s">
        <v>1976</v>
      </c>
      <c r="J52" t="str">
        <f t="shared" si="0"/>
        <v>INSERT INTO tbFinanceItemSeq(Report,ItemSeqID,ItemSN,ItemID) VALUES('BSD',50,50,607)</v>
      </c>
      <c r="K52" t="str">
        <f t="shared" si="1"/>
        <v/>
      </c>
    </row>
    <row r="53" spans="1:11">
      <c r="A53" t="s">
        <v>74</v>
      </c>
      <c r="B53" t="s">
        <v>1433</v>
      </c>
      <c r="C53">
        <v>51</v>
      </c>
      <c r="D53">
        <v>51</v>
      </c>
      <c r="E53">
        <v>51</v>
      </c>
      <c r="F53">
        <v>51</v>
      </c>
      <c r="G53">
        <v>608</v>
      </c>
      <c r="H53" t="s">
        <v>1480</v>
      </c>
      <c r="I53" s="81" t="s">
        <v>1977</v>
      </c>
      <c r="J53" t="str">
        <f t="shared" si="0"/>
        <v>INSERT INTO tbFinanceItemSeq(Report,ItemSeqID,ItemSN,ItemID) VALUES('BSD',51,51,608)</v>
      </c>
      <c r="K53" t="str">
        <f t="shared" si="1"/>
        <v/>
      </c>
    </row>
    <row r="54" spans="1:11">
      <c r="A54" t="s">
        <v>74</v>
      </c>
      <c r="B54" t="s">
        <v>1433</v>
      </c>
      <c r="C54">
        <v>52</v>
      </c>
      <c r="D54">
        <v>52</v>
      </c>
      <c r="E54">
        <v>52</v>
      </c>
      <c r="F54">
        <v>52</v>
      </c>
      <c r="G54">
        <v>609</v>
      </c>
      <c r="H54" t="s">
        <v>1481</v>
      </c>
      <c r="I54" s="81" t="s">
        <v>1978</v>
      </c>
      <c r="J54" t="str">
        <f t="shared" si="0"/>
        <v>INSERT INTO tbFinanceItemSeq(Report,ItemSeqID,ItemSN,ItemID) VALUES('BSD',52,52,609)</v>
      </c>
      <c r="K54" t="str">
        <f t="shared" si="1"/>
        <v/>
      </c>
    </row>
    <row r="55" spans="1:11">
      <c r="A55" t="s">
        <v>74</v>
      </c>
      <c r="B55" t="s">
        <v>1433</v>
      </c>
      <c r="C55">
        <v>53</v>
      </c>
      <c r="D55">
        <v>53</v>
      </c>
      <c r="E55">
        <v>53</v>
      </c>
      <c r="F55">
        <v>53</v>
      </c>
      <c r="G55">
        <v>610</v>
      </c>
      <c r="H55" t="s">
        <v>1482</v>
      </c>
      <c r="I55" s="81" t="s">
        <v>1979</v>
      </c>
      <c r="J55" t="str">
        <f t="shared" si="0"/>
        <v>INSERT INTO tbFinanceItemSeq(Report,ItemSeqID,ItemSN,ItemID) VALUES('BSD',53,53,610)</v>
      </c>
      <c r="K55" t="str">
        <f t="shared" si="1"/>
        <v/>
      </c>
    </row>
    <row r="56" spans="1:11">
      <c r="A56" t="s">
        <v>74</v>
      </c>
      <c r="B56" t="s">
        <v>1433</v>
      </c>
      <c r="C56">
        <v>54</v>
      </c>
      <c r="D56">
        <v>54</v>
      </c>
      <c r="E56">
        <v>54</v>
      </c>
      <c r="F56">
        <v>54</v>
      </c>
      <c r="G56">
        <v>611</v>
      </c>
      <c r="H56" t="s">
        <v>1483</v>
      </c>
      <c r="I56" s="81" t="s">
        <v>1980</v>
      </c>
      <c r="J56" t="str">
        <f t="shared" si="0"/>
        <v>INSERT INTO tbFinanceItemSeq(Report,ItemSeqID,ItemSN,ItemID) VALUES('BSD',54,54,611)</v>
      </c>
      <c r="K56" t="str">
        <f t="shared" si="1"/>
        <v/>
      </c>
    </row>
    <row r="57" spans="1:11">
      <c r="A57" t="s">
        <v>74</v>
      </c>
      <c r="B57" t="s">
        <v>1433</v>
      </c>
      <c r="C57">
        <v>55</v>
      </c>
      <c r="D57">
        <v>55</v>
      </c>
      <c r="E57">
        <v>55</v>
      </c>
      <c r="F57">
        <v>55</v>
      </c>
      <c r="G57">
        <v>612</v>
      </c>
      <c r="H57" t="s">
        <v>1484</v>
      </c>
      <c r="I57" s="81" t="s">
        <v>1981</v>
      </c>
      <c r="J57" t="str">
        <f>IF(A57&lt;&gt;"Remove",CONCATENATE("INSERT INTO tbFinanceItemSeq(Report,ItemSeqID,ItemSN,ItemID) VALUES('",B57,"',",C57,",",E57,",",G57,")")," ")</f>
        <v>INSERT INTO tbFinanceItemSeq(Report,ItemSeqID,ItemSN,ItemID) VALUES('BSD',55,55,612)</v>
      </c>
      <c r="K57" t="str">
        <f t="shared" si="1"/>
        <v/>
      </c>
    </row>
    <row r="58" spans="1:11">
      <c r="A58" t="s">
        <v>74</v>
      </c>
      <c r="B58" t="s">
        <v>1433</v>
      </c>
      <c r="C58">
        <v>56</v>
      </c>
      <c r="D58">
        <v>56</v>
      </c>
      <c r="E58">
        <v>56</v>
      </c>
      <c r="F58">
        <v>56</v>
      </c>
      <c r="G58">
        <v>613</v>
      </c>
      <c r="H58" t="s">
        <v>1485</v>
      </c>
      <c r="I58" s="81" t="s">
        <v>1982</v>
      </c>
      <c r="J58" t="str">
        <f t="shared" si="0"/>
        <v>INSERT INTO tbFinanceItemSeq(Report,ItemSeqID,ItemSN,ItemID) VALUES('BSD',56,56,613)</v>
      </c>
      <c r="K58" t="str">
        <f t="shared" si="1"/>
        <v/>
      </c>
    </row>
    <row r="59" spans="1:11" s="2" customFormat="1">
      <c r="A59" s="2" t="s">
        <v>76</v>
      </c>
      <c r="B59" s="2" t="s">
        <v>1433</v>
      </c>
      <c r="C59" s="2">
        <v>57</v>
      </c>
      <c r="D59" s="2">
        <v>57</v>
      </c>
      <c r="E59" s="2">
        <v>57</v>
      </c>
      <c r="F59" s="2">
        <v>57</v>
      </c>
      <c r="G59" s="2">
        <v>614</v>
      </c>
      <c r="H59" s="2" t="s">
        <v>1486</v>
      </c>
      <c r="I59" s="81"/>
      <c r="J59" s="2" t="str">
        <f t="shared" si="0"/>
        <v xml:space="preserve"> </v>
      </c>
      <c r="K59" t="str">
        <f t="shared" si="1"/>
        <v/>
      </c>
    </row>
    <row r="60" spans="1:11">
      <c r="A60" t="s">
        <v>74</v>
      </c>
      <c r="B60" t="s">
        <v>1433</v>
      </c>
      <c r="C60">
        <v>57</v>
      </c>
      <c r="D60">
        <v>58</v>
      </c>
      <c r="E60">
        <v>57</v>
      </c>
      <c r="F60">
        <v>58</v>
      </c>
      <c r="G60">
        <v>615</v>
      </c>
      <c r="H60" t="s">
        <v>1487</v>
      </c>
      <c r="I60" s="81" t="s">
        <v>1983</v>
      </c>
      <c r="J60" t="str">
        <f t="shared" si="0"/>
        <v>INSERT INTO tbFinanceItemSeq(Report,ItemSeqID,ItemSN,ItemID) VALUES('BSD',57,57,615)</v>
      </c>
      <c r="K60" t="str">
        <f t="shared" si="1"/>
        <v/>
      </c>
    </row>
    <row r="61" spans="1:11">
      <c r="A61" t="s">
        <v>74</v>
      </c>
      <c r="B61" t="s">
        <v>1433</v>
      </c>
      <c r="C61">
        <v>58</v>
      </c>
      <c r="D61">
        <v>59</v>
      </c>
      <c r="E61">
        <v>58</v>
      </c>
      <c r="F61">
        <v>59</v>
      </c>
      <c r="G61">
        <v>616</v>
      </c>
      <c r="H61" t="s">
        <v>1488</v>
      </c>
      <c r="I61" s="81" t="s">
        <v>1984</v>
      </c>
      <c r="J61" t="str">
        <f t="shared" si="0"/>
        <v>INSERT INTO tbFinanceItemSeq(Report,ItemSeqID,ItemSN,ItemID) VALUES('BSD',58,58,616)</v>
      </c>
      <c r="K61" t="str">
        <f t="shared" si="1"/>
        <v/>
      </c>
    </row>
    <row r="62" spans="1:11">
      <c r="A62" t="s">
        <v>74</v>
      </c>
      <c r="B62" t="s">
        <v>1433</v>
      </c>
      <c r="C62">
        <v>59</v>
      </c>
      <c r="D62">
        <v>60</v>
      </c>
      <c r="E62">
        <v>59</v>
      </c>
      <c r="F62">
        <v>60</v>
      </c>
      <c r="G62">
        <v>617</v>
      </c>
      <c r="H62" t="s">
        <v>1489</v>
      </c>
      <c r="I62" s="81" t="s">
        <v>1985</v>
      </c>
      <c r="J62" t="str">
        <f t="shared" si="0"/>
        <v>INSERT INTO tbFinanceItemSeq(Report,ItemSeqID,ItemSN,ItemID) VALUES('BSD',59,59,617)</v>
      </c>
      <c r="K62" t="str">
        <f t="shared" si="1"/>
        <v/>
      </c>
    </row>
    <row r="63" spans="1:11" s="3" customFormat="1">
      <c r="A63" s="3" t="s">
        <v>75</v>
      </c>
      <c r="B63" s="3" t="s">
        <v>1433</v>
      </c>
      <c r="C63" s="3">
        <v>60</v>
      </c>
      <c r="E63" s="3">
        <v>60</v>
      </c>
      <c r="G63" s="3" t="str">
        <f>CONCATENATE("(SELECT top 1 ItemID FROM tbFinanceItem where ItemName = '",H63,"')")</f>
        <v>(SELECT top 1 ItemID FROM tbFinanceItem where ItemName = '(BSD)Sundry Debtors')</v>
      </c>
      <c r="H63" s="3" t="s">
        <v>2775</v>
      </c>
      <c r="I63" s="132"/>
      <c r="J63" s="3" t="str">
        <f t="shared" si="0"/>
        <v>INSERT INTO tbFinanceItemSeq(Report,ItemSeqID,ItemSN,ItemID) VALUES('BSD',60,60,(SELECT top 1 ItemID FROM tbFinanceItem where ItemName = '(BSD)Sundry Debtors'))</v>
      </c>
      <c r="K63" s="3" t="str">
        <f t="shared" si="1"/>
        <v>INSERT INTO tbFinanceItem(ItemName) VALUES('(BSD)Sundry Debtors')</v>
      </c>
    </row>
    <row r="64" spans="1:11">
      <c r="A64" t="s">
        <v>74</v>
      </c>
      <c r="B64" t="s">
        <v>1433</v>
      </c>
      <c r="C64">
        <v>61</v>
      </c>
      <c r="D64">
        <v>61</v>
      </c>
      <c r="E64">
        <v>61</v>
      </c>
      <c r="F64">
        <v>61</v>
      </c>
      <c r="G64">
        <v>618</v>
      </c>
      <c r="H64" t="s">
        <v>1490</v>
      </c>
      <c r="I64" s="81" t="s">
        <v>1986</v>
      </c>
      <c r="J64" t="str">
        <f t="shared" si="0"/>
        <v>INSERT INTO tbFinanceItemSeq(Report,ItemSeqID,ItemSN,ItemID) VALUES('BSD',61,61,618)</v>
      </c>
      <c r="K64" t="str">
        <f t="shared" si="1"/>
        <v/>
      </c>
    </row>
    <row r="65" spans="1:11" s="3" customFormat="1">
      <c r="A65" s="3" t="s">
        <v>75</v>
      </c>
      <c r="B65" s="3" t="s">
        <v>1433</v>
      </c>
      <c r="C65">
        <v>62</v>
      </c>
      <c r="E65">
        <v>62</v>
      </c>
      <c r="G65" s="3" t="str">
        <f>CONCATENATE("(SELECT top 1 ItemID FROM tbFinanceItem where ItemName = '",H65,"')")</f>
        <v>(SELECT top 1 ItemID FROM tbFinanceItem where ItemName = '(BSD)Suspense-HR')</v>
      </c>
      <c r="H65" s="3" t="s">
        <v>1892</v>
      </c>
      <c r="I65" s="82" t="s">
        <v>1987</v>
      </c>
      <c r="J65" s="3" t="str">
        <f t="shared" si="0"/>
        <v>INSERT INTO tbFinanceItemSeq(Report,ItemSeqID,ItemSN,ItemID) VALUES('BSD',62,62,(SELECT top 1 ItemID FROM tbFinanceItem where ItemName = '(BSD)Suspense-HR'))</v>
      </c>
      <c r="K65" t="str">
        <f t="shared" si="1"/>
        <v>INSERT INTO tbFinanceItem(ItemName) VALUES('(BSD)Suspense-HR')</v>
      </c>
    </row>
    <row r="66" spans="1:11">
      <c r="A66" t="s">
        <v>74</v>
      </c>
      <c r="B66" t="s">
        <v>1433</v>
      </c>
      <c r="C66">
        <v>63</v>
      </c>
      <c r="D66">
        <v>62</v>
      </c>
      <c r="E66">
        <v>62</v>
      </c>
      <c r="F66">
        <v>62</v>
      </c>
      <c r="G66">
        <v>619</v>
      </c>
      <c r="H66" t="s">
        <v>1491</v>
      </c>
      <c r="I66" s="82" t="s">
        <v>1988</v>
      </c>
      <c r="J66" t="str">
        <f t="shared" si="0"/>
        <v>INSERT INTO tbFinanceItemSeq(Report,ItemSeqID,ItemSN,ItemID) VALUES('BSD',63,62,619)</v>
      </c>
      <c r="K66" t="str">
        <f t="shared" si="1"/>
        <v/>
      </c>
    </row>
    <row r="67" spans="1:11">
      <c r="A67" t="s">
        <v>74</v>
      </c>
      <c r="B67" t="s">
        <v>1433</v>
      </c>
      <c r="C67">
        <v>64</v>
      </c>
      <c r="D67">
        <v>63</v>
      </c>
      <c r="E67">
        <v>63</v>
      </c>
      <c r="F67">
        <v>63</v>
      </c>
      <c r="G67">
        <v>620</v>
      </c>
      <c r="H67" t="s">
        <v>1492</v>
      </c>
      <c r="I67" s="83" t="s">
        <v>1989</v>
      </c>
      <c r="J67" t="str">
        <f t="shared" si="0"/>
        <v>INSERT INTO tbFinanceItemSeq(Report,ItemSeqID,ItemSN,ItemID) VALUES('BSD',64,63,620)</v>
      </c>
      <c r="K67" t="str">
        <f t="shared" si="1"/>
        <v/>
      </c>
    </row>
    <row r="68" spans="1:11">
      <c r="A68" t="s">
        <v>74</v>
      </c>
      <c r="B68" t="s">
        <v>1433</v>
      </c>
      <c r="C68">
        <v>65</v>
      </c>
      <c r="D68">
        <v>64</v>
      </c>
      <c r="E68">
        <v>64</v>
      </c>
      <c r="F68">
        <v>64</v>
      </c>
      <c r="G68">
        <v>621</v>
      </c>
      <c r="H68" t="s">
        <v>1493</v>
      </c>
      <c r="I68" s="82" t="s">
        <v>1990</v>
      </c>
      <c r="J68" t="str">
        <f t="shared" si="0"/>
        <v>INSERT INTO tbFinanceItemSeq(Report,ItemSeqID,ItemSN,ItemID) VALUES('BSD',65,64,621)</v>
      </c>
      <c r="K68" t="str">
        <f t="shared" ref="K68:K163" si="2">IF(A68&lt;&gt;"New","",CONCATENATE("INSERT INTO tbFinanceItem(ItemName) VALUES('",H68,"')"))</f>
        <v/>
      </c>
    </row>
    <row r="69" spans="1:11" s="3" customFormat="1">
      <c r="A69" s="3" t="s">
        <v>75</v>
      </c>
      <c r="B69" s="3" t="s">
        <v>1433</v>
      </c>
      <c r="C69">
        <v>66</v>
      </c>
      <c r="E69">
        <v>65</v>
      </c>
      <c r="G69" s="3" t="str">
        <f>CONCATENATE("(SELECT top 1 ItemID FROM tbFinanceItem where ItemName = '",H69,"')")</f>
        <v>(SELECT top 1 ItemID FROM tbFinanceItem where ItemName = '(BSD)Prov for Impairment-Freehold Land')</v>
      </c>
      <c r="H69" s="3" t="s">
        <v>1893</v>
      </c>
      <c r="I69" s="82" t="s">
        <v>1991</v>
      </c>
      <c r="J69" s="3" t="str">
        <f t="shared" si="0"/>
        <v>INSERT INTO tbFinanceItemSeq(Report,ItemSeqID,ItemSN,ItemID) VALUES('BSD',66,65,(SELECT top 1 ItemID FROM tbFinanceItem where ItemName = '(BSD)Prov for Impairment-Freehold Land'))</v>
      </c>
      <c r="K69" t="str">
        <f t="shared" si="2"/>
        <v>INSERT INTO tbFinanceItem(ItemName) VALUES('(BSD)Prov for Impairment-Freehold Land')</v>
      </c>
    </row>
    <row r="70" spans="1:11">
      <c r="A70" t="s">
        <v>74</v>
      </c>
      <c r="B70" t="s">
        <v>1433</v>
      </c>
      <c r="C70">
        <v>67</v>
      </c>
      <c r="D70">
        <v>65</v>
      </c>
      <c r="E70">
        <v>66</v>
      </c>
      <c r="F70">
        <v>65</v>
      </c>
      <c r="G70">
        <v>622</v>
      </c>
      <c r="H70" t="s">
        <v>1494</v>
      </c>
      <c r="I70" s="82" t="s">
        <v>1992</v>
      </c>
      <c r="J70" t="str">
        <f t="shared" si="0"/>
        <v>INSERT INTO tbFinanceItemSeq(Report,ItemSeqID,ItemSN,ItemID) VALUES('BSD',67,66,622)</v>
      </c>
      <c r="K70" t="str">
        <f t="shared" si="2"/>
        <v/>
      </c>
    </row>
    <row r="71" spans="1:11">
      <c r="A71" t="s">
        <v>74</v>
      </c>
      <c r="B71" t="s">
        <v>1433</v>
      </c>
      <c r="C71">
        <v>68</v>
      </c>
      <c r="D71">
        <v>66</v>
      </c>
      <c r="E71">
        <v>67</v>
      </c>
      <c r="F71">
        <v>66</v>
      </c>
      <c r="G71">
        <v>623</v>
      </c>
      <c r="H71" t="s">
        <v>1495</v>
      </c>
      <c r="I71" s="82" t="s">
        <v>1993</v>
      </c>
      <c r="J71" t="str">
        <f t="shared" si="0"/>
        <v>INSERT INTO tbFinanceItemSeq(Report,ItemSeqID,ItemSN,ItemID) VALUES('BSD',68,67,623)</v>
      </c>
      <c r="K71" t="str">
        <f t="shared" si="2"/>
        <v/>
      </c>
    </row>
    <row r="72" spans="1:11" s="3" customFormat="1">
      <c r="A72" s="3" t="s">
        <v>75</v>
      </c>
      <c r="B72" s="3" t="s">
        <v>1433</v>
      </c>
      <c r="C72">
        <v>69</v>
      </c>
      <c r="E72">
        <v>68</v>
      </c>
      <c r="G72" s="3" t="str">
        <f>CONCATENATE("(SELECT top 1 ItemID FROM tbFinanceItem where ItemName = '",H72,"')")</f>
        <v>(SELECT top 1 ItemID FROM tbFinanceItem where ItemName = '(BSD)Prov for Impairment-Leasehold Land')</v>
      </c>
      <c r="H72" s="3" t="s">
        <v>1894</v>
      </c>
      <c r="I72" s="82" t="s">
        <v>1994</v>
      </c>
      <c r="J72" t="str">
        <f t="shared" si="0"/>
        <v>INSERT INTO tbFinanceItemSeq(Report,ItemSeqID,ItemSN,ItemID) VALUES('BSD',69,68,(SELECT top 1 ItemID FROM tbFinanceItem where ItemName = '(BSD)Prov for Impairment-Leasehold Land'))</v>
      </c>
      <c r="K72" t="str">
        <f t="shared" si="2"/>
        <v>INSERT INTO tbFinanceItem(ItemName) VALUES('(BSD)Prov for Impairment-Leasehold Land')</v>
      </c>
    </row>
    <row r="73" spans="1:11">
      <c r="A73" t="s">
        <v>74</v>
      </c>
      <c r="B73" t="s">
        <v>1433</v>
      </c>
      <c r="C73">
        <v>70</v>
      </c>
      <c r="D73">
        <v>67</v>
      </c>
      <c r="E73">
        <v>69</v>
      </c>
      <c r="F73">
        <v>67</v>
      </c>
      <c r="G73">
        <v>624</v>
      </c>
      <c r="H73" t="s">
        <v>1496</v>
      </c>
      <c r="I73" s="82" t="s">
        <v>1995</v>
      </c>
      <c r="J73" t="str">
        <f t="shared" si="0"/>
        <v>INSERT INTO tbFinanceItemSeq(Report,ItemSeqID,ItemSN,ItemID) VALUES('BSD',70,69,624)</v>
      </c>
      <c r="K73" t="str">
        <f t="shared" si="2"/>
        <v/>
      </c>
    </row>
    <row r="74" spans="1:11">
      <c r="A74" t="s">
        <v>74</v>
      </c>
      <c r="B74" t="s">
        <v>1433</v>
      </c>
      <c r="C74">
        <v>71</v>
      </c>
      <c r="D74">
        <v>68</v>
      </c>
      <c r="E74">
        <v>70</v>
      </c>
      <c r="F74">
        <v>68</v>
      </c>
      <c r="G74">
        <v>625</v>
      </c>
      <c r="H74" t="s">
        <v>1497</v>
      </c>
      <c r="I74" s="82" t="s">
        <v>1996</v>
      </c>
      <c r="J74" t="str">
        <f t="shared" si="0"/>
        <v>INSERT INTO tbFinanceItemSeq(Report,ItemSeqID,ItemSN,ItemID) VALUES('BSD',71,70,625)</v>
      </c>
      <c r="K74" t="str">
        <f t="shared" si="2"/>
        <v/>
      </c>
    </row>
    <row r="75" spans="1:11" s="3" customFormat="1">
      <c r="A75" s="3" t="s">
        <v>75</v>
      </c>
      <c r="B75" s="3" t="s">
        <v>1433</v>
      </c>
      <c r="C75">
        <v>72</v>
      </c>
      <c r="E75">
        <v>71</v>
      </c>
      <c r="G75" s="3" t="str">
        <f>CONCATENATE("(SELECT top 1 ItemID FROM tbFinanceItem where ItemName = '",H75,"')")</f>
        <v>(SELECT top 1 ItemID FROM tbFinanceItem where ItemName = '(BSD)Prov for Impairment-Land Rights')</v>
      </c>
      <c r="H75" s="3" t="s">
        <v>2177</v>
      </c>
      <c r="I75" s="82" t="s">
        <v>1997</v>
      </c>
      <c r="J75" s="3" t="str">
        <f t="shared" si="0"/>
        <v>INSERT INTO tbFinanceItemSeq(Report,ItemSeqID,ItemSN,ItemID) VALUES('BSD',72,71,(SELECT top 1 ItemID FROM tbFinanceItem where ItemName = '(BSD)Prov for Impairment-Land Rights'))</v>
      </c>
      <c r="K75" t="str">
        <f t="shared" si="2"/>
        <v>INSERT INTO tbFinanceItem(ItemName) VALUES('(BSD)Prov for Impairment-Land Rights')</v>
      </c>
    </row>
    <row r="76" spans="1:11">
      <c r="A76" t="s">
        <v>74</v>
      </c>
      <c r="B76" t="s">
        <v>1433</v>
      </c>
      <c r="C76">
        <v>73</v>
      </c>
      <c r="D76">
        <v>69</v>
      </c>
      <c r="E76">
        <v>72</v>
      </c>
      <c r="F76">
        <v>69</v>
      </c>
      <c r="G76">
        <v>626</v>
      </c>
      <c r="H76" t="s">
        <v>1498</v>
      </c>
      <c r="I76" s="82" t="s">
        <v>1998</v>
      </c>
      <c r="J76" t="str">
        <f t="shared" si="0"/>
        <v>INSERT INTO tbFinanceItemSeq(Report,ItemSeqID,ItemSN,ItemID) VALUES('BSD',73,72,626)</v>
      </c>
      <c r="K76" t="str">
        <f t="shared" si="2"/>
        <v/>
      </c>
    </row>
    <row r="77" spans="1:11">
      <c r="A77" t="s">
        <v>74</v>
      </c>
      <c r="B77" t="s">
        <v>1433</v>
      </c>
      <c r="C77">
        <v>74</v>
      </c>
      <c r="D77">
        <v>70</v>
      </c>
      <c r="E77">
        <v>73</v>
      </c>
      <c r="F77">
        <v>70</v>
      </c>
      <c r="G77">
        <v>627</v>
      </c>
      <c r="H77" t="s">
        <v>1499</v>
      </c>
      <c r="I77" s="82" t="s">
        <v>1999</v>
      </c>
      <c r="J77" t="str">
        <f t="shared" ref="J77:J83" si="3">IF(A77&lt;&gt;"Remove",CONCATENATE("INSERT INTO tbFinanceItemSeq(Report,ItemSeqID,ItemSN,ItemID) VALUES('",B77,"',",C77,",",E77,",",G77,")")," ")</f>
        <v>INSERT INTO tbFinanceItemSeq(Report,ItemSeqID,ItemSN,ItemID) VALUES('BSD',74,73,627)</v>
      </c>
      <c r="K77" t="str">
        <f t="shared" si="2"/>
        <v/>
      </c>
    </row>
    <row r="78" spans="1:11" s="3" customFormat="1">
      <c r="A78" s="3" t="s">
        <v>75</v>
      </c>
      <c r="B78" s="3" t="s">
        <v>1433</v>
      </c>
      <c r="C78">
        <v>75</v>
      </c>
      <c r="E78">
        <v>74</v>
      </c>
      <c r="G78" s="3" t="str">
        <f>CONCATENATE("(SELECT top 1 ItemID FROM tbFinanceItem where ItemName = '",H78,"')")</f>
        <v>(SELECT top 1 ItemID FROM tbFinanceItem where ItemName = '(BSD)Prov for Impairment-Building')</v>
      </c>
      <c r="H78" s="3" t="s">
        <v>1895</v>
      </c>
      <c r="I78" s="82" t="s">
        <v>2000</v>
      </c>
      <c r="J78" s="3" t="str">
        <f t="shared" si="3"/>
        <v>INSERT INTO tbFinanceItemSeq(Report,ItemSeqID,ItemSN,ItemID) VALUES('BSD',75,74,(SELECT top 1 ItemID FROM tbFinanceItem where ItemName = '(BSD)Prov for Impairment-Building'))</v>
      </c>
      <c r="K78" t="str">
        <f t="shared" si="2"/>
        <v>INSERT INTO tbFinanceItem(ItemName) VALUES('(BSD)Prov for Impairment-Building')</v>
      </c>
    </row>
    <row r="79" spans="1:11">
      <c r="A79" t="s">
        <v>74</v>
      </c>
      <c r="B79" t="s">
        <v>1433</v>
      </c>
      <c r="C79">
        <v>76</v>
      </c>
      <c r="D79">
        <v>71</v>
      </c>
      <c r="E79">
        <v>75</v>
      </c>
      <c r="F79">
        <v>71</v>
      </c>
      <c r="G79">
        <v>628</v>
      </c>
      <c r="H79" t="s">
        <v>1500</v>
      </c>
      <c r="I79" s="82" t="s">
        <v>2001</v>
      </c>
      <c r="J79" t="str">
        <f t="shared" si="3"/>
        <v>INSERT INTO tbFinanceItemSeq(Report,ItemSeqID,ItemSN,ItemID) VALUES('BSD',76,75,628)</v>
      </c>
      <c r="K79" t="str">
        <f t="shared" si="2"/>
        <v/>
      </c>
    </row>
    <row r="80" spans="1:11">
      <c r="A80" t="s">
        <v>74</v>
      </c>
      <c r="B80" t="s">
        <v>1433</v>
      </c>
      <c r="C80">
        <v>77</v>
      </c>
      <c r="D80">
        <v>72</v>
      </c>
      <c r="E80">
        <v>76</v>
      </c>
      <c r="F80">
        <v>72</v>
      </c>
      <c r="G80">
        <v>629</v>
      </c>
      <c r="H80" t="s">
        <v>1501</v>
      </c>
      <c r="I80" s="82" t="s">
        <v>2002</v>
      </c>
      <c r="J80" t="str">
        <f t="shared" si="3"/>
        <v>INSERT INTO tbFinanceItemSeq(Report,ItemSeqID,ItemSN,ItemID) VALUES('BSD',77,76,629)</v>
      </c>
      <c r="K80" t="str">
        <f t="shared" si="2"/>
        <v/>
      </c>
    </row>
    <row r="81" spans="1:11">
      <c r="A81" t="s">
        <v>74</v>
      </c>
      <c r="B81" t="s">
        <v>1433</v>
      </c>
      <c r="C81">
        <v>78</v>
      </c>
      <c r="D81">
        <v>73</v>
      </c>
      <c r="E81">
        <v>77</v>
      </c>
      <c r="F81">
        <v>73</v>
      </c>
      <c r="G81">
        <v>630</v>
      </c>
      <c r="H81" t="s">
        <v>1502</v>
      </c>
      <c r="I81" s="82" t="s">
        <v>2003</v>
      </c>
      <c r="J81" t="str">
        <f t="shared" si="3"/>
        <v>INSERT INTO tbFinanceItemSeq(Report,ItemSeqID,ItemSN,ItemID) VALUES('BSD',78,77,630)</v>
      </c>
      <c r="K81" t="str">
        <f t="shared" si="2"/>
        <v/>
      </c>
    </row>
    <row r="82" spans="1:11" s="3" customFormat="1">
      <c r="A82" s="3" t="s">
        <v>75</v>
      </c>
      <c r="B82" s="3" t="s">
        <v>1433</v>
      </c>
      <c r="C82">
        <v>79</v>
      </c>
      <c r="E82">
        <v>78</v>
      </c>
      <c r="G82" s="3" t="str">
        <f>CONCATENATE("(SELECT top 1  ItemID FROM tbFinanceItem where ItemName = '",H82,"')")</f>
        <v>(SELECT top 1  ItemID FROM tbFinanceItem where ItemName = '(BSD)Prov for Impairment-Renovations')</v>
      </c>
      <c r="H82" s="3" t="s">
        <v>1896</v>
      </c>
      <c r="I82" s="82" t="s">
        <v>2004</v>
      </c>
      <c r="J82" s="3" t="str">
        <f t="shared" si="3"/>
        <v>INSERT INTO tbFinanceItemSeq(Report,ItemSeqID,ItemSN,ItemID) VALUES('BSD',79,78,(SELECT top 1  ItemID FROM tbFinanceItem where ItemName = '(BSD)Prov for Impairment-Renovations'))</v>
      </c>
      <c r="K82" t="str">
        <f t="shared" si="2"/>
        <v>INSERT INTO tbFinanceItem(ItemName) VALUES('(BSD)Prov for Impairment-Renovations')</v>
      </c>
    </row>
    <row r="83" spans="1:11">
      <c r="A83" t="s">
        <v>74</v>
      </c>
      <c r="B83" t="s">
        <v>1433</v>
      </c>
      <c r="C83">
        <v>80</v>
      </c>
      <c r="D83">
        <v>74</v>
      </c>
      <c r="E83">
        <v>79</v>
      </c>
      <c r="F83">
        <v>74</v>
      </c>
      <c r="G83">
        <v>631</v>
      </c>
      <c r="H83" t="s">
        <v>1503</v>
      </c>
      <c r="I83" s="82" t="s">
        <v>2005</v>
      </c>
      <c r="J83" t="str">
        <f t="shared" si="3"/>
        <v>INSERT INTO tbFinanceItemSeq(Report,ItemSeqID,ItemSN,ItemID) VALUES('BSD',80,79,631)</v>
      </c>
      <c r="K83" t="str">
        <f t="shared" si="2"/>
        <v/>
      </c>
    </row>
    <row r="84" spans="1:11">
      <c r="A84" t="s">
        <v>74</v>
      </c>
      <c r="B84" t="s">
        <v>1433</v>
      </c>
      <c r="C84">
        <v>81</v>
      </c>
      <c r="D84">
        <v>75</v>
      </c>
      <c r="E84">
        <v>80</v>
      </c>
      <c r="F84">
        <v>75</v>
      </c>
      <c r="G84">
        <v>632</v>
      </c>
      <c r="H84" t="s">
        <v>1504</v>
      </c>
      <c r="I84" s="82" t="s">
        <v>2006</v>
      </c>
      <c r="J84" t="str">
        <f>IF(A84&lt;&gt;"Remove",CONCATENATE("INSERT INTO tbFinanceItemSeq(Report,ItemSeqID,ItemSN,ItemID) VALUES('",B84,"',",C84,",",E84,",",G84,")")," ")</f>
        <v>INSERT INTO tbFinanceItemSeq(Report,ItemSeqID,ItemSN,ItemID) VALUES('BSD',81,80,632)</v>
      </c>
      <c r="K84" t="str">
        <f t="shared" si="2"/>
        <v/>
      </c>
    </row>
    <row r="85" spans="1:11" s="3" customFormat="1">
      <c r="A85" s="3" t="s">
        <v>75</v>
      </c>
      <c r="B85" s="3" t="s">
        <v>1433</v>
      </c>
      <c r="C85">
        <v>82</v>
      </c>
      <c r="E85">
        <v>81</v>
      </c>
      <c r="G85" s="3" t="str">
        <f>CONCATENATE("(SELECT top 1 ItemID FROM tbFinanceItem where ItemName = '",H85,"')")</f>
        <v>(SELECT top 1 ItemID FROM tbFinanceItem where ItemName = '(BSD)Prov for Impairment-Investment Property')</v>
      </c>
      <c r="H85" s="3" t="s">
        <v>1897</v>
      </c>
      <c r="I85" s="82" t="s">
        <v>2007</v>
      </c>
      <c r="J85" s="3" t="str">
        <f>IF(A85&lt;&gt;"Remove",CONCATENATE("INSERT INTO tbFinanceItemSeq(Report,ItemSeqID,ItemSN,ItemID) VALUES('",B85,"',",C85,",",E85,",",G85,")")," ")</f>
        <v>INSERT INTO tbFinanceItemSeq(Report,ItemSeqID,ItemSN,ItemID) VALUES('BSD',82,81,(SELECT top 1 ItemID FROM tbFinanceItem where ItemName = '(BSD)Prov for Impairment-Investment Property'))</v>
      </c>
      <c r="K85" t="str">
        <f t="shared" si="2"/>
        <v>INSERT INTO tbFinanceItem(ItemName) VALUES('(BSD)Prov for Impairment-Investment Property')</v>
      </c>
    </row>
    <row r="86" spans="1:11">
      <c r="A86" t="s">
        <v>74</v>
      </c>
      <c r="B86" t="s">
        <v>1433</v>
      </c>
      <c r="C86">
        <v>83</v>
      </c>
      <c r="D86">
        <v>76</v>
      </c>
      <c r="E86">
        <v>82</v>
      </c>
      <c r="F86">
        <v>76</v>
      </c>
      <c r="G86">
        <v>633</v>
      </c>
      <c r="H86" t="s">
        <v>1505</v>
      </c>
      <c r="I86" s="82" t="s">
        <v>2008</v>
      </c>
      <c r="J86" t="str">
        <f t="shared" ref="J86:J109" si="4">IF(A86&lt;&gt;"Remove",CONCATENATE("INSERT INTO tbFinanceItemSeq(Report,ItemSeqID,ItemSN,ItemID) VALUES('",B86,"',",C86,",",E86,",",G86,")")," ")</f>
        <v>INSERT INTO tbFinanceItemSeq(Report,ItemSeqID,ItemSN,ItemID) VALUES('BSD',83,82,633)</v>
      </c>
      <c r="K86" t="str">
        <f t="shared" si="2"/>
        <v/>
      </c>
    </row>
    <row r="87" spans="1:11">
      <c r="A87" t="s">
        <v>74</v>
      </c>
      <c r="B87" t="s">
        <v>1433</v>
      </c>
      <c r="C87">
        <v>84</v>
      </c>
      <c r="D87">
        <v>77</v>
      </c>
      <c r="E87">
        <v>83</v>
      </c>
      <c r="F87">
        <v>77</v>
      </c>
      <c r="G87">
        <v>634</v>
      </c>
      <c r="H87" t="s">
        <v>1506</v>
      </c>
      <c r="I87" s="82" t="s">
        <v>2009</v>
      </c>
      <c r="J87" t="str">
        <f t="shared" si="4"/>
        <v>INSERT INTO tbFinanceItemSeq(Report,ItemSeqID,ItemSN,ItemID) VALUES('BSD',84,83,634)</v>
      </c>
      <c r="K87" t="str">
        <f t="shared" si="2"/>
        <v/>
      </c>
    </row>
    <row r="88" spans="1:11">
      <c r="A88" t="s">
        <v>74</v>
      </c>
      <c r="B88" t="s">
        <v>1433</v>
      </c>
      <c r="C88">
        <v>85</v>
      </c>
      <c r="D88">
        <v>78</v>
      </c>
      <c r="E88">
        <v>84</v>
      </c>
      <c r="F88">
        <v>78</v>
      </c>
      <c r="G88">
        <v>635</v>
      </c>
      <c r="H88" t="s">
        <v>1507</v>
      </c>
      <c r="I88" s="82" t="s">
        <v>2010</v>
      </c>
      <c r="J88" t="str">
        <f t="shared" si="4"/>
        <v>INSERT INTO tbFinanceItemSeq(Report,ItemSeqID,ItemSN,ItemID) VALUES('BSD',85,84,635)</v>
      </c>
      <c r="K88" t="str">
        <f t="shared" si="2"/>
        <v/>
      </c>
    </row>
    <row r="89" spans="1:11">
      <c r="A89" t="s">
        <v>74</v>
      </c>
      <c r="B89" t="s">
        <v>1433</v>
      </c>
      <c r="C89">
        <v>86</v>
      </c>
      <c r="D89">
        <v>79</v>
      </c>
      <c r="E89">
        <v>85</v>
      </c>
      <c r="F89">
        <v>79</v>
      </c>
      <c r="G89">
        <v>636</v>
      </c>
      <c r="H89" t="s">
        <v>1508</v>
      </c>
      <c r="I89" s="82" t="s">
        <v>2011</v>
      </c>
      <c r="J89" t="str">
        <f t="shared" si="4"/>
        <v>INSERT INTO tbFinanceItemSeq(Report,ItemSeqID,ItemSN,ItemID) VALUES('BSD',86,85,636)</v>
      </c>
      <c r="K89" t="str">
        <f t="shared" si="2"/>
        <v/>
      </c>
    </row>
    <row r="90" spans="1:11">
      <c r="A90" t="s">
        <v>74</v>
      </c>
      <c r="B90" t="s">
        <v>1433</v>
      </c>
      <c r="C90">
        <v>87</v>
      </c>
      <c r="D90">
        <v>80</v>
      </c>
      <c r="E90">
        <v>86</v>
      </c>
      <c r="F90">
        <v>80</v>
      </c>
      <c r="G90">
        <v>637</v>
      </c>
      <c r="H90" t="s">
        <v>1509</v>
      </c>
      <c r="I90" s="82" t="s">
        <v>2012</v>
      </c>
      <c r="J90" t="str">
        <f t="shared" si="4"/>
        <v>INSERT INTO tbFinanceItemSeq(Report,ItemSeqID,ItemSN,ItemID) VALUES('BSD',87,86,637)</v>
      </c>
      <c r="K90" t="str">
        <f t="shared" si="2"/>
        <v/>
      </c>
    </row>
    <row r="91" spans="1:11" s="3" customFormat="1">
      <c r="A91" s="3" t="s">
        <v>75</v>
      </c>
      <c r="B91" s="3" t="s">
        <v>1433</v>
      </c>
      <c r="C91">
        <v>88</v>
      </c>
      <c r="E91">
        <v>87</v>
      </c>
      <c r="G91" s="3" t="str">
        <f>CONCATENATE("(SELECT top 1 ItemID FROM tbFinanceItem where ItemName = '",H91,"')")</f>
        <v>(SELECT top 1 ItemID FROM tbFinanceItem where ItemName = '(BSD)Prov for Impairment-Machinery')</v>
      </c>
      <c r="H91" s="3" t="s">
        <v>1898</v>
      </c>
      <c r="I91" s="82" t="s">
        <v>2013</v>
      </c>
      <c r="J91" s="3" t="str">
        <f t="shared" si="4"/>
        <v>INSERT INTO tbFinanceItemSeq(Report,ItemSeqID,ItemSN,ItemID) VALUES('BSD',88,87,(SELECT top 1 ItemID FROM tbFinanceItem where ItemName = '(BSD)Prov for Impairment-Machinery'))</v>
      </c>
      <c r="K91" s="3" t="str">
        <f t="shared" si="2"/>
        <v>INSERT INTO tbFinanceItem(ItemName) VALUES('(BSD)Prov for Impairment-Machinery')</v>
      </c>
    </row>
    <row r="92" spans="1:11">
      <c r="A92" t="s">
        <v>74</v>
      </c>
      <c r="B92" t="s">
        <v>1433</v>
      </c>
      <c r="C92">
        <v>89</v>
      </c>
      <c r="D92">
        <v>81</v>
      </c>
      <c r="E92">
        <v>88</v>
      </c>
      <c r="F92">
        <v>81</v>
      </c>
      <c r="G92">
        <v>638</v>
      </c>
      <c r="H92" t="s">
        <v>1510</v>
      </c>
      <c r="I92" s="82" t="s">
        <v>2014</v>
      </c>
      <c r="J92" t="str">
        <f t="shared" si="4"/>
        <v>INSERT INTO tbFinanceItemSeq(Report,ItemSeqID,ItemSN,ItemID) VALUES('BSD',89,88,638)</v>
      </c>
      <c r="K92" t="str">
        <f t="shared" si="2"/>
        <v/>
      </c>
    </row>
    <row r="93" spans="1:11">
      <c r="A93" t="s">
        <v>74</v>
      </c>
      <c r="B93" t="s">
        <v>1433</v>
      </c>
      <c r="C93">
        <v>90</v>
      </c>
      <c r="D93">
        <v>82</v>
      </c>
      <c r="E93">
        <v>89</v>
      </c>
      <c r="F93">
        <v>82</v>
      </c>
      <c r="G93">
        <v>639</v>
      </c>
      <c r="H93" t="s">
        <v>1511</v>
      </c>
      <c r="I93" s="82" t="s">
        <v>2015</v>
      </c>
      <c r="J93" t="str">
        <f t="shared" si="4"/>
        <v>INSERT INTO tbFinanceItemSeq(Report,ItemSeqID,ItemSN,ItemID) VALUES('BSD',90,89,639)</v>
      </c>
      <c r="K93" t="str">
        <f t="shared" si="2"/>
        <v/>
      </c>
    </row>
    <row r="94" spans="1:11" s="3" customFormat="1">
      <c r="A94" s="3" t="s">
        <v>75</v>
      </c>
      <c r="B94" s="3" t="s">
        <v>1433</v>
      </c>
      <c r="C94">
        <v>91</v>
      </c>
      <c r="E94">
        <v>90</v>
      </c>
      <c r="G94" s="3" t="str">
        <f>CONCATENATE("(SELECT top 1 ItemID FROM tbFinanceItem where ItemName = '",H94,"')")</f>
        <v>(SELECT top 1 ItemID FROM tbFinanceItem where ItemName = '(BSD)Prov for Impairment-Equipment')</v>
      </c>
      <c r="H94" s="3" t="s">
        <v>2178</v>
      </c>
      <c r="I94" s="82" t="s">
        <v>2016</v>
      </c>
      <c r="J94" s="3" t="str">
        <f t="shared" si="4"/>
        <v>INSERT INTO tbFinanceItemSeq(Report,ItemSeqID,ItemSN,ItemID) VALUES('BSD',91,90,(SELECT top 1 ItemID FROM tbFinanceItem where ItemName = '(BSD)Prov for Impairment-Equipment'))</v>
      </c>
      <c r="K94" s="3" t="str">
        <f t="shared" si="2"/>
        <v>INSERT INTO tbFinanceItem(ItemName) VALUES('(BSD)Prov for Impairment-Equipment')</v>
      </c>
    </row>
    <row r="95" spans="1:11">
      <c r="A95" t="s">
        <v>74</v>
      </c>
      <c r="B95" t="s">
        <v>1433</v>
      </c>
      <c r="C95">
        <v>92</v>
      </c>
      <c r="D95">
        <v>83</v>
      </c>
      <c r="E95">
        <v>91</v>
      </c>
      <c r="F95">
        <v>83</v>
      </c>
      <c r="G95">
        <v>640</v>
      </c>
      <c r="H95" t="s">
        <v>1512</v>
      </c>
      <c r="I95" s="82" t="s">
        <v>2017</v>
      </c>
      <c r="J95" t="str">
        <f t="shared" si="4"/>
        <v>INSERT INTO tbFinanceItemSeq(Report,ItemSeqID,ItemSN,ItemID) VALUES('BSD',92,91,640)</v>
      </c>
      <c r="K95" t="str">
        <f t="shared" si="2"/>
        <v/>
      </c>
    </row>
    <row r="96" spans="1:11">
      <c r="A96" t="s">
        <v>74</v>
      </c>
      <c r="B96" t="s">
        <v>1433</v>
      </c>
      <c r="C96">
        <v>93</v>
      </c>
      <c r="D96">
        <v>84</v>
      </c>
      <c r="E96">
        <v>92</v>
      </c>
      <c r="F96">
        <v>84</v>
      </c>
      <c r="G96">
        <v>641</v>
      </c>
      <c r="H96" t="s">
        <v>1513</v>
      </c>
      <c r="I96" s="82" t="s">
        <v>2018</v>
      </c>
      <c r="J96" t="str">
        <f t="shared" si="4"/>
        <v>INSERT INTO tbFinanceItemSeq(Report,ItemSeqID,ItemSN,ItemID) VALUES('BSD',93,92,641)</v>
      </c>
      <c r="K96" t="str">
        <f t="shared" si="2"/>
        <v/>
      </c>
    </row>
    <row r="97" spans="1:11" s="3" customFormat="1">
      <c r="A97" s="3" t="s">
        <v>75</v>
      </c>
      <c r="B97" s="3" t="s">
        <v>1433</v>
      </c>
      <c r="C97">
        <v>94</v>
      </c>
      <c r="E97">
        <v>93</v>
      </c>
      <c r="G97" s="3" t="str">
        <f>CONCATENATE("(SELECT top 1 ItemID FROM tbFinanceItem where ItemName = '",H97,"')")</f>
        <v>(SELECT top 1 ItemID FROM tbFinanceItem where ItemName = '(BSD)Prov for Impairment-Rental Equipment')</v>
      </c>
      <c r="H97" s="3" t="s">
        <v>1899</v>
      </c>
      <c r="I97" s="82" t="s">
        <v>2019</v>
      </c>
      <c r="J97" s="3" t="str">
        <f t="shared" si="4"/>
        <v>INSERT INTO tbFinanceItemSeq(Report,ItemSeqID,ItemSN,ItemID) VALUES('BSD',94,93,(SELECT top 1 ItemID FROM tbFinanceItem where ItemName = '(BSD)Prov for Impairment-Rental Equipment'))</v>
      </c>
      <c r="K97" s="3" t="str">
        <f t="shared" si="2"/>
        <v>INSERT INTO tbFinanceItem(ItemName) VALUES('(BSD)Prov for Impairment-Rental Equipment')</v>
      </c>
    </row>
    <row r="98" spans="1:11">
      <c r="A98" t="s">
        <v>74</v>
      </c>
      <c r="B98" t="s">
        <v>1433</v>
      </c>
      <c r="C98">
        <v>95</v>
      </c>
      <c r="D98">
        <v>85</v>
      </c>
      <c r="E98">
        <v>94</v>
      </c>
      <c r="F98">
        <v>85</v>
      </c>
      <c r="G98">
        <v>642</v>
      </c>
      <c r="H98" t="s">
        <v>1514</v>
      </c>
      <c r="I98" s="82" t="s">
        <v>2020</v>
      </c>
      <c r="J98" t="str">
        <f t="shared" si="4"/>
        <v>INSERT INTO tbFinanceItemSeq(Report,ItemSeqID,ItemSN,ItemID) VALUES('BSD',95,94,642)</v>
      </c>
      <c r="K98" t="str">
        <f t="shared" si="2"/>
        <v/>
      </c>
    </row>
    <row r="99" spans="1:11">
      <c r="A99" t="s">
        <v>74</v>
      </c>
      <c r="B99" t="s">
        <v>1433</v>
      </c>
      <c r="C99">
        <v>96</v>
      </c>
      <c r="D99">
        <v>86</v>
      </c>
      <c r="E99">
        <v>95</v>
      </c>
      <c r="F99">
        <v>86</v>
      </c>
      <c r="G99">
        <v>643</v>
      </c>
      <c r="H99" t="s">
        <v>1515</v>
      </c>
      <c r="I99" s="82" t="s">
        <v>2021</v>
      </c>
      <c r="J99" t="str">
        <f t="shared" si="4"/>
        <v>INSERT INTO tbFinanceItemSeq(Report,ItemSeqID,ItemSN,ItemID) VALUES('BSD',96,95,643)</v>
      </c>
      <c r="K99" t="str">
        <f t="shared" si="2"/>
        <v/>
      </c>
    </row>
    <row r="100" spans="1:11" s="3" customFormat="1">
      <c r="A100" s="3" t="s">
        <v>75</v>
      </c>
      <c r="B100" s="3" t="s">
        <v>1433</v>
      </c>
      <c r="C100">
        <v>97</v>
      </c>
      <c r="E100">
        <v>96</v>
      </c>
      <c r="G100" s="3" t="str">
        <f>CONCATENATE("(SELECT top 1 ItemID FROM tbFinanceItem where ItemName = '",H100,"')")</f>
        <v>(SELECT top 1 ItemID FROM tbFinanceItem where ItemName = '(BSD)Prov for Impairment-Pipelines')</v>
      </c>
      <c r="H100" s="45" t="s">
        <v>1900</v>
      </c>
      <c r="I100" s="82" t="s">
        <v>2022</v>
      </c>
      <c r="J100" s="3" t="str">
        <f t="shared" si="4"/>
        <v>INSERT INTO tbFinanceItemSeq(Report,ItemSeqID,ItemSN,ItemID) VALUES('BSD',97,96,(SELECT top 1 ItemID FROM tbFinanceItem where ItemName = '(BSD)Prov for Impairment-Pipelines'))</v>
      </c>
      <c r="K100" s="3" t="str">
        <f t="shared" si="2"/>
        <v>INSERT INTO tbFinanceItem(ItemName) VALUES('(BSD)Prov for Impairment-Pipelines')</v>
      </c>
    </row>
    <row r="101" spans="1:11">
      <c r="A101" t="s">
        <v>74</v>
      </c>
      <c r="B101" t="s">
        <v>1433</v>
      </c>
      <c r="C101">
        <v>98</v>
      </c>
      <c r="D101">
        <v>87</v>
      </c>
      <c r="E101">
        <v>97</v>
      </c>
      <c r="F101">
        <v>87</v>
      </c>
      <c r="G101">
        <v>644</v>
      </c>
      <c r="H101" t="s">
        <v>1516</v>
      </c>
      <c r="I101" s="82" t="s">
        <v>2023</v>
      </c>
      <c r="J101" t="str">
        <f t="shared" si="4"/>
        <v>INSERT INTO tbFinanceItemSeq(Report,ItemSeqID,ItemSN,ItemID) VALUES('BSD',98,97,644)</v>
      </c>
      <c r="K101" t="str">
        <f t="shared" si="2"/>
        <v/>
      </c>
    </row>
    <row r="102" spans="1:11">
      <c r="A102" t="s">
        <v>74</v>
      </c>
      <c r="B102" t="s">
        <v>1433</v>
      </c>
      <c r="C102">
        <v>99</v>
      </c>
      <c r="D102">
        <v>88</v>
      </c>
      <c r="E102">
        <v>98</v>
      </c>
      <c r="F102">
        <v>88</v>
      </c>
      <c r="G102">
        <v>645</v>
      </c>
      <c r="H102" t="s">
        <v>1517</v>
      </c>
      <c r="I102" s="82" t="s">
        <v>2024</v>
      </c>
      <c r="J102" t="str">
        <f t="shared" si="4"/>
        <v>INSERT INTO tbFinanceItemSeq(Report,ItemSeqID,ItemSN,ItemID) VALUES('BSD',99,98,645)</v>
      </c>
      <c r="K102" t="str">
        <f t="shared" si="2"/>
        <v/>
      </c>
    </row>
    <row r="103" spans="1:11" s="3" customFormat="1">
      <c r="A103" s="3" t="s">
        <v>75</v>
      </c>
      <c r="B103" s="3" t="s">
        <v>1433</v>
      </c>
      <c r="C103">
        <v>100</v>
      </c>
      <c r="E103">
        <v>99</v>
      </c>
      <c r="G103" s="3" t="str">
        <f>CONCATENATE("(SELECT top 1 ItemID FROM tbFinanceItem where ItemName = '",H103,"')")</f>
        <v>(SELECT top 1 ItemID FROM tbFinanceItem where ItemName = '(BSD)Prov for Impairment-Storage Tanks')</v>
      </c>
      <c r="H103" s="45" t="s">
        <v>1901</v>
      </c>
      <c r="I103" s="82" t="s">
        <v>2025</v>
      </c>
      <c r="J103" s="3" t="str">
        <f t="shared" si="4"/>
        <v>INSERT INTO tbFinanceItemSeq(Report,ItemSeqID,ItemSN,ItemID) VALUES('BSD',100,99,(SELECT top 1 ItemID FROM tbFinanceItem where ItemName = '(BSD)Prov for Impairment-Storage Tanks'))</v>
      </c>
      <c r="K103" s="3" t="str">
        <f t="shared" si="2"/>
        <v>INSERT INTO tbFinanceItem(ItemName) VALUES('(BSD)Prov for Impairment-Storage Tanks')</v>
      </c>
    </row>
    <row r="104" spans="1:11">
      <c r="A104" t="s">
        <v>74</v>
      </c>
      <c r="B104" t="s">
        <v>1433</v>
      </c>
      <c r="C104">
        <v>101</v>
      </c>
      <c r="D104">
        <v>89</v>
      </c>
      <c r="E104">
        <v>100</v>
      </c>
      <c r="F104">
        <v>89</v>
      </c>
      <c r="G104">
        <v>646</v>
      </c>
      <c r="H104" t="s">
        <v>1518</v>
      </c>
      <c r="I104" s="82" t="s">
        <v>2026</v>
      </c>
      <c r="J104" t="str">
        <f t="shared" si="4"/>
        <v>INSERT INTO tbFinanceItemSeq(Report,ItemSeqID,ItemSN,ItemID) VALUES('BSD',101,100,646)</v>
      </c>
      <c r="K104" t="str">
        <f t="shared" si="2"/>
        <v/>
      </c>
    </row>
    <row r="105" spans="1:11">
      <c r="A105" t="s">
        <v>74</v>
      </c>
      <c r="B105" t="s">
        <v>1433</v>
      </c>
      <c r="C105">
        <v>102</v>
      </c>
      <c r="D105">
        <v>90</v>
      </c>
      <c r="E105">
        <v>101</v>
      </c>
      <c r="F105">
        <v>90</v>
      </c>
      <c r="G105">
        <v>647</v>
      </c>
      <c r="H105" t="s">
        <v>1519</v>
      </c>
      <c r="I105" s="82" t="s">
        <v>2027</v>
      </c>
      <c r="J105" t="str">
        <f t="shared" si="4"/>
        <v>INSERT INTO tbFinanceItemSeq(Report,ItemSeqID,ItemSN,ItemID) VALUES('BSD',102,101,647)</v>
      </c>
      <c r="K105" t="str">
        <f t="shared" si="2"/>
        <v/>
      </c>
    </row>
    <row r="106" spans="1:11" s="3" customFormat="1">
      <c r="A106" s="3" t="s">
        <v>75</v>
      </c>
      <c r="B106" s="3" t="s">
        <v>1433</v>
      </c>
      <c r="C106">
        <v>103</v>
      </c>
      <c r="E106">
        <v>102</v>
      </c>
      <c r="G106" s="3" t="str">
        <f>CONCATENATE("(SELECT top 1 ItemID FROM tbFinanceItem where ItemName = '",H106,"')")</f>
        <v>(SELECT top 1 ItemID FROM tbFinanceItem where ItemName = '(BSD)Prov for Impairment-ISO Tanks')</v>
      </c>
      <c r="H106" s="3" t="s">
        <v>1902</v>
      </c>
      <c r="I106" s="82" t="s">
        <v>2028</v>
      </c>
      <c r="J106" s="3" t="str">
        <f t="shared" si="4"/>
        <v>INSERT INTO tbFinanceItemSeq(Report,ItemSeqID,ItemSN,ItemID) VALUES('BSD',103,102,(SELECT top 1 ItemID FROM tbFinanceItem where ItemName = '(BSD)Prov for Impairment-ISO Tanks'))</v>
      </c>
      <c r="K106" s="3" t="str">
        <f t="shared" si="2"/>
        <v>INSERT INTO tbFinanceItem(ItemName) VALUES('(BSD)Prov for Impairment-ISO Tanks')</v>
      </c>
    </row>
    <row r="107" spans="1:11">
      <c r="A107" t="s">
        <v>74</v>
      </c>
      <c r="B107" t="s">
        <v>1433</v>
      </c>
      <c r="C107">
        <v>104</v>
      </c>
      <c r="D107">
        <v>91</v>
      </c>
      <c r="E107">
        <v>103</v>
      </c>
      <c r="F107">
        <v>91</v>
      </c>
      <c r="G107">
        <v>648</v>
      </c>
      <c r="H107" t="s">
        <v>1520</v>
      </c>
      <c r="I107" s="82" t="s">
        <v>2029</v>
      </c>
      <c r="J107" t="str">
        <f t="shared" si="4"/>
        <v>INSERT INTO tbFinanceItemSeq(Report,ItemSeqID,ItemSN,ItemID) VALUES('BSD',104,103,648)</v>
      </c>
      <c r="K107" t="str">
        <f t="shared" si="2"/>
        <v/>
      </c>
    </row>
    <row r="108" spans="1:11">
      <c r="A108" t="s">
        <v>74</v>
      </c>
      <c r="B108" t="s">
        <v>1433</v>
      </c>
      <c r="C108">
        <v>105</v>
      </c>
      <c r="D108">
        <v>92</v>
      </c>
      <c r="E108">
        <v>104</v>
      </c>
      <c r="F108">
        <v>92</v>
      </c>
      <c r="G108">
        <v>649</v>
      </c>
      <c r="H108" t="s">
        <v>1521</v>
      </c>
      <c r="I108" s="82" t="s">
        <v>2030</v>
      </c>
      <c r="J108" t="str">
        <f t="shared" si="4"/>
        <v>INSERT INTO tbFinanceItemSeq(Report,ItemSeqID,ItemSN,ItemID) VALUES('BSD',105,104,649)</v>
      </c>
      <c r="K108" t="str">
        <f t="shared" si="2"/>
        <v/>
      </c>
    </row>
    <row r="109" spans="1:11">
      <c r="A109" t="s">
        <v>74</v>
      </c>
      <c r="B109" t="s">
        <v>1433</v>
      </c>
      <c r="C109">
        <v>106</v>
      </c>
      <c r="D109">
        <v>93</v>
      </c>
      <c r="E109">
        <v>105</v>
      </c>
      <c r="F109">
        <v>93</v>
      </c>
      <c r="G109">
        <v>1584</v>
      </c>
      <c r="H109" t="s">
        <v>1522</v>
      </c>
      <c r="I109" s="82" t="s">
        <v>2031</v>
      </c>
      <c r="J109" t="str">
        <f t="shared" si="4"/>
        <v>INSERT INTO tbFinanceItemSeq(Report,ItemSeqID,ItemSN,ItemID) VALUES('BSD',106,105,1584)</v>
      </c>
      <c r="K109" t="str">
        <f t="shared" si="2"/>
        <v/>
      </c>
    </row>
    <row r="110" spans="1:11">
      <c r="A110" t="s">
        <v>74</v>
      </c>
      <c r="B110" t="s">
        <v>1433</v>
      </c>
      <c r="C110">
        <v>107</v>
      </c>
      <c r="D110">
        <v>94</v>
      </c>
      <c r="E110">
        <v>106</v>
      </c>
      <c r="F110">
        <v>94</v>
      </c>
      <c r="G110">
        <v>650</v>
      </c>
      <c r="H110" t="s">
        <v>1523</v>
      </c>
      <c r="I110" s="82" t="s">
        <v>2032</v>
      </c>
      <c r="J110" t="str">
        <f>IF(A110&lt;&gt;"Remove",CONCATENATE("INSERT INTO tbFinanceItemSeq(Report,ItemSeqID,ItemSN,ItemID) VALUES('",B110,"',",C110,",",E110,",",G110,")")," ")</f>
        <v>INSERT INTO tbFinanceItemSeq(Report,ItemSeqID,ItemSN,ItemID) VALUES('BSD',107,106,650)</v>
      </c>
      <c r="K110" t="str">
        <f t="shared" si="2"/>
        <v/>
      </c>
    </row>
    <row r="111" spans="1:11">
      <c r="A111" t="s">
        <v>74</v>
      </c>
      <c r="B111" t="s">
        <v>1433</v>
      </c>
      <c r="C111">
        <v>108</v>
      </c>
      <c r="D111">
        <v>95</v>
      </c>
      <c r="E111">
        <v>107</v>
      </c>
      <c r="F111">
        <v>95</v>
      </c>
      <c r="G111">
        <v>651</v>
      </c>
      <c r="H111" t="s">
        <v>1524</v>
      </c>
      <c r="I111" s="82" t="s">
        <v>2033</v>
      </c>
      <c r="J111" t="str">
        <f t="shared" ref="J111:J142" si="5">IF(A111&lt;&gt;"Remove",CONCATENATE("INSERT INTO tbFinanceItemSeq(Report,ItemSeqID,ItemSN,ItemID) VALUES('",B111,"',",C111,",",E111,",",G111,")")," ")</f>
        <v>INSERT INTO tbFinanceItemSeq(Report,ItemSeqID,ItemSN,ItemID) VALUES('BSD',108,107,651)</v>
      </c>
      <c r="K111" t="str">
        <f t="shared" si="2"/>
        <v/>
      </c>
    </row>
    <row r="112" spans="1:11" s="3" customFormat="1">
      <c r="A112" s="3" t="s">
        <v>75</v>
      </c>
      <c r="B112" s="3" t="s">
        <v>1433</v>
      </c>
      <c r="C112">
        <v>109</v>
      </c>
      <c r="E112">
        <v>108</v>
      </c>
      <c r="G112" s="3" t="str">
        <f>CONCATENATE("(SELECT top 1 ItemID FROM tbFinanceItem where ItemName = '",H112,"')")</f>
        <v>(SELECT top 1 ItemID FROM tbFinanceItem where ItemName = '(BSD)Prov for Impairment-Tools')</v>
      </c>
      <c r="H112" s="3" t="s">
        <v>1903</v>
      </c>
      <c r="I112" s="82" t="s">
        <v>2034</v>
      </c>
      <c r="J112" s="3" t="str">
        <f t="shared" si="5"/>
        <v>INSERT INTO tbFinanceItemSeq(Report,ItemSeqID,ItemSN,ItemID) VALUES('BSD',109,108,(SELECT top 1 ItemID FROM tbFinanceItem where ItemName = '(BSD)Prov for Impairment-Tools'))</v>
      </c>
      <c r="K112" s="3" t="str">
        <f t="shared" si="2"/>
        <v>INSERT INTO tbFinanceItem(ItemName) VALUES('(BSD)Prov for Impairment-Tools')</v>
      </c>
    </row>
    <row r="113" spans="1:11">
      <c r="A113" t="s">
        <v>74</v>
      </c>
      <c r="B113" t="s">
        <v>1433</v>
      </c>
      <c r="C113">
        <v>110</v>
      </c>
      <c r="D113">
        <v>96</v>
      </c>
      <c r="E113">
        <v>109</v>
      </c>
      <c r="F113">
        <v>96</v>
      </c>
      <c r="G113">
        <v>652</v>
      </c>
      <c r="H113" t="s">
        <v>1525</v>
      </c>
      <c r="I113" s="82" t="s">
        <v>2035</v>
      </c>
      <c r="J113" t="str">
        <f t="shared" si="5"/>
        <v>INSERT INTO tbFinanceItemSeq(Report,ItemSeqID,ItemSN,ItemID) VALUES('BSD',110,109,652)</v>
      </c>
      <c r="K113" t="str">
        <f t="shared" si="2"/>
        <v/>
      </c>
    </row>
    <row r="114" spans="1:11">
      <c r="A114" t="s">
        <v>74</v>
      </c>
      <c r="B114" t="s">
        <v>1433</v>
      </c>
      <c r="C114">
        <v>111</v>
      </c>
      <c r="D114">
        <v>97</v>
      </c>
      <c r="E114">
        <v>110</v>
      </c>
      <c r="F114">
        <v>97</v>
      </c>
      <c r="G114">
        <v>653</v>
      </c>
      <c r="H114" t="s">
        <v>1526</v>
      </c>
      <c r="I114" s="82" t="s">
        <v>2036</v>
      </c>
      <c r="J114" t="str">
        <f t="shared" si="5"/>
        <v>INSERT INTO tbFinanceItemSeq(Report,ItemSeqID,ItemSN,ItemID) VALUES('BSD',111,110,653)</v>
      </c>
      <c r="K114" t="str">
        <f t="shared" si="2"/>
        <v/>
      </c>
    </row>
    <row r="115" spans="1:11" s="3" customFormat="1">
      <c r="A115" s="3" t="s">
        <v>75</v>
      </c>
      <c r="B115" s="3" t="s">
        <v>1433</v>
      </c>
      <c r="C115">
        <v>112</v>
      </c>
      <c r="E115">
        <v>111</v>
      </c>
      <c r="G115" s="3" t="str">
        <f>CONCATENATE("(SELECT top 1 ItemID FROM tbFinanceItem where ItemName = '",H115,"')")</f>
        <v>(SELECT top 1 ItemID FROM tbFinanceItem where ItemName = '(BSD)Prov for Impairment-Dies &amp; Moulds')</v>
      </c>
      <c r="H115" s="3" t="s">
        <v>1904</v>
      </c>
      <c r="I115" s="82" t="s">
        <v>2037</v>
      </c>
      <c r="J115" s="3" t="str">
        <f t="shared" si="5"/>
        <v>INSERT INTO tbFinanceItemSeq(Report,ItemSeqID,ItemSN,ItemID) VALUES('BSD',112,111,(SELECT top 1 ItemID FROM tbFinanceItem where ItemName = '(BSD)Prov for Impairment-Dies &amp; Moulds'))</v>
      </c>
      <c r="K115" s="3" t="str">
        <f t="shared" si="2"/>
        <v>INSERT INTO tbFinanceItem(ItemName) VALUES('(BSD)Prov for Impairment-Dies &amp; Moulds')</v>
      </c>
    </row>
    <row r="116" spans="1:11">
      <c r="A116" t="s">
        <v>74</v>
      </c>
      <c r="B116" t="s">
        <v>1433</v>
      </c>
      <c r="C116">
        <v>113</v>
      </c>
      <c r="D116">
        <v>98</v>
      </c>
      <c r="E116">
        <v>112</v>
      </c>
      <c r="F116">
        <v>98</v>
      </c>
      <c r="G116">
        <v>654</v>
      </c>
      <c r="H116" t="s">
        <v>1527</v>
      </c>
      <c r="I116" s="82" t="s">
        <v>2038</v>
      </c>
      <c r="J116" t="str">
        <f t="shared" si="5"/>
        <v>INSERT INTO tbFinanceItemSeq(Report,ItemSeqID,ItemSN,ItemID) VALUES('BSD',113,112,654)</v>
      </c>
      <c r="K116" t="str">
        <f t="shared" si="2"/>
        <v/>
      </c>
    </row>
    <row r="117" spans="1:11">
      <c r="A117" t="s">
        <v>74</v>
      </c>
      <c r="B117" t="s">
        <v>1433</v>
      </c>
      <c r="C117">
        <v>114</v>
      </c>
      <c r="D117">
        <v>99</v>
      </c>
      <c r="E117">
        <v>113</v>
      </c>
      <c r="F117">
        <v>99</v>
      </c>
      <c r="G117">
        <v>655</v>
      </c>
      <c r="H117" t="s">
        <v>1528</v>
      </c>
      <c r="I117" s="82" t="s">
        <v>2039</v>
      </c>
      <c r="J117" t="str">
        <f t="shared" si="5"/>
        <v>INSERT INTO tbFinanceItemSeq(Report,ItemSeqID,ItemSN,ItemID) VALUES('BSD',114,113,655)</v>
      </c>
      <c r="K117" t="str">
        <f t="shared" si="2"/>
        <v/>
      </c>
    </row>
    <row r="118" spans="1:11" s="3" customFormat="1">
      <c r="A118" s="3" t="s">
        <v>75</v>
      </c>
      <c r="B118" s="3" t="s">
        <v>1433</v>
      </c>
      <c r="C118">
        <v>115</v>
      </c>
      <c r="E118">
        <v>114</v>
      </c>
      <c r="G118" s="3" t="str">
        <f>CONCATENATE("(SELECT top 1 ItemID FROM tbFinanceItem where ItemName = '",H118,"')")</f>
        <v>(SELECT top 1 ItemID FROM tbFinanceItem where ItemName = '(BSD)Prov for Impairment-Spare Parts')</v>
      </c>
      <c r="H118" s="3" t="s">
        <v>1905</v>
      </c>
      <c r="I118" s="82" t="s">
        <v>2040</v>
      </c>
      <c r="J118" s="3" t="str">
        <f t="shared" si="5"/>
        <v>INSERT INTO tbFinanceItemSeq(Report,ItemSeqID,ItemSN,ItemID) VALUES('BSD',115,114,(SELECT top 1 ItemID FROM tbFinanceItem where ItemName = '(BSD)Prov for Impairment-Spare Parts'))</v>
      </c>
      <c r="K118" s="3" t="str">
        <f t="shared" si="2"/>
        <v>INSERT INTO tbFinanceItem(ItemName) VALUES('(BSD)Prov for Impairment-Spare Parts')</v>
      </c>
    </row>
    <row r="119" spans="1:11">
      <c r="A119" t="s">
        <v>74</v>
      </c>
      <c r="B119" t="s">
        <v>1433</v>
      </c>
      <c r="C119">
        <v>116</v>
      </c>
      <c r="D119">
        <v>100</v>
      </c>
      <c r="E119">
        <v>115</v>
      </c>
      <c r="F119">
        <v>100</v>
      </c>
      <c r="G119">
        <v>656</v>
      </c>
      <c r="H119" t="s">
        <v>1529</v>
      </c>
      <c r="I119" s="82" t="s">
        <v>2041</v>
      </c>
      <c r="J119" t="str">
        <f t="shared" si="5"/>
        <v>INSERT INTO tbFinanceItemSeq(Report,ItemSeqID,ItemSN,ItemID) VALUES('BSD',116,115,656)</v>
      </c>
      <c r="K119" t="str">
        <f t="shared" si="2"/>
        <v/>
      </c>
    </row>
    <row r="120" spans="1:11">
      <c r="A120" t="s">
        <v>74</v>
      </c>
      <c r="B120" t="s">
        <v>1433</v>
      </c>
      <c r="C120">
        <v>117</v>
      </c>
      <c r="D120">
        <v>101</v>
      </c>
      <c r="E120">
        <v>116</v>
      </c>
      <c r="F120">
        <v>101</v>
      </c>
      <c r="G120">
        <v>657</v>
      </c>
      <c r="H120" t="s">
        <v>1530</v>
      </c>
      <c r="I120" s="82" t="s">
        <v>2042</v>
      </c>
      <c r="J120" t="str">
        <f t="shared" si="5"/>
        <v>INSERT INTO tbFinanceItemSeq(Report,ItemSeqID,ItemSN,ItemID) VALUES('BSD',117,116,657)</v>
      </c>
      <c r="K120" t="str">
        <f t="shared" si="2"/>
        <v/>
      </c>
    </row>
    <row r="121" spans="1:11" s="3" customFormat="1">
      <c r="A121" s="3" t="s">
        <v>75</v>
      </c>
      <c r="B121" s="3" t="s">
        <v>1433</v>
      </c>
      <c r="C121">
        <v>118</v>
      </c>
      <c r="E121">
        <v>117</v>
      </c>
      <c r="G121" s="3" t="str">
        <f>CONCATENATE("(SELECT top 1 ItemID FROM tbFinanceItem where ItemName = '",H121,"')")</f>
        <v>(SELECT top 1 ItemID FROM tbFinanceItem where ItemName = '(BSD)Prov for Impairment-F&amp;F')</v>
      </c>
      <c r="H121" s="3" t="s">
        <v>1906</v>
      </c>
      <c r="I121" s="82" t="s">
        <v>2043</v>
      </c>
      <c r="J121" s="3" t="str">
        <f t="shared" si="5"/>
        <v>INSERT INTO tbFinanceItemSeq(Report,ItemSeqID,ItemSN,ItemID) VALUES('BSD',118,117,(SELECT top 1 ItemID FROM tbFinanceItem where ItemName = '(BSD)Prov for Impairment-F&amp;F'))</v>
      </c>
      <c r="K121" s="3" t="str">
        <f t="shared" si="2"/>
        <v>INSERT INTO tbFinanceItem(ItemName) VALUES('(BSD)Prov for Impairment-F&amp;F')</v>
      </c>
    </row>
    <row r="122" spans="1:11">
      <c r="A122" t="s">
        <v>74</v>
      </c>
      <c r="B122" t="s">
        <v>1433</v>
      </c>
      <c r="C122">
        <v>119</v>
      </c>
      <c r="D122">
        <v>102</v>
      </c>
      <c r="E122">
        <v>118</v>
      </c>
      <c r="F122">
        <v>102</v>
      </c>
      <c r="G122">
        <v>658</v>
      </c>
      <c r="H122" t="s">
        <v>1531</v>
      </c>
      <c r="I122" s="82" t="s">
        <v>2044</v>
      </c>
      <c r="J122" t="str">
        <f t="shared" si="5"/>
        <v>INSERT INTO tbFinanceItemSeq(Report,ItemSeqID,ItemSN,ItemID) VALUES('BSD',119,118,658)</v>
      </c>
      <c r="K122" t="str">
        <f t="shared" si="2"/>
        <v/>
      </c>
    </row>
    <row r="123" spans="1:11">
      <c r="A123" t="s">
        <v>74</v>
      </c>
      <c r="B123" t="s">
        <v>1433</v>
      </c>
      <c r="C123">
        <v>120</v>
      </c>
      <c r="D123">
        <v>103</v>
      </c>
      <c r="E123">
        <v>119</v>
      </c>
      <c r="F123">
        <v>103</v>
      </c>
      <c r="G123">
        <v>659</v>
      </c>
      <c r="H123" t="s">
        <v>1532</v>
      </c>
      <c r="I123" s="82" t="s">
        <v>2045</v>
      </c>
      <c r="J123" t="str">
        <f t="shared" si="5"/>
        <v>INSERT INTO tbFinanceItemSeq(Report,ItemSeqID,ItemSN,ItemID) VALUES('BSD',120,119,659)</v>
      </c>
      <c r="K123" t="str">
        <f t="shared" si="2"/>
        <v/>
      </c>
    </row>
    <row r="124" spans="1:11" s="3" customFormat="1">
      <c r="A124" s="3" t="s">
        <v>75</v>
      </c>
      <c r="B124" s="3" t="s">
        <v>1433</v>
      </c>
      <c r="C124">
        <v>121</v>
      </c>
      <c r="E124">
        <v>120</v>
      </c>
      <c r="G124" s="3" t="str">
        <f>CONCATENATE("(SELECT top 1 ItemID FROM tbFinanceItem where ItemName = '",H124,"')")</f>
        <v>(SELECT top 1 ItemID FROM tbFinanceItem where ItemName = '(BSD)Prov for Impairment-Office Equip')</v>
      </c>
      <c r="H124" s="3" t="s">
        <v>1907</v>
      </c>
      <c r="I124" s="82" t="s">
        <v>2046</v>
      </c>
      <c r="J124" s="3" t="str">
        <f t="shared" si="5"/>
        <v>INSERT INTO tbFinanceItemSeq(Report,ItemSeqID,ItemSN,ItemID) VALUES('BSD',121,120,(SELECT top 1 ItemID FROM tbFinanceItem where ItemName = '(BSD)Prov for Impairment-Office Equip'))</v>
      </c>
      <c r="K124" s="3" t="str">
        <f t="shared" si="2"/>
        <v>INSERT INTO tbFinanceItem(ItemName) VALUES('(BSD)Prov for Impairment-Office Equip')</v>
      </c>
    </row>
    <row r="125" spans="1:11">
      <c r="A125" t="s">
        <v>74</v>
      </c>
      <c r="B125" t="s">
        <v>1433</v>
      </c>
      <c r="C125">
        <v>122</v>
      </c>
      <c r="D125">
        <v>104</v>
      </c>
      <c r="E125">
        <v>121</v>
      </c>
      <c r="F125">
        <v>104</v>
      </c>
      <c r="G125">
        <v>660</v>
      </c>
      <c r="H125" t="s">
        <v>1533</v>
      </c>
      <c r="I125" s="82" t="s">
        <v>2047</v>
      </c>
      <c r="J125" t="str">
        <f t="shared" si="5"/>
        <v>INSERT INTO tbFinanceItemSeq(Report,ItemSeqID,ItemSN,ItemID) VALUES('BSD',122,121,660)</v>
      </c>
      <c r="K125" t="str">
        <f t="shared" si="2"/>
        <v/>
      </c>
    </row>
    <row r="126" spans="1:11">
      <c r="A126" t="s">
        <v>74</v>
      </c>
      <c r="B126" t="s">
        <v>1433</v>
      </c>
      <c r="C126">
        <v>123</v>
      </c>
      <c r="D126">
        <v>105</v>
      </c>
      <c r="E126">
        <v>122</v>
      </c>
      <c r="F126">
        <v>105</v>
      </c>
      <c r="G126">
        <v>661</v>
      </c>
      <c r="H126" t="s">
        <v>1534</v>
      </c>
      <c r="I126" s="82" t="s">
        <v>2048</v>
      </c>
      <c r="J126" t="str">
        <f t="shared" si="5"/>
        <v>INSERT INTO tbFinanceItemSeq(Report,ItemSeqID,ItemSN,ItemID) VALUES('BSD',123,122,661)</v>
      </c>
      <c r="K126" t="str">
        <f t="shared" si="2"/>
        <v/>
      </c>
    </row>
    <row r="127" spans="1:11" s="3" customFormat="1">
      <c r="A127" s="3" t="s">
        <v>75</v>
      </c>
      <c r="B127" s="3" t="s">
        <v>1433</v>
      </c>
      <c r="C127">
        <v>124</v>
      </c>
      <c r="E127">
        <v>123</v>
      </c>
      <c r="G127" s="3" t="str">
        <f>CONCATENATE("(SELECT top 1 ItemID FROM tbFinanceItem where ItemName = '",H127,"')")</f>
        <v>(SELECT top 1 ItemID FROM tbFinanceItem where ItemName = '(BSD)Prov for Impairment-Computer')</v>
      </c>
      <c r="H127" s="3" t="s">
        <v>1908</v>
      </c>
      <c r="I127" s="82" t="s">
        <v>2049</v>
      </c>
      <c r="J127" s="3" t="str">
        <f t="shared" si="5"/>
        <v>INSERT INTO tbFinanceItemSeq(Report,ItemSeqID,ItemSN,ItemID) VALUES('BSD',124,123,(SELECT top 1 ItemID FROM tbFinanceItem where ItemName = '(BSD)Prov for Impairment-Computer'))</v>
      </c>
      <c r="K127" s="3" t="str">
        <f t="shared" si="2"/>
        <v>INSERT INTO tbFinanceItem(ItemName) VALUES('(BSD)Prov for Impairment-Computer')</v>
      </c>
    </row>
    <row r="128" spans="1:11">
      <c r="A128" t="s">
        <v>74</v>
      </c>
      <c r="B128" t="s">
        <v>1433</v>
      </c>
      <c r="C128">
        <v>125</v>
      </c>
      <c r="D128">
        <v>106</v>
      </c>
      <c r="E128">
        <v>124</v>
      </c>
      <c r="F128">
        <v>106</v>
      </c>
      <c r="G128">
        <v>662</v>
      </c>
      <c r="H128" t="s">
        <v>1535</v>
      </c>
      <c r="I128" s="82" t="s">
        <v>2050</v>
      </c>
      <c r="J128" t="str">
        <f t="shared" si="5"/>
        <v>INSERT INTO tbFinanceItemSeq(Report,ItemSeqID,ItemSN,ItemID) VALUES('BSD',125,124,662)</v>
      </c>
      <c r="K128" t="str">
        <f t="shared" si="2"/>
        <v/>
      </c>
    </row>
    <row r="129" spans="1:11">
      <c r="A129" t="s">
        <v>74</v>
      </c>
      <c r="B129" t="s">
        <v>1433</v>
      </c>
      <c r="C129">
        <v>126</v>
      </c>
      <c r="D129">
        <v>107</v>
      </c>
      <c r="E129">
        <v>125</v>
      </c>
      <c r="F129">
        <v>107</v>
      </c>
      <c r="G129">
        <v>663</v>
      </c>
      <c r="H129" t="s">
        <v>1536</v>
      </c>
      <c r="I129" s="82" t="s">
        <v>2051</v>
      </c>
      <c r="J129" t="str">
        <f t="shared" si="5"/>
        <v>INSERT INTO tbFinanceItemSeq(Report,ItemSeqID,ItemSN,ItemID) VALUES('BSD',126,125,663)</v>
      </c>
      <c r="K129" t="str">
        <f t="shared" si="2"/>
        <v/>
      </c>
    </row>
    <row r="130" spans="1:11" s="3" customFormat="1">
      <c r="A130" s="3" t="s">
        <v>75</v>
      </c>
      <c r="B130" s="3" t="s">
        <v>1433</v>
      </c>
      <c r="C130">
        <v>127</v>
      </c>
      <c r="E130">
        <v>126</v>
      </c>
      <c r="G130" s="3" t="str">
        <f>CONCATENATE("(SELECT top 1 ItemID FROM tbFinanceItem where ItemName = '",H130,"')")</f>
        <v>(SELECT top 1 ItemID FROM tbFinanceItem where ItemName = '(BSD)Prov for Impairment-Motor Vehicle')</v>
      </c>
      <c r="H130" s="3" t="s">
        <v>1909</v>
      </c>
      <c r="I130" s="82" t="s">
        <v>2052</v>
      </c>
      <c r="J130" s="3" t="str">
        <f t="shared" si="5"/>
        <v>INSERT INTO tbFinanceItemSeq(Report,ItemSeqID,ItemSN,ItemID) VALUES('BSD',127,126,(SELECT top 1 ItemID FROM tbFinanceItem where ItemName = '(BSD)Prov for Impairment-Motor Vehicle'))</v>
      </c>
      <c r="K130" s="3" t="str">
        <f t="shared" si="2"/>
        <v>INSERT INTO tbFinanceItem(ItemName) VALUES('(BSD)Prov for Impairment-Motor Vehicle')</v>
      </c>
    </row>
    <row r="131" spans="1:11" s="3" customFormat="1">
      <c r="A131" s="3" t="s">
        <v>75</v>
      </c>
      <c r="B131" s="3" t="s">
        <v>1433</v>
      </c>
      <c r="C131">
        <v>128</v>
      </c>
      <c r="E131">
        <v>127</v>
      </c>
      <c r="G131" s="3" t="str">
        <f>CONCATENATE("(SELECT top 1 ItemID FROM tbFinanceItem where ItemName = '",H131,"')")</f>
        <v>(SELECT top 1 ItemID FROM tbFinanceItem where ItemName = '(BSD)Fixed Assets Clearing Account')</v>
      </c>
      <c r="H131" s="45" t="s">
        <v>1910</v>
      </c>
      <c r="I131" s="82" t="s">
        <v>2053</v>
      </c>
      <c r="J131" s="3" t="str">
        <f t="shared" si="5"/>
        <v>INSERT INTO tbFinanceItemSeq(Report,ItemSeqID,ItemSN,ItemID) VALUES('BSD',128,127,(SELECT top 1 ItemID FROM tbFinanceItem where ItemName = '(BSD)Fixed Assets Clearing Account'))</v>
      </c>
      <c r="K131" s="3" t="str">
        <f t="shared" si="2"/>
        <v>INSERT INTO tbFinanceItem(ItemName) VALUES('(BSD)Fixed Assets Clearing Account')</v>
      </c>
    </row>
    <row r="132" spans="1:11">
      <c r="A132" t="s">
        <v>74</v>
      </c>
      <c r="B132" t="s">
        <v>1433</v>
      </c>
      <c r="C132">
        <v>129</v>
      </c>
      <c r="D132">
        <v>108</v>
      </c>
      <c r="E132">
        <v>128</v>
      </c>
      <c r="F132">
        <v>108</v>
      </c>
      <c r="G132">
        <v>664</v>
      </c>
      <c r="H132" t="s">
        <v>1537</v>
      </c>
      <c r="I132" s="83" t="s">
        <v>2054</v>
      </c>
      <c r="J132" t="str">
        <f t="shared" si="5"/>
        <v>INSERT INTO tbFinanceItemSeq(Report,ItemSeqID,ItemSN,ItemID) VALUES('BSD',129,128,664)</v>
      </c>
      <c r="K132" t="str">
        <f t="shared" si="2"/>
        <v/>
      </c>
    </row>
    <row r="133" spans="1:11">
      <c r="A133" t="s">
        <v>74</v>
      </c>
      <c r="B133" t="s">
        <v>1433</v>
      </c>
      <c r="C133">
        <v>130</v>
      </c>
      <c r="D133">
        <v>109</v>
      </c>
      <c r="E133">
        <v>129</v>
      </c>
      <c r="F133">
        <v>109</v>
      </c>
      <c r="G133">
        <v>665</v>
      </c>
      <c r="H133" t="s">
        <v>1538</v>
      </c>
      <c r="I133" s="82" t="s">
        <v>2055</v>
      </c>
      <c r="J133" t="str">
        <f t="shared" si="5"/>
        <v>INSERT INTO tbFinanceItemSeq(Report,ItemSeqID,ItemSN,ItemID) VALUES('BSD',130,129,665)</v>
      </c>
      <c r="K133" t="str">
        <f t="shared" si="2"/>
        <v/>
      </c>
    </row>
    <row r="134" spans="1:11" s="3" customFormat="1">
      <c r="A134" s="3" t="s">
        <v>75</v>
      </c>
      <c r="B134" s="3" t="s">
        <v>1433</v>
      </c>
      <c r="C134">
        <v>131</v>
      </c>
      <c r="E134">
        <v>130</v>
      </c>
      <c r="G134" s="3" t="str">
        <f>CONCATENATE("(SELECT top 1 ItemID FROM tbFinanceItem where ItemName = '",H134,"')")</f>
        <v>(SELECT top 1 ItemID FROM tbFinanceItem where ItemName = '(BSD)Prov for Impairment-Subsidiary ')</v>
      </c>
      <c r="H134" s="3" t="s">
        <v>1911</v>
      </c>
      <c r="I134" s="82" t="s">
        <v>2056</v>
      </c>
      <c r="J134" s="3" t="str">
        <f t="shared" si="5"/>
        <v>INSERT INTO tbFinanceItemSeq(Report,ItemSeqID,ItemSN,ItemID) VALUES('BSD',131,130,(SELECT top 1 ItemID FROM tbFinanceItem where ItemName = '(BSD)Prov for Impairment-Subsidiary '))</v>
      </c>
      <c r="K134" s="3" t="str">
        <f t="shared" si="2"/>
        <v>INSERT INTO tbFinanceItem(ItemName) VALUES('(BSD)Prov for Impairment-Subsidiary ')</v>
      </c>
    </row>
    <row r="135" spans="1:11">
      <c r="A135" t="s">
        <v>74</v>
      </c>
      <c r="B135" t="s">
        <v>1433</v>
      </c>
      <c r="C135">
        <v>132</v>
      </c>
      <c r="D135">
        <v>110</v>
      </c>
      <c r="E135">
        <v>131</v>
      </c>
      <c r="F135">
        <v>110</v>
      </c>
      <c r="G135">
        <v>666</v>
      </c>
      <c r="H135" t="s">
        <v>1539</v>
      </c>
      <c r="I135" s="82" t="s">
        <v>2057</v>
      </c>
      <c r="J135" t="str">
        <f t="shared" si="5"/>
        <v>INSERT INTO tbFinanceItemSeq(Report,ItemSeqID,ItemSN,ItemID) VALUES('BSD',132,131,666)</v>
      </c>
      <c r="K135" t="str">
        <f t="shared" si="2"/>
        <v/>
      </c>
    </row>
    <row r="136" spans="1:11" s="3" customFormat="1">
      <c r="A136" s="3" t="s">
        <v>75</v>
      </c>
      <c r="B136" s="3" t="s">
        <v>1433</v>
      </c>
      <c r="C136">
        <v>133</v>
      </c>
      <c r="E136">
        <v>132</v>
      </c>
      <c r="G136" s="3" t="str">
        <f>CONCATENATE("(SELECT top 1 ItemID FROM tbFinanceItem where ItemName = '",H136,"')")</f>
        <v>(SELECT top 1 ItemID FROM tbFinanceItem where ItemName = '(BSD)Prov for Impairment-JV Co')</v>
      </c>
      <c r="H136" s="3" t="s">
        <v>2179</v>
      </c>
      <c r="I136" s="82" t="s">
        <v>2058</v>
      </c>
      <c r="J136" s="3" t="str">
        <f t="shared" si="5"/>
        <v>INSERT INTO tbFinanceItemSeq(Report,ItemSeqID,ItemSN,ItemID) VALUES('BSD',133,132,(SELECT top 1 ItemID FROM tbFinanceItem where ItemName = '(BSD)Prov for Impairment-JV Co'))</v>
      </c>
      <c r="K136" s="3" t="str">
        <f t="shared" si="2"/>
        <v>INSERT INTO tbFinanceItem(ItemName) VALUES('(BSD)Prov for Impairment-JV Co')</v>
      </c>
    </row>
    <row r="137" spans="1:11">
      <c r="A137" t="s">
        <v>74</v>
      </c>
      <c r="B137" t="s">
        <v>1433</v>
      </c>
      <c r="C137">
        <v>134</v>
      </c>
      <c r="D137">
        <v>111</v>
      </c>
      <c r="E137">
        <v>133</v>
      </c>
      <c r="F137">
        <v>111</v>
      </c>
      <c r="G137">
        <v>667</v>
      </c>
      <c r="H137" t="s">
        <v>1540</v>
      </c>
      <c r="I137" s="82" t="s">
        <v>2059</v>
      </c>
      <c r="J137" t="str">
        <f t="shared" si="5"/>
        <v>INSERT INTO tbFinanceItemSeq(Report,ItemSeqID,ItemSN,ItemID) VALUES('BSD',134,133,667)</v>
      </c>
      <c r="K137" t="str">
        <f t="shared" si="2"/>
        <v/>
      </c>
    </row>
    <row r="138" spans="1:11" s="3" customFormat="1">
      <c r="A138" s="3" t="s">
        <v>75</v>
      </c>
      <c r="B138" s="3" t="s">
        <v>1433</v>
      </c>
      <c r="C138">
        <v>135</v>
      </c>
      <c r="E138">
        <v>134</v>
      </c>
      <c r="G138" s="3" t="str">
        <f>CONCATENATE("(SELECT top 1 ItemID FROM tbFinanceItem where ItemName = '",H138,"')")</f>
        <v>(SELECT top 1 ItemID FROM tbFinanceItem where ItemName = '(BSD)Prov for Impairment-Assoc Co')</v>
      </c>
      <c r="H138" s="3" t="s">
        <v>2180</v>
      </c>
      <c r="I138" s="82" t="s">
        <v>2060</v>
      </c>
      <c r="J138" s="3" t="str">
        <f t="shared" si="5"/>
        <v>INSERT INTO tbFinanceItemSeq(Report,ItemSeqID,ItemSN,ItemID) VALUES('BSD',135,134,(SELECT top 1 ItemID FROM tbFinanceItem where ItemName = '(BSD)Prov for Impairment-Assoc Co'))</v>
      </c>
      <c r="K138" s="3" t="str">
        <f t="shared" si="2"/>
        <v>INSERT INTO tbFinanceItem(ItemName) VALUES('(BSD)Prov for Impairment-Assoc Co')</v>
      </c>
    </row>
    <row r="139" spans="1:11">
      <c r="A139" t="s">
        <v>74</v>
      </c>
      <c r="B139" t="s">
        <v>1433</v>
      </c>
      <c r="C139">
        <v>136</v>
      </c>
      <c r="D139">
        <v>112</v>
      </c>
      <c r="E139">
        <v>135</v>
      </c>
      <c r="F139">
        <v>112</v>
      </c>
      <c r="G139">
        <v>668</v>
      </c>
      <c r="H139" t="s">
        <v>1541</v>
      </c>
      <c r="I139" s="82" t="s">
        <v>2061</v>
      </c>
      <c r="J139" t="str">
        <f t="shared" si="5"/>
        <v>INSERT INTO tbFinanceItemSeq(Report,ItemSeqID,ItemSN,ItemID) VALUES('BSD',136,135,668)</v>
      </c>
      <c r="K139" t="str">
        <f t="shared" si="2"/>
        <v/>
      </c>
    </row>
    <row r="140" spans="1:11" s="3" customFormat="1">
      <c r="A140" s="3" t="s">
        <v>75</v>
      </c>
      <c r="B140" s="3" t="s">
        <v>1433</v>
      </c>
      <c r="C140">
        <v>137</v>
      </c>
      <c r="E140">
        <v>136</v>
      </c>
      <c r="G140" s="3" t="str">
        <f>CONCATENATE("(SELECT top 1 ItemID FROM tbFinanceItem where ItemName = '",H140,"')")</f>
        <v>(SELECT top 1 ItemID FROM tbFinanceItem where ItemName = '(BSD)Prov for Impairment-Rel Co')</v>
      </c>
      <c r="H140" s="3" t="s">
        <v>2181</v>
      </c>
      <c r="I140" s="82" t="s">
        <v>2062</v>
      </c>
      <c r="J140" s="3" t="str">
        <f t="shared" si="5"/>
        <v>INSERT INTO tbFinanceItemSeq(Report,ItemSeqID,ItemSN,ItemID) VALUES('BSD',137,136,(SELECT top 1 ItemID FROM tbFinanceItem where ItemName = '(BSD)Prov for Impairment-Rel Co'))</v>
      </c>
      <c r="K140" s="3" t="str">
        <f t="shared" si="2"/>
        <v>INSERT INTO tbFinanceItem(ItemName) VALUES('(BSD)Prov for Impairment-Rel Co')</v>
      </c>
    </row>
    <row r="141" spans="1:11">
      <c r="A141" t="s">
        <v>74</v>
      </c>
      <c r="B141" t="s">
        <v>1433</v>
      </c>
      <c r="C141">
        <v>138</v>
      </c>
      <c r="D141">
        <v>113</v>
      </c>
      <c r="E141">
        <v>137</v>
      </c>
      <c r="F141">
        <v>113</v>
      </c>
      <c r="G141">
        <v>669</v>
      </c>
      <c r="H141" t="s">
        <v>1542</v>
      </c>
      <c r="I141" s="82" t="s">
        <v>2063</v>
      </c>
      <c r="J141" t="str">
        <f t="shared" si="5"/>
        <v>INSERT INTO tbFinanceItemSeq(Report,ItemSeqID,ItemSN,ItemID) VALUES('BSD',138,137,669)</v>
      </c>
      <c r="K141" t="str">
        <f t="shared" si="2"/>
        <v/>
      </c>
    </row>
    <row r="142" spans="1:11" s="3" customFormat="1">
      <c r="A142" s="3" t="s">
        <v>75</v>
      </c>
      <c r="B142" s="3" t="s">
        <v>1433</v>
      </c>
      <c r="C142">
        <v>139</v>
      </c>
      <c r="E142">
        <v>138</v>
      </c>
      <c r="G142" s="3" t="str">
        <f>CONCATENATE("(SELECT top 1ItemID FROM tbFinanceItem where ItemName = '",H142,"')")</f>
        <v>(SELECT top 1ItemID FROM tbFinanceItem where ItemName = '(BSD)Prov for Impairment-Quoted Shares')</v>
      </c>
      <c r="H142" s="45" t="s">
        <v>2182</v>
      </c>
      <c r="I142" s="82" t="s">
        <v>2064</v>
      </c>
      <c r="J142" s="3" t="str">
        <f t="shared" si="5"/>
        <v>INSERT INTO tbFinanceItemSeq(Report,ItemSeqID,ItemSN,ItemID) VALUES('BSD',139,138,(SELECT top 1ItemID FROM tbFinanceItem where ItemName = '(BSD)Prov for Impairment-Quoted Shares'))</v>
      </c>
      <c r="K142" s="3" t="str">
        <f t="shared" si="2"/>
        <v>INSERT INTO tbFinanceItem(ItemName) VALUES('(BSD)Prov for Impairment-Quoted Shares')</v>
      </c>
    </row>
    <row r="143" spans="1:11">
      <c r="A143" t="s">
        <v>74</v>
      </c>
      <c r="B143" t="s">
        <v>1433</v>
      </c>
      <c r="C143">
        <v>140</v>
      </c>
      <c r="D143">
        <v>114</v>
      </c>
      <c r="E143">
        <v>139</v>
      </c>
      <c r="F143">
        <v>114</v>
      </c>
      <c r="G143">
        <v>670</v>
      </c>
      <c r="H143" t="s">
        <v>1543</v>
      </c>
      <c r="I143" s="82" t="s">
        <v>2065</v>
      </c>
      <c r="J143" t="str">
        <f>IF(A143&lt;&gt;"Remove",CONCATENATE("INSERT INTO tbFinanceItemSeq(Report,ItemSeqID,ItemSN,ItemID) VALUES('",B143,"',",C143,",",E143,",",G143,")")," ")</f>
        <v>INSERT INTO tbFinanceItemSeq(Report,ItemSeqID,ItemSN,ItemID) VALUES('BSD',140,139,670)</v>
      </c>
      <c r="K143" t="str">
        <f t="shared" si="2"/>
        <v/>
      </c>
    </row>
    <row r="144" spans="1:11" s="3" customFormat="1">
      <c r="A144" s="3" t="s">
        <v>75</v>
      </c>
      <c r="B144" s="3" t="s">
        <v>1433</v>
      </c>
      <c r="C144">
        <v>141</v>
      </c>
      <c r="E144">
        <v>140</v>
      </c>
      <c r="G144" s="3" t="str">
        <f>CONCATENATE("(SELECT top 1 ItemID FROM tbFinanceItem where ItemName = '",H144,"')")</f>
        <v>(SELECT top 1 ItemID FROM tbFinanceItem where ItemName = '(BSD)Amort-Trade Name')</v>
      </c>
      <c r="H144" s="3" t="s">
        <v>1912</v>
      </c>
      <c r="I144" s="82" t="s">
        <v>2066</v>
      </c>
      <c r="J144" s="3" t="str">
        <f t="shared" ref="J144:J150" si="6">IF(A144&lt;&gt;"Remove",CONCATENATE("INSERT INTO tbFinanceItemSeq(Report,ItemSeqID,ItemSN,ItemID) VALUES('",B144,"',",C144,",",E144,",",G144,")")," ")</f>
        <v>INSERT INTO tbFinanceItemSeq(Report,ItemSeqID,ItemSN,ItemID) VALUES('BSD',141,140,(SELECT top 1 ItemID FROM tbFinanceItem where ItemName = '(BSD)Amort-Trade Name'))</v>
      </c>
      <c r="K144" s="3" t="str">
        <f t="shared" si="2"/>
        <v>INSERT INTO tbFinanceItem(ItemName) VALUES('(BSD)Amort-Trade Name')</v>
      </c>
    </row>
    <row r="145" spans="1:11">
      <c r="A145" t="s">
        <v>74</v>
      </c>
      <c r="B145" t="s">
        <v>1433</v>
      </c>
      <c r="C145">
        <v>142</v>
      </c>
      <c r="D145">
        <v>115</v>
      </c>
      <c r="E145">
        <v>141</v>
      </c>
      <c r="F145">
        <v>115</v>
      </c>
      <c r="G145">
        <v>671</v>
      </c>
      <c r="H145" t="s">
        <v>1544</v>
      </c>
      <c r="I145" s="82" t="s">
        <v>2067</v>
      </c>
      <c r="J145" t="str">
        <f t="shared" si="6"/>
        <v>INSERT INTO tbFinanceItemSeq(Report,ItemSeqID,ItemSN,ItemID) VALUES('BSD',142,141,671)</v>
      </c>
      <c r="K145" t="str">
        <f t="shared" si="2"/>
        <v/>
      </c>
    </row>
    <row r="146" spans="1:11" s="3" customFormat="1">
      <c r="A146" s="3" t="s">
        <v>75</v>
      </c>
      <c r="B146" s="3" t="s">
        <v>1433</v>
      </c>
      <c r="C146">
        <v>143</v>
      </c>
      <c r="E146">
        <v>142</v>
      </c>
      <c r="G146" s="3" t="str">
        <f>CONCATENATE("(SELECT top 1 ItemID FROM tbFinanceItem where ItemName = '",H146,"')")</f>
        <v>(SELECT top 1 ItemID FROM tbFinanceItem where ItemName = '(BSD)Amort-Customer Relationship')</v>
      </c>
      <c r="H146" s="3" t="s">
        <v>1913</v>
      </c>
      <c r="I146" s="82" t="s">
        <v>2068</v>
      </c>
      <c r="J146" s="3" t="str">
        <f t="shared" si="6"/>
        <v>INSERT INTO tbFinanceItemSeq(Report,ItemSeqID,ItemSN,ItemID) VALUES('BSD',143,142,(SELECT top 1 ItemID FROM tbFinanceItem where ItemName = '(BSD)Amort-Customer Relationship'))</v>
      </c>
      <c r="K146" s="3" t="str">
        <f t="shared" si="2"/>
        <v>INSERT INTO tbFinanceItem(ItemName) VALUES('(BSD)Amort-Customer Relationship')</v>
      </c>
    </row>
    <row r="147" spans="1:11">
      <c r="A147" t="s">
        <v>74</v>
      </c>
      <c r="B147" t="s">
        <v>1433</v>
      </c>
      <c r="C147">
        <v>144</v>
      </c>
      <c r="D147">
        <v>116</v>
      </c>
      <c r="E147">
        <v>143</v>
      </c>
      <c r="F147">
        <v>116</v>
      </c>
      <c r="G147">
        <v>672</v>
      </c>
      <c r="H147" t="s">
        <v>1545</v>
      </c>
      <c r="I147" s="82" t="s">
        <v>2069</v>
      </c>
      <c r="J147" t="str">
        <f t="shared" si="6"/>
        <v>INSERT INTO tbFinanceItemSeq(Report,ItemSeqID,ItemSN,ItemID) VALUES('BSD',144,143,672)</v>
      </c>
      <c r="K147" t="str">
        <f t="shared" si="2"/>
        <v/>
      </c>
    </row>
    <row r="148" spans="1:11" s="3" customFormat="1">
      <c r="A148" s="3" t="s">
        <v>75</v>
      </c>
      <c r="B148" s="3" t="s">
        <v>1433</v>
      </c>
      <c r="C148">
        <v>145</v>
      </c>
      <c r="E148">
        <v>144</v>
      </c>
      <c r="G148" s="3" t="str">
        <f>CONCATENATE("(SELECT top 1 ItemID FROM tbFinanceItem where ItemName = '",H148,"')")</f>
        <v>(SELECT top 1 ItemID FROM tbFinanceItem where ItemName = '(BSD)Amort-Trademark &amp; Patent')</v>
      </c>
      <c r="H148" s="45" t="s">
        <v>1914</v>
      </c>
      <c r="I148" s="82" t="s">
        <v>2070</v>
      </c>
      <c r="J148" s="3" t="str">
        <f t="shared" si="6"/>
        <v>INSERT INTO tbFinanceItemSeq(Report,ItemSeqID,ItemSN,ItemID) VALUES('BSD',145,144,(SELECT top 1 ItemID FROM tbFinanceItem where ItemName = '(BSD)Amort-Trademark &amp; Patent'))</v>
      </c>
      <c r="K148" s="3" t="str">
        <f t="shared" si="2"/>
        <v>INSERT INTO tbFinanceItem(ItemName) VALUES('(BSD)Amort-Trademark &amp; Patent')</v>
      </c>
    </row>
    <row r="149" spans="1:11">
      <c r="A149" t="s">
        <v>74</v>
      </c>
      <c r="B149" t="s">
        <v>1433</v>
      </c>
      <c r="C149">
        <v>146</v>
      </c>
      <c r="D149">
        <v>117</v>
      </c>
      <c r="E149">
        <v>145</v>
      </c>
      <c r="F149">
        <v>117</v>
      </c>
      <c r="G149">
        <v>673</v>
      </c>
      <c r="H149" t="s">
        <v>1546</v>
      </c>
      <c r="I149" s="82" t="s">
        <v>2071</v>
      </c>
      <c r="J149" t="str">
        <f t="shared" si="6"/>
        <v>INSERT INTO tbFinanceItemSeq(Report,ItemSeqID,ItemSN,ItemID) VALUES('BSD',146,145,673)</v>
      </c>
      <c r="K149" t="str">
        <f t="shared" si="2"/>
        <v/>
      </c>
    </row>
    <row r="150" spans="1:11" s="3" customFormat="1">
      <c r="A150" s="3" t="s">
        <v>75</v>
      </c>
      <c r="B150" s="3" t="s">
        <v>1433</v>
      </c>
      <c r="C150">
        <v>147</v>
      </c>
      <c r="E150">
        <v>146</v>
      </c>
      <c r="G150" s="3" t="str">
        <f>CONCATENATE("(SELECT top 1 ItemID FROM tbFinanceItem where ItemName = '",H150,"')")</f>
        <v>(SELECT top 1 ItemID FROM tbFinanceItem where ItemName = '(BSD)Amort-Product License')</v>
      </c>
      <c r="H150" s="3" t="s">
        <v>2183</v>
      </c>
      <c r="I150" s="82" t="s">
        <v>2072</v>
      </c>
      <c r="J150" s="3" t="str">
        <f t="shared" si="6"/>
        <v>INSERT INTO tbFinanceItemSeq(Report,ItemSeqID,ItemSN,ItemID) VALUES('BSD',147,146,(SELECT top 1 ItemID FROM tbFinanceItem where ItemName = '(BSD)Amort-Product License'))</v>
      </c>
      <c r="K150" s="3" t="str">
        <f t="shared" si="2"/>
        <v>INSERT INTO tbFinanceItem(ItemName) VALUES('(BSD)Amort-Product License')</v>
      </c>
    </row>
    <row r="151" spans="1:11">
      <c r="A151" t="s">
        <v>74</v>
      </c>
      <c r="B151" t="s">
        <v>1433</v>
      </c>
      <c r="C151">
        <v>148</v>
      </c>
      <c r="D151">
        <v>118</v>
      </c>
      <c r="E151">
        <v>147</v>
      </c>
      <c r="F151">
        <v>118</v>
      </c>
      <c r="G151">
        <v>674</v>
      </c>
      <c r="H151" t="s">
        <v>1547</v>
      </c>
      <c r="I151" s="82" t="s">
        <v>2073</v>
      </c>
      <c r="J151" t="str">
        <f t="shared" ref="J151:J177" si="7">IF(A151&lt;&gt;"Remove",CONCATENATE("INSERT INTO tbFinanceItemSeq(Report,ItemSeqID,ItemSN,ItemID) VALUES('",B151,"',",C151,",",E151,",",G151,")")," ")</f>
        <v>INSERT INTO tbFinanceItemSeq(Report,ItemSeqID,ItemSN,ItemID) VALUES('BSD',148,147,674)</v>
      </c>
      <c r="K151" t="str">
        <f t="shared" si="2"/>
        <v/>
      </c>
    </row>
    <row r="152" spans="1:11" s="3" customFormat="1">
      <c r="A152" s="3" t="s">
        <v>75</v>
      </c>
      <c r="B152" s="3" t="s">
        <v>1433</v>
      </c>
      <c r="C152">
        <v>149</v>
      </c>
      <c r="E152">
        <v>148</v>
      </c>
      <c r="G152" s="3" t="str">
        <f>CONCATENATE("(SELECT top 1 ItemID FROM tbFinanceItem where ItemName = '",H152,"')")</f>
        <v>(SELECT top 1 ItemID FROM tbFinanceItem where ItemName = '(BSD)Amort-Club Membership')</v>
      </c>
      <c r="H152" s="3" t="s">
        <v>1915</v>
      </c>
      <c r="I152" s="82" t="s">
        <v>2074</v>
      </c>
      <c r="J152" s="3" t="str">
        <f t="shared" si="7"/>
        <v>INSERT INTO tbFinanceItemSeq(Report,ItemSeqID,ItemSN,ItemID) VALUES('BSD',149,148,(SELECT top 1 ItemID FROM tbFinanceItem where ItemName = '(BSD)Amort-Club Membership'))</v>
      </c>
      <c r="K152" s="3" t="str">
        <f t="shared" si="2"/>
        <v>INSERT INTO tbFinanceItem(ItemName) VALUES('(BSD)Amort-Club Membership')</v>
      </c>
    </row>
    <row r="153" spans="1:11">
      <c r="A153" t="s">
        <v>74</v>
      </c>
      <c r="B153" t="s">
        <v>1433</v>
      </c>
      <c r="C153">
        <v>150</v>
      </c>
      <c r="D153">
        <v>119</v>
      </c>
      <c r="E153">
        <v>149</v>
      </c>
      <c r="F153">
        <v>119</v>
      </c>
      <c r="G153">
        <v>675</v>
      </c>
      <c r="H153" t="s">
        <v>1548</v>
      </c>
      <c r="I153" s="82" t="s">
        <v>2075</v>
      </c>
      <c r="J153" t="str">
        <f t="shared" si="7"/>
        <v>INSERT INTO tbFinanceItemSeq(Report,ItemSeqID,ItemSN,ItemID) VALUES('BSD',150,149,675)</v>
      </c>
      <c r="K153" t="str">
        <f t="shared" si="2"/>
        <v/>
      </c>
    </row>
    <row r="154" spans="1:11">
      <c r="A154" t="s">
        <v>74</v>
      </c>
      <c r="B154" t="s">
        <v>1433</v>
      </c>
      <c r="C154">
        <v>151</v>
      </c>
      <c r="D154">
        <v>120</v>
      </c>
      <c r="E154">
        <v>150</v>
      </c>
      <c r="F154">
        <v>120</v>
      </c>
      <c r="G154">
        <v>676</v>
      </c>
      <c r="H154" t="s">
        <v>1549</v>
      </c>
      <c r="I154" s="82" t="s">
        <v>2076</v>
      </c>
      <c r="J154" t="str">
        <f t="shared" si="7"/>
        <v>INSERT INTO tbFinanceItemSeq(Report,ItemSeqID,ItemSN,ItemID) VALUES('BSD',151,150,676)</v>
      </c>
      <c r="K154" t="str">
        <f t="shared" si="2"/>
        <v/>
      </c>
    </row>
    <row r="155" spans="1:11" s="3" customFormat="1">
      <c r="A155" s="3" t="s">
        <v>75</v>
      </c>
      <c r="B155" s="3" t="s">
        <v>1433</v>
      </c>
      <c r="C155">
        <v>152</v>
      </c>
      <c r="E155">
        <v>151</v>
      </c>
      <c r="G155" s="3" t="str">
        <f>CONCATENATE("(SELECT top 1 ItemID FROM tbFinanceItem where ItemName = '",H155,"')")</f>
        <v>(SELECT top 1 ItemID FROM tbFinanceItem where ItemName = '(BSD)Prov for DD-Interco - Non Current')</v>
      </c>
      <c r="H155" s="3" t="s">
        <v>1919</v>
      </c>
      <c r="I155" s="82" t="s">
        <v>2077</v>
      </c>
      <c r="J155" s="3" t="str">
        <f t="shared" si="7"/>
        <v>INSERT INTO tbFinanceItemSeq(Report,ItemSeqID,ItemSN,ItemID) VALUES('BSD',152,151,(SELECT top 1 ItemID FROM tbFinanceItem where ItemName = '(BSD)Prov for DD-Interco - Non Current'))</v>
      </c>
      <c r="K155" s="3" t="str">
        <f t="shared" si="2"/>
        <v>INSERT INTO tbFinanceItem(ItemName) VALUES('(BSD)Prov for DD-Interco - Non Current')</v>
      </c>
    </row>
    <row r="156" spans="1:11">
      <c r="A156" t="s">
        <v>74</v>
      </c>
      <c r="B156" t="s">
        <v>1433</v>
      </c>
      <c r="C156">
        <v>153</v>
      </c>
      <c r="D156">
        <v>121</v>
      </c>
      <c r="E156">
        <v>152</v>
      </c>
      <c r="F156">
        <v>121</v>
      </c>
      <c r="G156">
        <v>677</v>
      </c>
      <c r="H156" t="s">
        <v>1916</v>
      </c>
      <c r="I156" s="82" t="s">
        <v>2078</v>
      </c>
      <c r="J156" t="str">
        <f t="shared" si="7"/>
        <v>INSERT INTO tbFinanceItemSeq(Report,ItemSeqID,ItemSN,ItemID) VALUES('BSD',153,152,677)</v>
      </c>
      <c r="K156" t="str">
        <f t="shared" si="2"/>
        <v/>
      </c>
    </row>
    <row r="157" spans="1:11" s="3" customFormat="1">
      <c r="A157" s="3" t="s">
        <v>75</v>
      </c>
      <c r="B157" s="3" t="s">
        <v>1433</v>
      </c>
      <c r="C157">
        <v>154</v>
      </c>
      <c r="E157">
        <v>153</v>
      </c>
      <c r="G157" s="3" t="str">
        <f>CONCATENATE("(SELECT top 1 ItemID FROM tbFinanceItem where ItemName = '",H157,"')")</f>
        <v>(SELECT top 1 ItemID FROM tbFinanceItem where ItemName = '(BSD)Prov for DD-JV/Assoc - Non Current')</v>
      </c>
      <c r="H157" s="45" t="s">
        <v>1918</v>
      </c>
      <c r="I157" s="82" t="s">
        <v>2079</v>
      </c>
      <c r="J157" s="3" t="str">
        <f t="shared" si="7"/>
        <v>INSERT INTO tbFinanceItemSeq(Report,ItemSeqID,ItemSN,ItemID) VALUES('BSD',154,153,(SELECT top 1 ItemID FROM tbFinanceItem where ItemName = '(BSD)Prov for DD-JV/Assoc - Non Current'))</v>
      </c>
      <c r="K157" s="3" t="str">
        <f t="shared" si="2"/>
        <v>INSERT INTO tbFinanceItem(ItemName) VALUES('(BSD)Prov for DD-JV/Assoc - Non Current')</v>
      </c>
    </row>
    <row r="158" spans="1:11" s="2" customFormat="1">
      <c r="A158" s="2" t="s">
        <v>76</v>
      </c>
      <c r="B158" s="2" t="s">
        <v>1433</v>
      </c>
      <c r="C158">
        <v>154</v>
      </c>
      <c r="D158" s="2">
        <v>122</v>
      </c>
      <c r="E158">
        <v>154</v>
      </c>
      <c r="F158" s="2">
        <v>122</v>
      </c>
      <c r="G158" s="2">
        <v>678</v>
      </c>
      <c r="H158" s="2" t="s">
        <v>1551</v>
      </c>
      <c r="I158" s="82"/>
      <c r="J158" s="2" t="str">
        <f t="shared" si="7"/>
        <v xml:space="preserve"> </v>
      </c>
      <c r="K158" s="2" t="str">
        <f t="shared" si="2"/>
        <v/>
      </c>
    </row>
    <row r="159" spans="1:11" s="3" customFormat="1">
      <c r="A159" s="3" t="s">
        <v>75</v>
      </c>
      <c r="B159" s="3" t="s">
        <v>1433</v>
      </c>
      <c r="C159">
        <v>155</v>
      </c>
      <c r="E159">
        <v>154</v>
      </c>
      <c r="G159" s="3">
        <v>678</v>
      </c>
      <c r="H159" s="45" t="s">
        <v>1917</v>
      </c>
      <c r="I159" s="82" t="s">
        <v>2080</v>
      </c>
      <c r="J159" s="3" t="str">
        <f t="shared" si="7"/>
        <v>INSERT INTO tbFinanceItemSeq(Report,ItemSeqID,ItemSN,ItemID) VALUES('BSD',155,154,678)</v>
      </c>
      <c r="K159" s="3" t="s">
        <v>1920</v>
      </c>
    </row>
    <row r="160" spans="1:11" s="3" customFormat="1">
      <c r="A160" s="3" t="s">
        <v>75</v>
      </c>
      <c r="B160" s="3" t="s">
        <v>1433</v>
      </c>
      <c r="C160">
        <v>156</v>
      </c>
      <c r="E160">
        <v>155</v>
      </c>
      <c r="G160" s="3" t="str">
        <f>CONCATENATE("(SELECT top 1 ItemID FROM tbFinanceItem where ItemName = '",H160,"')")</f>
        <v>(SELECT top 1 ItemID FROM tbFinanceItem where ItemName = '(BSD)Prov for DD-Rel-Non Current')</v>
      </c>
      <c r="H160" s="45" t="s">
        <v>1921</v>
      </c>
      <c r="I160" s="82" t="s">
        <v>2081</v>
      </c>
      <c r="J160" s="3" t="str">
        <f t="shared" si="7"/>
        <v>INSERT INTO tbFinanceItemSeq(Report,ItemSeqID,ItemSN,ItemID) VALUES('BSD',156,155,(SELECT top 1 ItemID FROM tbFinanceItem where ItemName = '(BSD)Prov for DD-Rel-Non Current'))</v>
      </c>
      <c r="K160" s="3" t="str">
        <f t="shared" si="2"/>
        <v>INSERT INTO tbFinanceItem(ItemName) VALUES('(BSD)Prov for DD-Rel-Non Current')</v>
      </c>
    </row>
    <row r="161" spans="1:11">
      <c r="A161" t="s">
        <v>74</v>
      </c>
      <c r="B161" t="s">
        <v>1433</v>
      </c>
      <c r="C161">
        <v>157</v>
      </c>
      <c r="D161">
        <v>123</v>
      </c>
      <c r="E161">
        <v>156</v>
      </c>
      <c r="F161">
        <v>123</v>
      </c>
      <c r="G161">
        <v>679</v>
      </c>
      <c r="H161" t="s">
        <v>1552</v>
      </c>
      <c r="I161" s="82" t="s">
        <v>2082</v>
      </c>
      <c r="J161" t="str">
        <f t="shared" si="7"/>
        <v>INSERT INTO tbFinanceItemSeq(Report,ItemSeqID,ItemSN,ItemID) VALUES('BSD',157,156,679)</v>
      </c>
      <c r="K161" t="str">
        <f t="shared" si="2"/>
        <v/>
      </c>
    </row>
    <row r="162" spans="1:11" s="2" customFormat="1">
      <c r="A162" s="2" t="s">
        <v>76</v>
      </c>
      <c r="B162" s="2" t="s">
        <v>1433</v>
      </c>
      <c r="C162">
        <v>157</v>
      </c>
      <c r="D162" s="2">
        <v>124</v>
      </c>
      <c r="E162">
        <v>157</v>
      </c>
      <c r="F162" s="2">
        <v>124</v>
      </c>
      <c r="G162" s="2">
        <v>680</v>
      </c>
      <c r="H162" s="2" t="s">
        <v>1553</v>
      </c>
      <c r="I162" s="82"/>
      <c r="J162" s="2" t="str">
        <f t="shared" si="7"/>
        <v xml:space="preserve"> </v>
      </c>
      <c r="K162" s="2" t="str">
        <f t="shared" si="2"/>
        <v/>
      </c>
    </row>
    <row r="163" spans="1:11" s="3" customFormat="1">
      <c r="A163" s="3" t="s">
        <v>75</v>
      </c>
      <c r="B163" s="3" t="s">
        <v>1433</v>
      </c>
      <c r="C163">
        <v>158</v>
      </c>
      <c r="E163">
        <v>158</v>
      </c>
      <c r="G163" s="3" t="str">
        <f>CONCATENATE("(SELECT top 1 ItemID FROM tbFinanceItem where ItemName = '",H163,"')")</f>
        <v>(SELECT top 1 ItemID FROM tbFinanceItem where ItemName = '(BSD)Derivatives Asset - Non Current')</v>
      </c>
      <c r="H163" s="45" t="s">
        <v>1922</v>
      </c>
      <c r="I163" s="82" t="s">
        <v>2083</v>
      </c>
      <c r="J163" s="3" t="str">
        <f t="shared" si="7"/>
        <v>INSERT INTO tbFinanceItemSeq(Report,ItemSeqID,ItemSN,ItemID) VALUES('BSD',158,158,(SELECT top 1 ItemID FROM tbFinanceItem where ItemName = '(BSD)Derivatives Asset - Non Current'))</v>
      </c>
      <c r="K163" s="3" t="str">
        <f t="shared" si="2"/>
        <v>INSERT INTO tbFinanceItem(ItemName) VALUES('(BSD)Derivatives Asset - Non Current')</v>
      </c>
    </row>
    <row r="164" spans="1:11">
      <c r="A164" t="s">
        <v>74</v>
      </c>
      <c r="B164" t="s">
        <v>1433</v>
      </c>
      <c r="C164">
        <v>159</v>
      </c>
      <c r="D164">
        <v>125</v>
      </c>
      <c r="E164">
        <v>159</v>
      </c>
      <c r="F164">
        <v>125</v>
      </c>
      <c r="G164">
        <v>681</v>
      </c>
      <c r="H164" t="s">
        <v>1554</v>
      </c>
      <c r="I164" s="82" t="s">
        <v>2084</v>
      </c>
      <c r="J164" t="str">
        <f t="shared" si="7"/>
        <v>INSERT INTO tbFinanceItemSeq(Report,ItemSeqID,ItemSN,ItemID) VALUES('BSD',159,159,681)</v>
      </c>
      <c r="K164" t="str">
        <f t="shared" ref="K164:K230" si="8">IF(A164&lt;&gt;"New","",CONCATENATE("INSERT INTO tbFinanceItem(ItemName) VALUES('",H164,"')"))</f>
        <v/>
      </c>
    </row>
    <row r="165" spans="1:11">
      <c r="A165" t="s">
        <v>74</v>
      </c>
      <c r="B165" t="s">
        <v>1433</v>
      </c>
      <c r="C165">
        <v>160</v>
      </c>
      <c r="D165">
        <v>126</v>
      </c>
      <c r="E165">
        <v>160</v>
      </c>
      <c r="F165">
        <v>126</v>
      </c>
      <c r="G165">
        <v>682</v>
      </c>
      <c r="H165" t="s">
        <v>1555</v>
      </c>
      <c r="I165" s="82" t="s">
        <v>2085</v>
      </c>
      <c r="J165" t="str">
        <f t="shared" si="7"/>
        <v>INSERT INTO tbFinanceItemSeq(Report,ItemSeqID,ItemSN,ItemID) VALUES('BSD',160,160,682)</v>
      </c>
      <c r="K165" t="str">
        <f t="shared" si="8"/>
        <v/>
      </c>
    </row>
    <row r="166" spans="1:11" s="2" customFormat="1">
      <c r="A166" s="2" t="s">
        <v>76</v>
      </c>
      <c r="B166" s="2" t="s">
        <v>1433</v>
      </c>
      <c r="C166">
        <v>161</v>
      </c>
      <c r="D166" s="2">
        <v>127</v>
      </c>
      <c r="E166">
        <v>161</v>
      </c>
      <c r="F166" s="2">
        <v>127</v>
      </c>
      <c r="G166" s="2">
        <v>683</v>
      </c>
      <c r="H166" s="2" t="s">
        <v>1556</v>
      </c>
      <c r="I166" s="82"/>
      <c r="J166" s="2" t="str">
        <f t="shared" si="7"/>
        <v xml:space="preserve"> </v>
      </c>
      <c r="K166" s="2" t="str">
        <f t="shared" si="8"/>
        <v/>
      </c>
    </row>
    <row r="167" spans="1:11">
      <c r="A167" t="s">
        <v>74</v>
      </c>
      <c r="B167" t="s">
        <v>1433</v>
      </c>
      <c r="C167">
        <v>161</v>
      </c>
      <c r="D167">
        <v>128</v>
      </c>
      <c r="E167">
        <v>162</v>
      </c>
      <c r="F167">
        <v>128</v>
      </c>
      <c r="G167">
        <v>684</v>
      </c>
      <c r="H167" t="s">
        <v>1557</v>
      </c>
      <c r="I167" s="83" t="s">
        <v>2086</v>
      </c>
      <c r="J167" t="str">
        <f t="shared" si="7"/>
        <v>INSERT INTO tbFinanceItemSeq(Report,ItemSeqID,ItemSN,ItemID) VALUES('BSD',161,162,684)</v>
      </c>
      <c r="K167" t="str">
        <f t="shared" si="8"/>
        <v/>
      </c>
    </row>
    <row r="168" spans="1:11">
      <c r="A168" t="s">
        <v>74</v>
      </c>
      <c r="B168" t="s">
        <v>1433</v>
      </c>
      <c r="C168">
        <v>162</v>
      </c>
      <c r="D168">
        <v>129</v>
      </c>
      <c r="E168">
        <v>163</v>
      </c>
      <c r="F168">
        <v>129</v>
      </c>
      <c r="G168">
        <v>685</v>
      </c>
      <c r="H168" t="s">
        <v>1558</v>
      </c>
      <c r="I168" s="83" t="s">
        <v>2087</v>
      </c>
      <c r="J168" t="str">
        <f t="shared" si="7"/>
        <v>INSERT INTO tbFinanceItemSeq(Report,ItemSeqID,ItemSN,ItemID) VALUES('BSD',162,163,685)</v>
      </c>
      <c r="K168" t="str">
        <f t="shared" si="8"/>
        <v/>
      </c>
    </row>
    <row r="169" spans="1:11">
      <c r="A169" t="s">
        <v>74</v>
      </c>
      <c r="B169" t="s">
        <v>1433</v>
      </c>
      <c r="C169">
        <v>163</v>
      </c>
      <c r="D169">
        <v>130</v>
      </c>
      <c r="E169">
        <v>164</v>
      </c>
      <c r="F169">
        <v>130</v>
      </c>
      <c r="G169">
        <v>686</v>
      </c>
      <c r="H169" t="s">
        <v>1559</v>
      </c>
      <c r="I169" s="82" t="s">
        <v>2088</v>
      </c>
      <c r="J169" t="str">
        <f t="shared" si="7"/>
        <v>INSERT INTO tbFinanceItemSeq(Report,ItemSeqID,ItemSN,ItemID) VALUES('BSD',163,164,686)</v>
      </c>
      <c r="K169" t="str">
        <f t="shared" si="8"/>
        <v/>
      </c>
    </row>
    <row r="170" spans="1:11">
      <c r="A170" t="s">
        <v>74</v>
      </c>
      <c r="B170" t="s">
        <v>1433</v>
      </c>
      <c r="C170">
        <v>164</v>
      </c>
      <c r="D170">
        <v>131</v>
      </c>
      <c r="E170">
        <v>165</v>
      </c>
      <c r="F170">
        <v>131</v>
      </c>
      <c r="G170">
        <v>687</v>
      </c>
      <c r="H170" t="s">
        <v>1560</v>
      </c>
      <c r="I170" s="82" t="s">
        <v>2089</v>
      </c>
      <c r="J170" t="str">
        <f t="shared" si="7"/>
        <v>INSERT INTO tbFinanceItemSeq(Report,ItemSeqID,ItemSN,ItemID) VALUES('BSD',164,165,687)</v>
      </c>
      <c r="K170" t="str">
        <f t="shared" si="8"/>
        <v/>
      </c>
    </row>
    <row r="171" spans="1:11">
      <c r="A171" t="s">
        <v>74</v>
      </c>
      <c r="B171" t="s">
        <v>1433</v>
      </c>
      <c r="C171">
        <v>165</v>
      </c>
      <c r="D171">
        <v>132</v>
      </c>
      <c r="E171">
        <v>166</v>
      </c>
      <c r="F171">
        <v>132</v>
      </c>
      <c r="G171">
        <v>688</v>
      </c>
      <c r="H171" t="s">
        <v>1561</v>
      </c>
      <c r="I171" s="82" t="s">
        <v>2090</v>
      </c>
      <c r="J171" t="str">
        <f t="shared" si="7"/>
        <v>INSERT INTO tbFinanceItemSeq(Report,ItemSeqID,ItemSN,ItemID) VALUES('BSD',165,166,688)</v>
      </c>
      <c r="K171" t="str">
        <f t="shared" si="8"/>
        <v/>
      </c>
    </row>
    <row r="172" spans="1:11">
      <c r="A172" t="s">
        <v>74</v>
      </c>
      <c r="B172" t="s">
        <v>1433</v>
      </c>
      <c r="C172">
        <v>166</v>
      </c>
      <c r="D172">
        <v>133</v>
      </c>
      <c r="E172">
        <v>167</v>
      </c>
      <c r="F172">
        <v>133</v>
      </c>
      <c r="G172">
        <v>689</v>
      </c>
      <c r="H172" t="s">
        <v>1562</v>
      </c>
      <c r="I172" s="82" t="s">
        <v>2091</v>
      </c>
      <c r="J172" t="str">
        <f t="shared" si="7"/>
        <v>INSERT INTO tbFinanceItemSeq(Report,ItemSeqID,ItemSN,ItemID) VALUES('BSD',166,167,689)</v>
      </c>
      <c r="K172" t="str">
        <f t="shared" si="8"/>
        <v/>
      </c>
    </row>
    <row r="173" spans="1:11">
      <c r="A173" t="s">
        <v>74</v>
      </c>
      <c r="B173" t="s">
        <v>1433</v>
      </c>
      <c r="C173">
        <v>167</v>
      </c>
      <c r="D173">
        <v>134</v>
      </c>
      <c r="E173">
        <v>168</v>
      </c>
      <c r="F173">
        <v>134</v>
      </c>
      <c r="G173">
        <v>690</v>
      </c>
      <c r="H173" t="s">
        <v>1563</v>
      </c>
      <c r="I173" s="82" t="s">
        <v>2092</v>
      </c>
      <c r="J173" t="str">
        <f t="shared" si="7"/>
        <v>INSERT INTO tbFinanceItemSeq(Report,ItemSeqID,ItemSN,ItemID) VALUES('BSD',167,168,690)</v>
      </c>
      <c r="K173" t="str">
        <f t="shared" si="8"/>
        <v/>
      </c>
    </row>
    <row r="174" spans="1:11">
      <c r="A174" t="s">
        <v>74</v>
      </c>
      <c r="B174" t="s">
        <v>1433</v>
      </c>
      <c r="C174">
        <v>168</v>
      </c>
      <c r="D174">
        <v>135</v>
      </c>
      <c r="E174">
        <v>169</v>
      </c>
      <c r="F174">
        <v>135</v>
      </c>
      <c r="G174">
        <v>691</v>
      </c>
      <c r="H174" t="s">
        <v>1564</v>
      </c>
      <c r="I174" s="82" t="s">
        <v>2093</v>
      </c>
      <c r="J174" t="str">
        <f t="shared" si="7"/>
        <v>INSERT INTO tbFinanceItemSeq(Report,ItemSeqID,ItemSN,ItemID) VALUES('BSD',168,169,691)</v>
      </c>
      <c r="K174" t="str">
        <f t="shared" si="8"/>
        <v/>
      </c>
    </row>
    <row r="175" spans="1:11" s="3" customFormat="1">
      <c r="A175" s="3" t="s">
        <v>75</v>
      </c>
      <c r="B175" s="3" t="s">
        <v>1433</v>
      </c>
      <c r="C175" s="3">
        <v>169</v>
      </c>
      <c r="E175" s="3">
        <v>169</v>
      </c>
      <c r="G175" s="3" t="str">
        <f>CONCATENATE("(SELECT top 1 ItemID FROM tbFinanceItem where ItemName = '",H175,"')")</f>
        <v>(SELECT top 1 ItemID FROM tbFinanceItem where ItemName = '(BSD)HP Int in Suspense')</v>
      </c>
      <c r="H175" s="3" t="s">
        <v>1486</v>
      </c>
      <c r="I175" s="82" t="s">
        <v>2094</v>
      </c>
      <c r="J175" t="str">
        <f t="shared" si="7"/>
        <v>INSERT INTO tbFinanceItemSeq(Report,ItemSeqID,ItemSN,ItemID) VALUES('BSD',169,169,(SELECT top 1 ItemID FROM tbFinanceItem where ItemName = '(BSD)HP Int in Suspense'))</v>
      </c>
      <c r="K175" s="3" t="str">
        <f t="shared" si="8"/>
        <v>INSERT INTO tbFinanceItem(ItemName) VALUES('(BSD)HP Int in Suspense')</v>
      </c>
    </row>
    <row r="176" spans="1:11" s="2" customFormat="1">
      <c r="A176" s="2" t="s">
        <v>76</v>
      </c>
      <c r="B176" s="2" t="s">
        <v>1433</v>
      </c>
      <c r="C176" s="2">
        <v>168</v>
      </c>
      <c r="D176" s="2">
        <v>136</v>
      </c>
      <c r="E176" s="2">
        <v>168</v>
      </c>
      <c r="F176" s="2">
        <v>136</v>
      </c>
      <c r="G176" s="2">
        <v>692</v>
      </c>
      <c r="H176" s="2" t="s">
        <v>1565</v>
      </c>
      <c r="I176" s="82"/>
      <c r="J176" t="str">
        <f t="shared" si="7"/>
        <v xml:space="preserve"> </v>
      </c>
      <c r="K176" s="2" t="str">
        <f t="shared" si="8"/>
        <v/>
      </c>
    </row>
    <row r="177" spans="1:11" s="3" customFormat="1">
      <c r="A177" s="3" t="s">
        <v>75</v>
      </c>
      <c r="B177" s="3" t="s">
        <v>1433</v>
      </c>
      <c r="C177" s="3">
        <v>170</v>
      </c>
      <c r="E177" s="3">
        <v>170</v>
      </c>
      <c r="G177" s="3" t="str">
        <f>CONCATENATE("(SELECT top 1 ItemID FROM tbFinanceItem where ItemName = '",H177,"')")</f>
        <v>(SELECT top 1 ItemID FROM tbFinanceItem where ItemName = '(BSD)Trade Creditors')</v>
      </c>
      <c r="H177" s="3" t="s">
        <v>1923</v>
      </c>
      <c r="I177" s="82" t="s">
        <v>2095</v>
      </c>
      <c r="J177" s="3" t="str">
        <f t="shared" si="7"/>
        <v>INSERT INTO tbFinanceItemSeq(Report,ItemSeqID,ItemSN,ItemID) VALUES('BSD',170,170,(SELECT top 1 ItemID FROM tbFinanceItem where ItemName = '(BSD)Trade Creditors'))</v>
      </c>
      <c r="K177" s="3" t="s">
        <v>1924</v>
      </c>
    </row>
    <row r="178" spans="1:11">
      <c r="A178" t="s">
        <v>74</v>
      </c>
      <c r="B178" t="s">
        <v>1433</v>
      </c>
      <c r="C178">
        <v>171</v>
      </c>
      <c r="D178">
        <v>137</v>
      </c>
      <c r="E178">
        <v>171</v>
      </c>
      <c r="F178">
        <v>137</v>
      </c>
      <c r="G178">
        <v>693</v>
      </c>
      <c r="H178" t="s">
        <v>1566</v>
      </c>
      <c r="I178" s="82" t="s">
        <v>2096</v>
      </c>
      <c r="J178" t="str">
        <f t="shared" ref="J178:J191" si="9">IF(A178&lt;&gt;"Remove",CONCATENATE("INSERT INTO tbFinanceItemSeq(Report,ItemSeqID,ItemSN,ItemID) VALUES('",B178,"',",C178,",",E178,",",G178,")")," ")</f>
        <v>INSERT INTO tbFinanceItemSeq(Report,ItemSeqID,ItemSN,ItemID) VALUES('BSD',171,171,693)</v>
      </c>
      <c r="K178" t="str">
        <f t="shared" si="8"/>
        <v/>
      </c>
    </row>
    <row r="179" spans="1:11">
      <c r="A179" t="s">
        <v>74</v>
      </c>
      <c r="B179" t="s">
        <v>1433</v>
      </c>
      <c r="C179">
        <v>172</v>
      </c>
      <c r="D179">
        <v>138</v>
      </c>
      <c r="E179">
        <v>172</v>
      </c>
      <c r="F179">
        <v>138</v>
      </c>
      <c r="G179">
        <v>694</v>
      </c>
      <c r="H179" t="s">
        <v>1567</v>
      </c>
      <c r="I179" s="82" t="s">
        <v>2097</v>
      </c>
      <c r="J179" t="str">
        <f t="shared" si="9"/>
        <v>INSERT INTO tbFinanceItemSeq(Report,ItemSeqID,ItemSN,ItemID) VALUES('BSD',172,172,694)</v>
      </c>
      <c r="K179" t="str">
        <f t="shared" si="8"/>
        <v/>
      </c>
    </row>
    <row r="180" spans="1:11">
      <c r="A180" t="s">
        <v>74</v>
      </c>
      <c r="B180" t="s">
        <v>1433</v>
      </c>
      <c r="C180">
        <v>173</v>
      </c>
      <c r="D180">
        <v>142</v>
      </c>
      <c r="E180">
        <v>173</v>
      </c>
      <c r="F180">
        <v>142</v>
      </c>
      <c r="G180">
        <v>698</v>
      </c>
      <c r="H180" t="s">
        <v>1571</v>
      </c>
      <c r="I180" s="82" t="s">
        <v>2098</v>
      </c>
      <c r="J180" t="str">
        <f>IF(A180&lt;&gt;"Remove",CONCATENATE("INSERT INTO tbFinanceItemSeq(Report,ItemSeqID,ItemSN,ItemID) VALUES('",B180,"',",C180,",",E180,",",G180,")")," ")</f>
        <v>INSERT INTO tbFinanceItemSeq(Report,ItemSeqID,ItemSN,ItemID) VALUES('BSD',173,173,698)</v>
      </c>
      <c r="K180" t="str">
        <f>IF(A180&lt;&gt;"New","",CONCATENATE("INSERT INTO tbFinanceItem(ItemName) VALUES('",H180,"')"))</f>
        <v/>
      </c>
    </row>
    <row r="181" spans="1:11">
      <c r="A181" t="s">
        <v>74</v>
      </c>
      <c r="B181" t="s">
        <v>1433</v>
      </c>
      <c r="C181">
        <v>174</v>
      </c>
      <c r="D181">
        <v>143</v>
      </c>
      <c r="E181">
        <v>174</v>
      </c>
      <c r="F181">
        <v>143</v>
      </c>
      <c r="G181">
        <v>699</v>
      </c>
      <c r="H181" t="s">
        <v>1572</v>
      </c>
      <c r="I181" s="82" t="s">
        <v>2099</v>
      </c>
      <c r="J181" t="str">
        <f>IF(A181&lt;&gt;"Remove",CONCATENATE("INSERT INTO tbFinanceItemSeq(Report,ItemSeqID,ItemSN,ItemID) VALUES('",B181,"',",C181,",",E181,",",G181,")")," ")</f>
        <v>INSERT INTO tbFinanceItemSeq(Report,ItemSeqID,ItemSN,ItemID) VALUES('BSD',174,174,699)</v>
      </c>
      <c r="K181" t="str">
        <f>IF(A181&lt;&gt;"New","",CONCATENATE("INSERT INTO tbFinanceItem(ItemName) VALUES('",H181,"')"))</f>
        <v/>
      </c>
    </row>
    <row r="182" spans="1:11">
      <c r="A182" t="s">
        <v>74</v>
      </c>
      <c r="B182" t="s">
        <v>1433</v>
      </c>
      <c r="C182">
        <v>175</v>
      </c>
      <c r="D182">
        <v>144</v>
      </c>
      <c r="E182">
        <v>175</v>
      </c>
      <c r="F182">
        <v>144</v>
      </c>
      <c r="G182">
        <v>700</v>
      </c>
      <c r="H182" t="s">
        <v>1573</v>
      </c>
      <c r="I182" s="82" t="s">
        <v>2100</v>
      </c>
      <c r="J182" t="str">
        <f>IF(A182&lt;&gt;"Remove",CONCATENATE("INSERT INTO tbFinanceItemSeq(Report,ItemSeqID,ItemSN,ItemID) VALUES('",B182,"',",C182,",",E182,",",G182,")")," ")</f>
        <v>INSERT INTO tbFinanceItemSeq(Report,ItemSeqID,ItemSN,ItemID) VALUES('BSD',175,175,700)</v>
      </c>
      <c r="K182" t="str">
        <f>IF(A182&lt;&gt;"New","",CONCATENATE("INSERT INTO tbFinanceItem(ItemName) VALUES('",H182,"')"))</f>
        <v/>
      </c>
    </row>
    <row r="183" spans="1:11">
      <c r="A183" t="s">
        <v>74</v>
      </c>
      <c r="B183" t="s">
        <v>1433</v>
      </c>
      <c r="C183">
        <v>176</v>
      </c>
      <c r="D183">
        <v>139</v>
      </c>
      <c r="E183">
        <v>176</v>
      </c>
      <c r="F183">
        <v>139</v>
      </c>
      <c r="G183">
        <v>695</v>
      </c>
      <c r="H183" t="s">
        <v>1568</v>
      </c>
      <c r="I183" s="82" t="s">
        <v>2101</v>
      </c>
      <c r="J183" t="str">
        <f t="shared" si="9"/>
        <v>INSERT INTO tbFinanceItemSeq(Report,ItemSeqID,ItemSN,ItemID) VALUES('BSD',176,176,695)</v>
      </c>
      <c r="K183" t="str">
        <f t="shared" si="8"/>
        <v/>
      </c>
    </row>
    <row r="184" spans="1:11">
      <c r="A184" t="s">
        <v>74</v>
      </c>
      <c r="B184" t="s">
        <v>1433</v>
      </c>
      <c r="C184">
        <v>177</v>
      </c>
      <c r="D184">
        <v>140</v>
      </c>
      <c r="E184">
        <v>177</v>
      </c>
      <c r="F184">
        <v>140</v>
      </c>
      <c r="G184">
        <v>696</v>
      </c>
      <c r="H184" t="s">
        <v>1569</v>
      </c>
      <c r="I184" s="82" t="s">
        <v>2102</v>
      </c>
      <c r="J184" t="str">
        <f t="shared" si="9"/>
        <v>INSERT INTO tbFinanceItemSeq(Report,ItemSeqID,ItemSN,ItemID) VALUES('BSD',177,177,696)</v>
      </c>
      <c r="K184" t="str">
        <f t="shared" si="8"/>
        <v/>
      </c>
    </row>
    <row r="185" spans="1:11">
      <c r="A185" t="s">
        <v>74</v>
      </c>
      <c r="B185" t="s">
        <v>1433</v>
      </c>
      <c r="C185">
        <v>178</v>
      </c>
      <c r="D185">
        <v>141</v>
      </c>
      <c r="E185">
        <v>178</v>
      </c>
      <c r="F185">
        <v>141</v>
      </c>
      <c r="G185">
        <v>697</v>
      </c>
      <c r="H185" t="s">
        <v>1570</v>
      </c>
      <c r="I185" s="82" t="s">
        <v>2103</v>
      </c>
      <c r="J185" t="str">
        <f t="shared" si="9"/>
        <v>INSERT INTO tbFinanceItemSeq(Report,ItemSeqID,ItemSN,ItemID) VALUES('BSD',178,178,697)</v>
      </c>
      <c r="K185" t="str">
        <f t="shared" si="8"/>
        <v/>
      </c>
    </row>
    <row r="186" spans="1:11">
      <c r="A186" t="s">
        <v>74</v>
      </c>
      <c r="B186" t="s">
        <v>1433</v>
      </c>
      <c r="C186">
        <v>179</v>
      </c>
      <c r="D186">
        <v>145</v>
      </c>
      <c r="E186">
        <v>179</v>
      </c>
      <c r="F186">
        <v>145</v>
      </c>
      <c r="G186">
        <v>701</v>
      </c>
      <c r="H186" t="s">
        <v>1574</v>
      </c>
      <c r="I186" s="82" t="s">
        <v>2104</v>
      </c>
      <c r="J186" t="str">
        <f t="shared" si="9"/>
        <v>INSERT INTO tbFinanceItemSeq(Report,ItemSeqID,ItemSN,ItemID) VALUES('BSD',179,179,701)</v>
      </c>
      <c r="K186" t="str">
        <f t="shared" si="8"/>
        <v/>
      </c>
    </row>
    <row r="187" spans="1:11">
      <c r="A187" t="s">
        <v>74</v>
      </c>
      <c r="B187" t="s">
        <v>1433</v>
      </c>
      <c r="C187">
        <v>180</v>
      </c>
      <c r="D187">
        <v>146</v>
      </c>
      <c r="E187">
        <v>180</v>
      </c>
      <c r="F187">
        <v>146</v>
      </c>
      <c r="G187">
        <v>702</v>
      </c>
      <c r="H187" t="s">
        <v>1575</v>
      </c>
      <c r="I187" s="82" t="s">
        <v>2105</v>
      </c>
      <c r="J187" t="str">
        <f t="shared" si="9"/>
        <v>INSERT INTO tbFinanceItemSeq(Report,ItemSeqID,ItemSN,ItemID) VALUES('BSD',180,180,702)</v>
      </c>
      <c r="K187" t="str">
        <f t="shared" si="8"/>
        <v/>
      </c>
    </row>
    <row r="188" spans="1:11">
      <c r="A188" t="s">
        <v>74</v>
      </c>
      <c r="B188" t="s">
        <v>1433</v>
      </c>
      <c r="C188">
        <v>181</v>
      </c>
      <c r="D188">
        <v>147</v>
      </c>
      <c r="E188">
        <v>181</v>
      </c>
      <c r="F188">
        <v>147</v>
      </c>
      <c r="G188">
        <v>703</v>
      </c>
      <c r="H188" t="s">
        <v>1576</v>
      </c>
      <c r="I188" s="82" t="s">
        <v>2106</v>
      </c>
      <c r="J188" t="str">
        <f t="shared" si="9"/>
        <v>INSERT INTO tbFinanceItemSeq(Report,ItemSeqID,ItemSN,ItemID) VALUES('BSD',181,181,703)</v>
      </c>
      <c r="K188" t="str">
        <f t="shared" si="8"/>
        <v/>
      </c>
    </row>
    <row r="189" spans="1:11">
      <c r="A189" t="s">
        <v>74</v>
      </c>
      <c r="B189" t="s">
        <v>1433</v>
      </c>
      <c r="C189">
        <v>182</v>
      </c>
      <c r="D189">
        <v>148</v>
      </c>
      <c r="E189">
        <v>182</v>
      </c>
      <c r="F189">
        <v>148</v>
      </c>
      <c r="G189">
        <v>704</v>
      </c>
      <c r="H189" t="s">
        <v>1577</v>
      </c>
      <c r="I189" s="82" t="s">
        <v>2107</v>
      </c>
      <c r="J189" t="str">
        <f t="shared" si="9"/>
        <v>INSERT INTO tbFinanceItemSeq(Report,ItemSeqID,ItemSN,ItemID) VALUES('BSD',182,182,704)</v>
      </c>
      <c r="K189" t="str">
        <f t="shared" si="8"/>
        <v/>
      </c>
    </row>
    <row r="190" spans="1:11">
      <c r="A190" t="s">
        <v>74</v>
      </c>
      <c r="B190" t="s">
        <v>1433</v>
      </c>
      <c r="C190">
        <v>183</v>
      </c>
      <c r="D190">
        <v>149</v>
      </c>
      <c r="E190">
        <v>183</v>
      </c>
      <c r="F190">
        <v>149</v>
      </c>
      <c r="G190">
        <v>705</v>
      </c>
      <c r="H190" t="s">
        <v>1578</v>
      </c>
      <c r="I190" s="82" t="s">
        <v>2108</v>
      </c>
      <c r="J190" t="str">
        <f t="shared" si="9"/>
        <v>INSERT INTO tbFinanceItemSeq(Report,ItemSeqID,ItemSN,ItemID) VALUES('BSD',183,183,705)</v>
      </c>
      <c r="K190" t="str">
        <f t="shared" si="8"/>
        <v/>
      </c>
    </row>
    <row r="191" spans="1:11">
      <c r="A191" t="s">
        <v>74</v>
      </c>
      <c r="B191" t="s">
        <v>1433</v>
      </c>
      <c r="C191">
        <v>184</v>
      </c>
      <c r="D191">
        <v>150</v>
      </c>
      <c r="E191">
        <v>184</v>
      </c>
      <c r="F191">
        <v>150</v>
      </c>
      <c r="G191">
        <v>706</v>
      </c>
      <c r="H191" t="s">
        <v>1579</v>
      </c>
      <c r="I191" s="82" t="s">
        <v>2109</v>
      </c>
      <c r="J191" t="str">
        <f t="shared" si="9"/>
        <v>INSERT INTO tbFinanceItemSeq(Report,ItemSeqID,ItemSN,ItemID) VALUES('BSD',184,184,706)</v>
      </c>
      <c r="K191" t="str">
        <f t="shared" si="8"/>
        <v/>
      </c>
    </row>
    <row r="192" spans="1:11">
      <c r="A192" t="s">
        <v>74</v>
      </c>
      <c r="B192" t="s">
        <v>1433</v>
      </c>
      <c r="C192">
        <v>185</v>
      </c>
      <c r="D192">
        <v>151</v>
      </c>
      <c r="E192">
        <v>185</v>
      </c>
      <c r="F192">
        <v>151</v>
      </c>
      <c r="G192">
        <v>707</v>
      </c>
      <c r="H192" t="s">
        <v>1580</v>
      </c>
      <c r="I192" s="82" t="s">
        <v>2110</v>
      </c>
      <c r="J192" t="str">
        <f>IF(A192&lt;&gt;"Remove",CONCATENATE("INSERT INTO tbFinanceItemSeq(Report,ItemSeqID,ItemSN,ItemID) VALUES('",B192,"',",C192,",",E192,",",G192,")")," ")</f>
        <v>INSERT INTO tbFinanceItemSeq(Report,ItemSeqID,ItemSN,ItemID) VALUES('BSD',185,185,707)</v>
      </c>
      <c r="K192" t="str">
        <f t="shared" si="8"/>
        <v/>
      </c>
    </row>
    <row r="193" spans="1:11">
      <c r="A193" t="s">
        <v>74</v>
      </c>
      <c r="B193" t="s">
        <v>1433</v>
      </c>
      <c r="C193">
        <v>186</v>
      </c>
      <c r="D193">
        <v>152</v>
      </c>
      <c r="E193">
        <v>186</v>
      </c>
      <c r="F193">
        <v>152</v>
      </c>
      <c r="G193">
        <v>708</v>
      </c>
      <c r="H193" t="s">
        <v>1581</v>
      </c>
      <c r="I193" s="82" t="s">
        <v>2111</v>
      </c>
      <c r="J193" t="str">
        <f t="shared" ref="J193:J208" si="10">IF(A193&lt;&gt;"Remove",CONCATENATE("INSERT INTO tbFinanceItemSeq(Report,ItemSeqID,ItemSN,ItemID) VALUES('",B193,"',",C193,",",E193,",",G193,")")," ")</f>
        <v>INSERT INTO tbFinanceItemSeq(Report,ItemSeqID,ItemSN,ItemID) VALUES('BSD',186,186,708)</v>
      </c>
      <c r="K193" t="str">
        <f t="shared" si="8"/>
        <v/>
      </c>
    </row>
    <row r="194" spans="1:11" s="2" customFormat="1">
      <c r="A194" s="2" t="s">
        <v>76</v>
      </c>
      <c r="B194" s="2" t="s">
        <v>1433</v>
      </c>
      <c r="C194" s="2">
        <v>186</v>
      </c>
      <c r="D194" s="2">
        <v>153</v>
      </c>
      <c r="E194" s="2">
        <v>186</v>
      </c>
      <c r="F194" s="2">
        <v>153</v>
      </c>
      <c r="G194" s="2">
        <v>709</v>
      </c>
      <c r="H194" s="2" t="s">
        <v>1582</v>
      </c>
      <c r="I194" s="82"/>
      <c r="J194" s="2" t="str">
        <f t="shared" si="10"/>
        <v xml:space="preserve"> </v>
      </c>
      <c r="K194" s="2" t="str">
        <f t="shared" si="8"/>
        <v/>
      </c>
    </row>
    <row r="195" spans="1:11">
      <c r="A195" t="s">
        <v>74</v>
      </c>
      <c r="B195" t="s">
        <v>1433</v>
      </c>
      <c r="C195">
        <v>187</v>
      </c>
      <c r="D195">
        <v>154</v>
      </c>
      <c r="E195">
        <v>187</v>
      </c>
      <c r="F195">
        <v>154</v>
      </c>
      <c r="G195">
        <v>710</v>
      </c>
      <c r="H195" t="s">
        <v>1583</v>
      </c>
      <c r="I195" s="82" t="s">
        <v>2112</v>
      </c>
      <c r="J195" t="str">
        <f t="shared" si="10"/>
        <v>INSERT INTO tbFinanceItemSeq(Report,ItemSeqID,ItemSN,ItemID) VALUES('BSD',187,187,710)</v>
      </c>
      <c r="K195" t="str">
        <f t="shared" si="8"/>
        <v/>
      </c>
    </row>
    <row r="196" spans="1:11">
      <c r="A196" t="s">
        <v>74</v>
      </c>
      <c r="B196" t="s">
        <v>1433</v>
      </c>
      <c r="C196">
        <v>188</v>
      </c>
      <c r="D196">
        <v>155</v>
      </c>
      <c r="E196">
        <v>188</v>
      </c>
      <c r="F196">
        <v>155</v>
      </c>
      <c r="G196">
        <v>711</v>
      </c>
      <c r="H196" t="s">
        <v>1584</v>
      </c>
      <c r="I196" s="82" t="s">
        <v>2113</v>
      </c>
      <c r="J196" t="str">
        <f t="shared" si="10"/>
        <v>INSERT INTO tbFinanceItemSeq(Report,ItemSeqID,ItemSN,ItemID) VALUES('BSD',188,188,711)</v>
      </c>
      <c r="K196" t="str">
        <f t="shared" si="8"/>
        <v/>
      </c>
    </row>
    <row r="197" spans="1:11">
      <c r="A197" t="s">
        <v>74</v>
      </c>
      <c r="B197" t="s">
        <v>1433</v>
      </c>
      <c r="C197">
        <v>189</v>
      </c>
      <c r="D197">
        <v>156</v>
      </c>
      <c r="E197">
        <v>189</v>
      </c>
      <c r="F197">
        <v>156</v>
      </c>
      <c r="G197">
        <v>712</v>
      </c>
      <c r="H197" t="s">
        <v>1585</v>
      </c>
      <c r="I197" s="82" t="s">
        <v>2114</v>
      </c>
      <c r="J197" t="str">
        <f t="shared" si="10"/>
        <v>INSERT INTO tbFinanceItemSeq(Report,ItemSeqID,ItemSN,ItemID) VALUES('BSD',189,189,712)</v>
      </c>
      <c r="K197" t="str">
        <f t="shared" si="8"/>
        <v/>
      </c>
    </row>
    <row r="198" spans="1:11">
      <c r="A198" t="s">
        <v>74</v>
      </c>
      <c r="B198" t="s">
        <v>1433</v>
      </c>
      <c r="C198">
        <v>190</v>
      </c>
      <c r="D198">
        <v>157</v>
      </c>
      <c r="E198">
        <v>190</v>
      </c>
      <c r="F198">
        <v>157</v>
      </c>
      <c r="G198">
        <v>713</v>
      </c>
      <c r="H198" t="s">
        <v>1586</v>
      </c>
      <c r="I198" s="82" t="s">
        <v>2115</v>
      </c>
      <c r="J198" t="str">
        <f t="shared" si="10"/>
        <v>INSERT INTO tbFinanceItemSeq(Report,ItemSeqID,ItemSN,ItemID) VALUES('BSD',190,190,713)</v>
      </c>
      <c r="K198" t="str">
        <f t="shared" si="8"/>
        <v/>
      </c>
    </row>
    <row r="199" spans="1:11">
      <c r="A199" t="s">
        <v>74</v>
      </c>
      <c r="B199" t="s">
        <v>1433</v>
      </c>
      <c r="C199">
        <v>191</v>
      </c>
      <c r="D199">
        <v>158</v>
      </c>
      <c r="E199">
        <v>191</v>
      </c>
      <c r="F199">
        <v>158</v>
      </c>
      <c r="G199">
        <v>714</v>
      </c>
      <c r="H199" t="s">
        <v>1587</v>
      </c>
      <c r="I199" s="82" t="s">
        <v>2116</v>
      </c>
      <c r="J199" t="str">
        <f t="shared" si="10"/>
        <v>INSERT INTO tbFinanceItemSeq(Report,ItemSeqID,ItemSN,ItemID) VALUES('BSD',191,191,714)</v>
      </c>
      <c r="K199" t="str">
        <f t="shared" si="8"/>
        <v/>
      </c>
    </row>
    <row r="200" spans="1:11">
      <c r="A200" t="s">
        <v>74</v>
      </c>
      <c r="B200" t="s">
        <v>1433</v>
      </c>
      <c r="C200">
        <v>192</v>
      </c>
      <c r="D200">
        <v>159</v>
      </c>
      <c r="E200">
        <v>192</v>
      </c>
      <c r="F200">
        <v>159</v>
      </c>
      <c r="G200">
        <v>715</v>
      </c>
      <c r="H200" t="s">
        <v>1588</v>
      </c>
      <c r="I200" s="82" t="s">
        <v>2117</v>
      </c>
      <c r="J200" t="str">
        <f t="shared" si="10"/>
        <v>INSERT INTO tbFinanceItemSeq(Report,ItemSeqID,ItemSN,ItemID) VALUES('BSD',192,192,715)</v>
      </c>
      <c r="K200" t="str">
        <f t="shared" si="8"/>
        <v/>
      </c>
    </row>
    <row r="201" spans="1:11">
      <c r="A201" t="s">
        <v>74</v>
      </c>
      <c r="B201" t="s">
        <v>1433</v>
      </c>
      <c r="C201">
        <v>193</v>
      </c>
      <c r="D201">
        <v>160</v>
      </c>
      <c r="E201">
        <v>193</v>
      </c>
      <c r="F201">
        <v>160</v>
      </c>
      <c r="G201">
        <v>716</v>
      </c>
      <c r="H201" t="s">
        <v>1589</v>
      </c>
      <c r="I201" s="82" t="s">
        <v>2118</v>
      </c>
      <c r="J201" t="str">
        <f t="shared" si="10"/>
        <v>INSERT INTO tbFinanceItemSeq(Report,ItemSeqID,ItemSN,ItemID) VALUES('BSD',193,193,716)</v>
      </c>
      <c r="K201" t="str">
        <f t="shared" si="8"/>
        <v/>
      </c>
    </row>
    <row r="202" spans="1:11">
      <c r="A202" t="s">
        <v>74</v>
      </c>
      <c r="B202" t="s">
        <v>1433</v>
      </c>
      <c r="C202">
        <v>194</v>
      </c>
      <c r="D202">
        <v>161</v>
      </c>
      <c r="E202">
        <v>194</v>
      </c>
      <c r="F202">
        <v>161</v>
      </c>
      <c r="G202">
        <v>717</v>
      </c>
      <c r="H202" t="s">
        <v>1590</v>
      </c>
      <c r="I202" s="82" t="s">
        <v>2119</v>
      </c>
      <c r="J202" t="str">
        <f t="shared" si="10"/>
        <v>INSERT INTO tbFinanceItemSeq(Report,ItemSeqID,ItemSN,ItemID) VALUES('BSD',194,194,717)</v>
      </c>
      <c r="K202" t="str">
        <f t="shared" si="8"/>
        <v/>
      </c>
    </row>
    <row r="203" spans="1:11">
      <c r="A203" t="s">
        <v>74</v>
      </c>
      <c r="B203" t="s">
        <v>1433</v>
      </c>
      <c r="C203">
        <v>195</v>
      </c>
      <c r="D203">
        <v>162</v>
      </c>
      <c r="E203">
        <v>195</v>
      </c>
      <c r="F203">
        <v>162</v>
      </c>
      <c r="G203">
        <v>718</v>
      </c>
      <c r="H203" t="s">
        <v>1591</v>
      </c>
      <c r="I203" s="82" t="s">
        <v>2120</v>
      </c>
      <c r="J203" t="str">
        <f t="shared" si="10"/>
        <v>INSERT INTO tbFinanceItemSeq(Report,ItemSeqID,ItemSN,ItemID) VALUES('BSD',195,195,718)</v>
      </c>
      <c r="K203" t="str">
        <f t="shared" si="8"/>
        <v/>
      </c>
    </row>
    <row r="204" spans="1:11">
      <c r="A204" t="s">
        <v>74</v>
      </c>
      <c r="B204" t="s">
        <v>1433</v>
      </c>
      <c r="C204">
        <v>196</v>
      </c>
      <c r="D204">
        <v>163</v>
      </c>
      <c r="E204">
        <v>196</v>
      </c>
      <c r="F204">
        <v>163</v>
      </c>
      <c r="G204">
        <v>719</v>
      </c>
      <c r="H204" t="s">
        <v>1592</v>
      </c>
      <c r="I204" s="82" t="s">
        <v>2121</v>
      </c>
      <c r="J204" t="str">
        <f t="shared" si="10"/>
        <v>INSERT INTO tbFinanceItemSeq(Report,ItemSeqID,ItemSN,ItemID) VALUES('BSD',196,196,719)</v>
      </c>
      <c r="K204" t="str">
        <f t="shared" si="8"/>
        <v/>
      </c>
    </row>
    <row r="205" spans="1:11">
      <c r="A205" t="s">
        <v>74</v>
      </c>
      <c r="B205" t="s">
        <v>1433</v>
      </c>
      <c r="C205">
        <v>197</v>
      </c>
      <c r="D205">
        <v>164</v>
      </c>
      <c r="E205">
        <v>197</v>
      </c>
      <c r="F205">
        <v>164</v>
      </c>
      <c r="G205">
        <v>720</v>
      </c>
      <c r="H205" t="s">
        <v>1593</v>
      </c>
      <c r="I205" s="82" t="s">
        <v>2122</v>
      </c>
      <c r="J205" t="str">
        <f t="shared" si="10"/>
        <v>INSERT INTO tbFinanceItemSeq(Report,ItemSeqID,ItemSN,ItemID) VALUES('BSD',197,197,720)</v>
      </c>
      <c r="K205" t="str">
        <f t="shared" si="8"/>
        <v/>
      </c>
    </row>
    <row r="206" spans="1:11">
      <c r="A206" t="s">
        <v>74</v>
      </c>
      <c r="B206" t="s">
        <v>1433</v>
      </c>
      <c r="C206">
        <v>198</v>
      </c>
      <c r="D206">
        <v>165</v>
      </c>
      <c r="E206">
        <v>198</v>
      </c>
      <c r="F206">
        <v>165</v>
      </c>
      <c r="G206">
        <v>721</v>
      </c>
      <c r="H206" t="s">
        <v>1594</v>
      </c>
      <c r="I206" s="82" t="s">
        <v>2123</v>
      </c>
      <c r="J206" t="str">
        <f t="shared" si="10"/>
        <v>INSERT INTO tbFinanceItemSeq(Report,ItemSeqID,ItemSN,ItemID) VALUES('BSD',198,198,721)</v>
      </c>
      <c r="K206" t="str">
        <f t="shared" si="8"/>
        <v/>
      </c>
    </row>
    <row r="207" spans="1:11">
      <c r="A207" t="s">
        <v>74</v>
      </c>
      <c r="B207" t="s">
        <v>1433</v>
      </c>
      <c r="C207">
        <v>199</v>
      </c>
      <c r="D207">
        <v>166</v>
      </c>
      <c r="E207">
        <v>199</v>
      </c>
      <c r="F207">
        <v>166</v>
      </c>
      <c r="G207">
        <v>722</v>
      </c>
      <c r="H207" t="s">
        <v>1595</v>
      </c>
      <c r="I207" s="82" t="s">
        <v>2124</v>
      </c>
      <c r="J207" t="str">
        <f t="shared" si="10"/>
        <v>INSERT INTO tbFinanceItemSeq(Report,ItemSeqID,ItemSN,ItemID) VALUES('BSD',199,199,722)</v>
      </c>
      <c r="K207" t="str">
        <f t="shared" si="8"/>
        <v/>
      </c>
    </row>
    <row r="208" spans="1:11">
      <c r="A208" t="s">
        <v>74</v>
      </c>
      <c r="B208" t="s">
        <v>1433</v>
      </c>
      <c r="C208">
        <v>200</v>
      </c>
      <c r="D208">
        <v>167</v>
      </c>
      <c r="E208">
        <v>200</v>
      </c>
      <c r="F208">
        <v>167</v>
      </c>
      <c r="G208">
        <v>723</v>
      </c>
      <c r="H208" t="s">
        <v>1596</v>
      </c>
      <c r="I208" s="82" t="s">
        <v>2125</v>
      </c>
      <c r="J208" t="str">
        <f t="shared" si="10"/>
        <v>INSERT INTO tbFinanceItemSeq(Report,ItemSeqID,ItemSN,ItemID) VALUES('BSD',200,200,723)</v>
      </c>
      <c r="K208" t="str">
        <f t="shared" si="8"/>
        <v/>
      </c>
    </row>
    <row r="209" spans="1:11">
      <c r="A209" t="s">
        <v>74</v>
      </c>
      <c r="B209" t="s">
        <v>1433</v>
      </c>
      <c r="C209">
        <v>201</v>
      </c>
      <c r="D209">
        <v>168</v>
      </c>
      <c r="E209">
        <v>201</v>
      </c>
      <c r="F209">
        <v>168</v>
      </c>
      <c r="G209">
        <v>724</v>
      </c>
      <c r="H209" t="s">
        <v>1597</v>
      </c>
      <c r="I209" s="82" t="s">
        <v>2126</v>
      </c>
      <c r="J209" t="str">
        <f>IF(A209&lt;&gt;"Remove",CONCATENATE("INSERT INTO tbFinanceItemSeq(Report,ItemSeqID,ItemSN,ItemID) VALUES('",B209,"',",C209,",",E209,",",G209,")")," ")</f>
        <v>INSERT INTO tbFinanceItemSeq(Report,ItemSeqID,ItemSN,ItemID) VALUES('BSD',201,201,724)</v>
      </c>
      <c r="K209" t="str">
        <f t="shared" si="8"/>
        <v/>
      </c>
    </row>
    <row r="210" spans="1:11">
      <c r="A210" t="s">
        <v>74</v>
      </c>
      <c r="B210" t="s">
        <v>1433</v>
      </c>
      <c r="C210">
        <v>202</v>
      </c>
      <c r="D210">
        <v>169</v>
      </c>
      <c r="E210">
        <v>202</v>
      </c>
      <c r="F210">
        <v>169</v>
      </c>
      <c r="G210">
        <v>725</v>
      </c>
      <c r="H210" t="s">
        <v>1598</v>
      </c>
      <c r="I210" s="82" t="s">
        <v>2127</v>
      </c>
      <c r="J210" t="str">
        <f t="shared" ref="J210:J228" si="11">IF(A210&lt;&gt;"Remove",CONCATENATE("INSERT INTO tbFinanceItemSeq(Report,ItemSeqID,ItemSN,ItemID) VALUES('",B210,"',",C210,",",E210,",",G210,")")," ")</f>
        <v>INSERT INTO tbFinanceItemSeq(Report,ItemSeqID,ItemSN,ItemID) VALUES('BSD',202,202,725)</v>
      </c>
      <c r="K210" t="str">
        <f t="shared" si="8"/>
        <v/>
      </c>
    </row>
    <row r="211" spans="1:11">
      <c r="A211" t="s">
        <v>74</v>
      </c>
      <c r="B211" t="s">
        <v>1433</v>
      </c>
      <c r="C211">
        <v>203</v>
      </c>
      <c r="D211">
        <v>170</v>
      </c>
      <c r="E211">
        <v>203</v>
      </c>
      <c r="F211">
        <v>170</v>
      </c>
      <c r="G211">
        <v>1593</v>
      </c>
      <c r="H211" t="s">
        <v>1599</v>
      </c>
      <c r="I211" s="82" t="s">
        <v>2128</v>
      </c>
      <c r="J211" t="str">
        <f t="shared" si="11"/>
        <v>INSERT INTO tbFinanceItemSeq(Report,ItemSeqID,ItemSN,ItemID) VALUES('BSD',203,203,1593)</v>
      </c>
      <c r="K211" t="str">
        <f t="shared" si="8"/>
        <v/>
      </c>
    </row>
    <row r="212" spans="1:11" s="3" customFormat="1">
      <c r="A212" s="3" t="s">
        <v>75</v>
      </c>
      <c r="B212" s="3" t="s">
        <v>1433</v>
      </c>
      <c r="C212" s="3">
        <v>204</v>
      </c>
      <c r="E212" s="3">
        <v>203</v>
      </c>
      <c r="G212" s="3" t="str">
        <f>CONCATENATE("(SELECT top 1 ItemID FROM tbFinanceItem where ItemName = '",H212,"')")</f>
        <v>(SELECT top 1 ItemID FROM tbFinanceItem where ItemName = '(BSD)Overpayment For Bill Lost')</v>
      </c>
      <c r="H212" s="3" t="s">
        <v>1925</v>
      </c>
      <c r="I212" s="82" t="s">
        <v>2129</v>
      </c>
      <c r="J212" s="3" t="str">
        <f t="shared" si="11"/>
        <v>INSERT INTO tbFinanceItemSeq(Report,ItemSeqID,ItemSN,ItemID) VALUES('BSD',204,203,(SELECT top 1 ItemID FROM tbFinanceItem where ItemName = '(BSD)Overpayment For Bill Lost'))</v>
      </c>
      <c r="K212" s="3" t="str">
        <f t="shared" si="8"/>
        <v>INSERT INTO tbFinanceItem(ItemName) VALUES('(BSD)Overpayment For Bill Lost')</v>
      </c>
    </row>
    <row r="213" spans="1:11" s="2" customFormat="1">
      <c r="A213" s="2" t="s">
        <v>76</v>
      </c>
      <c r="B213" s="2" t="s">
        <v>1433</v>
      </c>
      <c r="C213" s="2">
        <v>204</v>
      </c>
      <c r="D213" s="2">
        <v>171</v>
      </c>
      <c r="E213" s="2">
        <v>204</v>
      </c>
      <c r="F213" s="2">
        <v>171</v>
      </c>
      <c r="G213" s="2">
        <v>726</v>
      </c>
      <c r="H213" s="2" t="s">
        <v>1600</v>
      </c>
      <c r="I213" s="82"/>
      <c r="J213" s="2" t="str">
        <f t="shared" si="11"/>
        <v xml:space="preserve"> </v>
      </c>
      <c r="K213" s="2" t="str">
        <f t="shared" si="8"/>
        <v/>
      </c>
    </row>
    <row r="214" spans="1:11">
      <c r="A214" t="s">
        <v>74</v>
      </c>
      <c r="B214" t="s">
        <v>1433</v>
      </c>
      <c r="C214">
        <v>205</v>
      </c>
      <c r="D214">
        <v>172</v>
      </c>
      <c r="E214">
        <v>205</v>
      </c>
      <c r="F214">
        <v>172</v>
      </c>
      <c r="G214">
        <v>727</v>
      </c>
      <c r="H214" t="s">
        <v>1601</v>
      </c>
      <c r="I214" s="82" t="s">
        <v>2130</v>
      </c>
      <c r="J214" t="str">
        <f t="shared" si="11"/>
        <v>INSERT INTO tbFinanceItemSeq(Report,ItemSeqID,ItemSN,ItemID) VALUES('BSD',205,205,727)</v>
      </c>
      <c r="K214" t="str">
        <f t="shared" si="8"/>
        <v/>
      </c>
    </row>
    <row r="215" spans="1:11">
      <c r="A215" t="s">
        <v>74</v>
      </c>
      <c r="B215" t="s">
        <v>1433</v>
      </c>
      <c r="C215">
        <v>206</v>
      </c>
      <c r="D215">
        <v>173</v>
      </c>
      <c r="E215">
        <v>206</v>
      </c>
      <c r="F215">
        <v>173</v>
      </c>
      <c r="G215">
        <v>728</v>
      </c>
      <c r="H215" t="s">
        <v>1602</v>
      </c>
      <c r="I215" s="82" t="s">
        <v>2131</v>
      </c>
      <c r="J215" t="str">
        <f t="shared" si="11"/>
        <v>INSERT INTO tbFinanceItemSeq(Report,ItemSeqID,ItemSN,ItemID) VALUES('BSD',206,206,728)</v>
      </c>
      <c r="K215" t="str">
        <f t="shared" si="8"/>
        <v/>
      </c>
    </row>
    <row r="216" spans="1:11">
      <c r="A216" t="s">
        <v>74</v>
      </c>
      <c r="B216" t="s">
        <v>1433</v>
      </c>
      <c r="C216">
        <v>207</v>
      </c>
      <c r="D216">
        <v>174</v>
      </c>
      <c r="E216">
        <v>207</v>
      </c>
      <c r="F216">
        <v>174</v>
      </c>
      <c r="G216">
        <v>729</v>
      </c>
      <c r="H216" t="s">
        <v>1603</v>
      </c>
      <c r="I216" s="82" t="s">
        <v>2132</v>
      </c>
      <c r="J216" t="str">
        <f t="shared" si="11"/>
        <v>INSERT INTO tbFinanceItemSeq(Report,ItemSeqID,ItemSN,ItemID) VALUES('BSD',207,207,729)</v>
      </c>
      <c r="K216" t="str">
        <f t="shared" si="8"/>
        <v/>
      </c>
    </row>
    <row r="217" spans="1:11">
      <c r="A217" t="s">
        <v>74</v>
      </c>
      <c r="B217" t="s">
        <v>1433</v>
      </c>
      <c r="C217">
        <v>208</v>
      </c>
      <c r="D217">
        <v>175</v>
      </c>
      <c r="E217">
        <v>208</v>
      </c>
      <c r="F217">
        <v>175</v>
      </c>
      <c r="G217">
        <v>730</v>
      </c>
      <c r="H217" t="s">
        <v>1604</v>
      </c>
      <c r="I217" s="82" t="s">
        <v>2133</v>
      </c>
      <c r="J217" t="str">
        <f t="shared" si="11"/>
        <v>INSERT INTO tbFinanceItemSeq(Report,ItemSeqID,ItemSN,ItemID) VALUES('BSD',208,208,730)</v>
      </c>
      <c r="K217" t="str">
        <f t="shared" si="8"/>
        <v/>
      </c>
    </row>
    <row r="218" spans="1:11">
      <c r="A218" t="s">
        <v>74</v>
      </c>
      <c r="B218" t="s">
        <v>1433</v>
      </c>
      <c r="C218">
        <v>209</v>
      </c>
      <c r="D218">
        <v>176</v>
      </c>
      <c r="E218">
        <v>209</v>
      </c>
      <c r="F218">
        <v>176</v>
      </c>
      <c r="G218">
        <v>731</v>
      </c>
      <c r="H218" t="s">
        <v>1605</v>
      </c>
      <c r="I218" s="82" t="s">
        <v>2134</v>
      </c>
      <c r="J218" t="str">
        <f t="shared" si="11"/>
        <v>INSERT INTO tbFinanceItemSeq(Report,ItemSeqID,ItemSN,ItemID) VALUES('BSD',209,209,731)</v>
      </c>
      <c r="K218" t="str">
        <f t="shared" si="8"/>
        <v/>
      </c>
    </row>
    <row r="219" spans="1:11">
      <c r="A219" t="s">
        <v>74</v>
      </c>
      <c r="B219" t="s">
        <v>1433</v>
      </c>
      <c r="C219">
        <v>210</v>
      </c>
      <c r="D219">
        <v>177</v>
      </c>
      <c r="E219">
        <v>210</v>
      </c>
      <c r="F219">
        <v>177</v>
      </c>
      <c r="G219">
        <v>732</v>
      </c>
      <c r="H219" t="s">
        <v>1606</v>
      </c>
      <c r="I219" s="82" t="s">
        <v>2135</v>
      </c>
      <c r="J219" t="str">
        <f t="shared" si="11"/>
        <v>INSERT INTO tbFinanceItemSeq(Report,ItemSeqID,ItemSN,ItemID) VALUES('BSD',210,210,732)</v>
      </c>
      <c r="K219" t="str">
        <f t="shared" si="8"/>
        <v/>
      </c>
    </row>
    <row r="220" spans="1:11">
      <c r="A220" t="s">
        <v>74</v>
      </c>
      <c r="B220" t="s">
        <v>1433</v>
      </c>
      <c r="C220">
        <v>211</v>
      </c>
      <c r="D220">
        <v>178</v>
      </c>
      <c r="E220">
        <v>211</v>
      </c>
      <c r="F220">
        <v>178</v>
      </c>
      <c r="G220">
        <v>733</v>
      </c>
      <c r="H220" t="s">
        <v>1607</v>
      </c>
      <c r="I220" s="82" t="s">
        <v>2136</v>
      </c>
      <c r="J220" t="str">
        <f t="shared" si="11"/>
        <v>INSERT INTO tbFinanceItemSeq(Report,ItemSeqID,ItemSN,ItemID) VALUES('BSD',211,211,733)</v>
      </c>
      <c r="K220" t="str">
        <f t="shared" si="8"/>
        <v/>
      </c>
    </row>
    <row r="221" spans="1:11">
      <c r="A221" t="s">
        <v>74</v>
      </c>
      <c r="B221" t="s">
        <v>1433</v>
      </c>
      <c r="C221">
        <v>212</v>
      </c>
      <c r="D221">
        <v>179</v>
      </c>
      <c r="E221">
        <v>212</v>
      </c>
      <c r="F221">
        <v>179</v>
      </c>
      <c r="G221">
        <v>734</v>
      </c>
      <c r="H221" t="s">
        <v>1608</v>
      </c>
      <c r="I221" s="82" t="s">
        <v>2137</v>
      </c>
      <c r="J221" t="str">
        <f t="shared" si="11"/>
        <v>INSERT INTO tbFinanceItemSeq(Report,ItemSeqID,ItemSN,ItemID) VALUES('BSD',212,212,734)</v>
      </c>
      <c r="K221" t="str">
        <f t="shared" si="8"/>
        <v/>
      </c>
    </row>
    <row r="222" spans="1:11" s="2" customFormat="1">
      <c r="A222" s="2" t="s">
        <v>76</v>
      </c>
      <c r="B222" s="2" t="s">
        <v>1433</v>
      </c>
      <c r="C222" s="2">
        <v>212</v>
      </c>
      <c r="D222" s="2">
        <v>180</v>
      </c>
      <c r="E222" s="2">
        <v>212</v>
      </c>
      <c r="F222" s="2">
        <v>180</v>
      </c>
      <c r="G222" s="2">
        <v>735</v>
      </c>
      <c r="H222" s="2" t="s">
        <v>1609</v>
      </c>
      <c r="I222" s="82"/>
      <c r="J222" s="2" t="str">
        <f t="shared" si="11"/>
        <v xml:space="preserve"> </v>
      </c>
      <c r="K222" s="2" t="str">
        <f t="shared" si="8"/>
        <v/>
      </c>
    </row>
    <row r="223" spans="1:11">
      <c r="A223" t="s">
        <v>74</v>
      </c>
      <c r="B223" t="s">
        <v>1433</v>
      </c>
      <c r="C223">
        <v>213</v>
      </c>
      <c r="D223">
        <v>181</v>
      </c>
      <c r="E223">
        <v>213</v>
      </c>
      <c r="F223">
        <v>181</v>
      </c>
      <c r="G223">
        <v>736</v>
      </c>
      <c r="H223" t="s">
        <v>1610</v>
      </c>
      <c r="I223" s="82" t="s">
        <v>2138</v>
      </c>
      <c r="J223" t="str">
        <f t="shared" si="11"/>
        <v>INSERT INTO tbFinanceItemSeq(Report,ItemSeqID,ItemSN,ItemID) VALUES('BSD',213,213,736)</v>
      </c>
      <c r="K223" t="str">
        <f t="shared" si="8"/>
        <v/>
      </c>
    </row>
    <row r="224" spans="1:11">
      <c r="A224" t="s">
        <v>74</v>
      </c>
      <c r="B224" t="s">
        <v>1433</v>
      </c>
      <c r="C224">
        <v>214</v>
      </c>
      <c r="D224">
        <v>182</v>
      </c>
      <c r="E224">
        <v>214</v>
      </c>
      <c r="F224">
        <v>182</v>
      </c>
      <c r="G224">
        <v>737</v>
      </c>
      <c r="H224" t="s">
        <v>1611</v>
      </c>
      <c r="I224" s="82" t="s">
        <v>2139</v>
      </c>
      <c r="J224" t="str">
        <f t="shared" si="11"/>
        <v>INSERT INTO tbFinanceItemSeq(Report,ItemSeqID,ItemSN,ItemID) VALUES('BSD',214,214,737)</v>
      </c>
      <c r="K224" t="str">
        <f t="shared" si="8"/>
        <v/>
      </c>
    </row>
    <row r="225" spans="1:11">
      <c r="A225" t="s">
        <v>74</v>
      </c>
      <c r="B225" t="s">
        <v>1433</v>
      </c>
      <c r="C225">
        <v>215</v>
      </c>
      <c r="D225">
        <v>183</v>
      </c>
      <c r="E225">
        <v>215</v>
      </c>
      <c r="F225">
        <v>183</v>
      </c>
      <c r="G225">
        <v>738</v>
      </c>
      <c r="H225" t="s">
        <v>1612</v>
      </c>
      <c r="I225" s="82" t="s">
        <v>2140</v>
      </c>
      <c r="J225" t="str">
        <f t="shared" si="11"/>
        <v>INSERT INTO tbFinanceItemSeq(Report,ItemSeqID,ItemSN,ItemID) VALUES('BSD',215,215,738)</v>
      </c>
      <c r="K225" t="str">
        <f t="shared" si="8"/>
        <v/>
      </c>
    </row>
    <row r="226" spans="1:11">
      <c r="A226" t="s">
        <v>74</v>
      </c>
      <c r="B226" t="s">
        <v>1433</v>
      </c>
      <c r="C226">
        <v>216</v>
      </c>
      <c r="D226">
        <v>184</v>
      </c>
      <c r="E226">
        <v>216</v>
      </c>
      <c r="F226">
        <v>184</v>
      </c>
      <c r="G226">
        <v>739</v>
      </c>
      <c r="H226" t="s">
        <v>1613</v>
      </c>
      <c r="I226" s="82" t="s">
        <v>2141</v>
      </c>
      <c r="J226" t="str">
        <f t="shared" si="11"/>
        <v>INSERT INTO tbFinanceItemSeq(Report,ItemSeqID,ItemSN,ItemID) VALUES('BSD',216,216,739)</v>
      </c>
      <c r="K226" t="str">
        <f t="shared" si="8"/>
        <v/>
      </c>
    </row>
    <row r="227" spans="1:11">
      <c r="A227" t="s">
        <v>74</v>
      </c>
      <c r="B227" t="s">
        <v>1433</v>
      </c>
      <c r="C227">
        <v>217</v>
      </c>
      <c r="D227">
        <v>185</v>
      </c>
      <c r="E227">
        <v>217</v>
      </c>
      <c r="F227">
        <v>185</v>
      </c>
      <c r="G227">
        <v>740</v>
      </c>
      <c r="H227" t="s">
        <v>1614</v>
      </c>
      <c r="I227" s="82" t="s">
        <v>2142</v>
      </c>
      <c r="J227" t="str">
        <f t="shared" si="11"/>
        <v>INSERT INTO tbFinanceItemSeq(Report,ItemSeqID,ItemSN,ItemID) VALUES('BSD',217,217,740)</v>
      </c>
      <c r="K227" t="str">
        <f t="shared" si="8"/>
        <v/>
      </c>
    </row>
    <row r="228" spans="1:11">
      <c r="A228" t="s">
        <v>74</v>
      </c>
      <c r="B228" t="s">
        <v>1433</v>
      </c>
      <c r="C228">
        <v>218</v>
      </c>
      <c r="D228">
        <v>186</v>
      </c>
      <c r="E228">
        <v>218</v>
      </c>
      <c r="F228">
        <v>186</v>
      </c>
      <c r="G228">
        <v>741</v>
      </c>
      <c r="H228" t="s">
        <v>1615</v>
      </c>
      <c r="I228" s="82" t="s">
        <v>2143</v>
      </c>
      <c r="J228" t="str">
        <f t="shared" si="11"/>
        <v>INSERT INTO tbFinanceItemSeq(Report,ItemSeqID,ItemSN,ItemID) VALUES('BSD',218,218,741)</v>
      </c>
      <c r="K228" t="str">
        <f t="shared" si="8"/>
        <v/>
      </c>
    </row>
    <row r="229" spans="1:11">
      <c r="A229" t="s">
        <v>74</v>
      </c>
      <c r="B229" t="s">
        <v>1433</v>
      </c>
      <c r="C229">
        <v>219</v>
      </c>
      <c r="D229">
        <v>187</v>
      </c>
      <c r="E229">
        <v>219</v>
      </c>
      <c r="F229">
        <v>187</v>
      </c>
      <c r="G229">
        <v>742</v>
      </c>
      <c r="H229" t="s">
        <v>1616</v>
      </c>
      <c r="I229" s="83" t="s">
        <v>2144</v>
      </c>
      <c r="J229" t="str">
        <f>IF(A229&lt;&gt;"Remove",CONCATENATE("INSERT INTO tbFinanceItemSeq(Report,ItemSeqID,ItemSN,ItemID) VALUES('",B229,"',",C229,",",E229,",",G229,")")," ")</f>
        <v>INSERT INTO tbFinanceItemSeq(Report,ItemSeqID,ItemSN,ItemID) VALUES('BSD',219,219,742)</v>
      </c>
      <c r="K229" t="str">
        <f t="shared" si="8"/>
        <v/>
      </c>
    </row>
    <row r="230" spans="1:11">
      <c r="A230" t="s">
        <v>74</v>
      </c>
      <c r="B230" t="s">
        <v>1433</v>
      </c>
      <c r="C230">
        <v>220</v>
      </c>
      <c r="D230">
        <v>188</v>
      </c>
      <c r="E230">
        <v>220</v>
      </c>
      <c r="F230">
        <v>188</v>
      </c>
      <c r="G230">
        <v>743</v>
      </c>
      <c r="H230" t="s">
        <v>1617</v>
      </c>
      <c r="I230" s="82" t="s">
        <v>2145</v>
      </c>
      <c r="J230" t="str">
        <f t="shared" ref="J230:J248" si="12">IF(A230&lt;&gt;"Remove",CONCATENATE("INSERT INTO tbFinanceItemSeq(Report,ItemSeqID,ItemSN,ItemID) VALUES('",B230,"',",C230,",",E230,",",G230,")")," ")</f>
        <v>INSERT INTO tbFinanceItemSeq(Report,ItemSeqID,ItemSN,ItemID) VALUES('BSD',220,220,743)</v>
      </c>
      <c r="K230" t="str">
        <f t="shared" si="8"/>
        <v/>
      </c>
    </row>
    <row r="231" spans="1:11">
      <c r="A231" t="s">
        <v>74</v>
      </c>
      <c r="B231" t="s">
        <v>1433</v>
      </c>
      <c r="C231">
        <v>221</v>
      </c>
      <c r="D231">
        <v>189</v>
      </c>
      <c r="E231">
        <v>221</v>
      </c>
      <c r="F231">
        <v>189</v>
      </c>
      <c r="G231">
        <v>744</v>
      </c>
      <c r="H231" t="s">
        <v>1618</v>
      </c>
      <c r="I231" s="82" t="s">
        <v>2146</v>
      </c>
      <c r="J231" t="str">
        <f t="shared" si="12"/>
        <v>INSERT INTO tbFinanceItemSeq(Report,ItemSeqID,ItemSN,ItemID) VALUES('BSD',221,221,744)</v>
      </c>
      <c r="K231" t="str">
        <f t="shared" ref="K231:K262" si="13">IF(A231&lt;&gt;"New","",CONCATENATE("INSERT INTO tbFinanceItem(ItemName) VALUES('",H231,"')"))</f>
        <v/>
      </c>
    </row>
    <row r="232" spans="1:11">
      <c r="A232" t="s">
        <v>74</v>
      </c>
      <c r="B232" t="s">
        <v>1433</v>
      </c>
      <c r="C232">
        <v>222</v>
      </c>
      <c r="D232">
        <v>190</v>
      </c>
      <c r="E232">
        <v>222</v>
      </c>
      <c r="F232">
        <v>190</v>
      </c>
      <c r="G232">
        <v>745</v>
      </c>
      <c r="H232" t="s">
        <v>1619</v>
      </c>
      <c r="I232" s="82" t="s">
        <v>2147</v>
      </c>
      <c r="J232" t="str">
        <f t="shared" si="12"/>
        <v>INSERT INTO tbFinanceItemSeq(Report,ItemSeqID,ItemSN,ItemID) VALUES('BSD',222,222,745)</v>
      </c>
      <c r="K232" t="str">
        <f t="shared" si="13"/>
        <v/>
      </c>
    </row>
    <row r="233" spans="1:11">
      <c r="A233" t="s">
        <v>74</v>
      </c>
      <c r="B233" t="s">
        <v>1433</v>
      </c>
      <c r="C233">
        <v>223</v>
      </c>
      <c r="D233">
        <v>191</v>
      </c>
      <c r="E233">
        <v>223</v>
      </c>
      <c r="F233">
        <v>191</v>
      </c>
      <c r="G233">
        <v>746</v>
      </c>
      <c r="H233" t="s">
        <v>1620</v>
      </c>
      <c r="I233" s="82" t="s">
        <v>2148</v>
      </c>
      <c r="J233" t="str">
        <f t="shared" si="12"/>
        <v>INSERT INTO tbFinanceItemSeq(Report,ItemSeqID,ItemSN,ItemID) VALUES('BSD',223,223,746)</v>
      </c>
      <c r="K233" t="str">
        <f t="shared" si="13"/>
        <v/>
      </c>
    </row>
    <row r="234" spans="1:11">
      <c r="A234" t="s">
        <v>74</v>
      </c>
      <c r="B234" t="s">
        <v>1433</v>
      </c>
      <c r="C234">
        <v>224</v>
      </c>
      <c r="D234">
        <v>192</v>
      </c>
      <c r="E234">
        <v>224</v>
      </c>
      <c r="F234">
        <v>192</v>
      </c>
      <c r="G234">
        <v>747</v>
      </c>
      <c r="H234" t="s">
        <v>1621</v>
      </c>
      <c r="I234" s="82" t="s">
        <v>2149</v>
      </c>
      <c r="J234" t="str">
        <f t="shared" si="12"/>
        <v>INSERT INTO tbFinanceItemSeq(Report,ItemSeqID,ItemSN,ItemID) VALUES('BSD',224,224,747)</v>
      </c>
      <c r="K234" t="str">
        <f t="shared" si="13"/>
        <v/>
      </c>
    </row>
    <row r="235" spans="1:11">
      <c r="A235" t="s">
        <v>74</v>
      </c>
      <c r="B235" t="s">
        <v>1433</v>
      </c>
      <c r="C235">
        <v>225</v>
      </c>
      <c r="D235">
        <v>193</v>
      </c>
      <c r="E235">
        <v>225</v>
      </c>
      <c r="F235">
        <v>193</v>
      </c>
      <c r="G235">
        <v>748</v>
      </c>
      <c r="H235" t="s">
        <v>1622</v>
      </c>
      <c r="I235" s="82" t="s">
        <v>2150</v>
      </c>
      <c r="J235" t="str">
        <f t="shared" si="12"/>
        <v>INSERT INTO tbFinanceItemSeq(Report,ItemSeqID,ItemSN,ItemID) VALUES('BSD',225,225,748)</v>
      </c>
      <c r="K235" t="str">
        <f t="shared" si="13"/>
        <v/>
      </c>
    </row>
    <row r="236" spans="1:11">
      <c r="A236" t="s">
        <v>74</v>
      </c>
      <c r="B236" t="s">
        <v>1433</v>
      </c>
      <c r="C236">
        <v>226</v>
      </c>
      <c r="D236">
        <v>194</v>
      </c>
      <c r="E236">
        <v>226</v>
      </c>
      <c r="F236">
        <v>194</v>
      </c>
      <c r="G236">
        <v>749</v>
      </c>
      <c r="H236" t="s">
        <v>1623</v>
      </c>
      <c r="I236" s="82" t="s">
        <v>2151</v>
      </c>
      <c r="J236" t="str">
        <f t="shared" si="12"/>
        <v>INSERT INTO tbFinanceItemSeq(Report,ItemSeqID,ItemSN,ItemID) VALUES('BSD',226,226,749)</v>
      </c>
      <c r="K236" t="str">
        <f t="shared" si="13"/>
        <v/>
      </c>
    </row>
    <row r="237" spans="1:11">
      <c r="A237" t="s">
        <v>74</v>
      </c>
      <c r="B237" t="s">
        <v>1433</v>
      </c>
      <c r="C237">
        <v>227</v>
      </c>
      <c r="D237">
        <v>195</v>
      </c>
      <c r="E237">
        <v>227</v>
      </c>
      <c r="F237">
        <v>195</v>
      </c>
      <c r="G237">
        <v>750</v>
      </c>
      <c r="H237" t="s">
        <v>1624</v>
      </c>
      <c r="I237" s="82" t="s">
        <v>2152</v>
      </c>
      <c r="J237" t="str">
        <f t="shared" si="12"/>
        <v>INSERT INTO tbFinanceItemSeq(Report,ItemSeqID,ItemSN,ItemID) VALUES('BSD',227,227,750)</v>
      </c>
      <c r="K237" t="str">
        <f t="shared" si="13"/>
        <v/>
      </c>
    </row>
    <row r="238" spans="1:11">
      <c r="A238" t="s">
        <v>74</v>
      </c>
      <c r="B238" t="s">
        <v>1433</v>
      </c>
      <c r="C238">
        <v>228</v>
      </c>
      <c r="D238">
        <v>196</v>
      </c>
      <c r="E238">
        <v>228</v>
      </c>
      <c r="F238">
        <v>196</v>
      </c>
      <c r="G238">
        <v>751</v>
      </c>
      <c r="H238" t="s">
        <v>1625</v>
      </c>
      <c r="I238" s="82" t="s">
        <v>2153</v>
      </c>
      <c r="J238" t="str">
        <f t="shared" si="12"/>
        <v>INSERT INTO tbFinanceItemSeq(Report,ItemSeqID,ItemSN,ItemID) VALUES('BSD',228,228,751)</v>
      </c>
      <c r="K238" t="str">
        <f t="shared" si="13"/>
        <v/>
      </c>
    </row>
    <row r="239" spans="1:11" s="2" customFormat="1">
      <c r="A239" s="2" t="s">
        <v>76</v>
      </c>
      <c r="B239" s="2" t="s">
        <v>1433</v>
      </c>
      <c r="C239" s="2">
        <v>228</v>
      </c>
      <c r="D239" s="2">
        <v>197</v>
      </c>
      <c r="E239" s="2">
        <v>228</v>
      </c>
      <c r="F239" s="2">
        <v>197</v>
      </c>
      <c r="G239" s="2">
        <v>752</v>
      </c>
      <c r="H239" s="2" t="s">
        <v>1626</v>
      </c>
      <c r="I239" s="82"/>
      <c r="J239" s="2" t="str">
        <f t="shared" si="12"/>
        <v xml:space="preserve"> </v>
      </c>
      <c r="K239" s="2" t="str">
        <f t="shared" si="13"/>
        <v/>
      </c>
    </row>
    <row r="240" spans="1:11" s="3" customFormat="1">
      <c r="A240" s="3" t="s">
        <v>75</v>
      </c>
      <c r="B240" s="3" t="s">
        <v>1433</v>
      </c>
      <c r="C240" s="3">
        <v>229</v>
      </c>
      <c r="E240" s="3">
        <v>229</v>
      </c>
      <c r="G240" s="3" t="str">
        <f>CONCATENATE("(SELECT top 1 ItemID FROM tbFinanceItem where ItemName = '",H240,"')")</f>
        <v>(SELECT top 1 ItemID FROM tbFinanceItem where ItemName = '(BSD)Derivatives Liability')</v>
      </c>
      <c r="H240" s="3" t="s">
        <v>2776</v>
      </c>
      <c r="I240" s="82" t="s">
        <v>2154</v>
      </c>
      <c r="J240" s="3" t="str">
        <f t="shared" si="12"/>
        <v>INSERT INTO tbFinanceItemSeq(Report,ItemSeqID,ItemSN,ItemID) VALUES('BSD',229,229,(SELECT top 1 ItemID FROM tbFinanceItem where ItemName = '(BSD)Derivatives Liability'))</v>
      </c>
      <c r="K240" s="3" t="str">
        <f t="shared" si="13"/>
        <v>INSERT INTO tbFinanceItem(ItemName) VALUES('(BSD)Derivatives Liability')</v>
      </c>
    </row>
    <row r="241" spans="1:11">
      <c r="A241" t="s">
        <v>74</v>
      </c>
      <c r="B241" t="s">
        <v>1433</v>
      </c>
      <c r="C241">
        <v>230</v>
      </c>
      <c r="D241">
        <v>198</v>
      </c>
      <c r="E241">
        <v>230</v>
      </c>
      <c r="F241">
        <v>198</v>
      </c>
      <c r="G241">
        <v>753</v>
      </c>
      <c r="H241" t="s">
        <v>1627</v>
      </c>
      <c r="I241" s="83" t="s">
        <v>2155</v>
      </c>
      <c r="J241" t="str">
        <f t="shared" si="12"/>
        <v>INSERT INTO tbFinanceItemSeq(Report,ItemSeqID,ItemSN,ItemID) VALUES('BSD',230,230,753)</v>
      </c>
      <c r="K241" t="str">
        <f t="shared" si="13"/>
        <v/>
      </c>
    </row>
    <row r="242" spans="1:11">
      <c r="A242" t="s">
        <v>74</v>
      </c>
      <c r="B242" t="s">
        <v>1433</v>
      </c>
      <c r="C242">
        <v>231</v>
      </c>
      <c r="D242">
        <v>199</v>
      </c>
      <c r="E242">
        <v>231</v>
      </c>
      <c r="F242">
        <v>199</v>
      </c>
      <c r="G242">
        <v>754</v>
      </c>
      <c r="H242" t="s">
        <v>1628</v>
      </c>
      <c r="I242" s="83" t="s">
        <v>2156</v>
      </c>
      <c r="J242" t="str">
        <f t="shared" si="12"/>
        <v>INSERT INTO tbFinanceItemSeq(Report,ItemSeqID,ItemSN,ItemID) VALUES('BSD',231,231,754)</v>
      </c>
      <c r="K242" t="str">
        <f t="shared" si="13"/>
        <v/>
      </c>
    </row>
    <row r="243" spans="1:11">
      <c r="A243" t="s">
        <v>74</v>
      </c>
      <c r="B243" t="s">
        <v>1433</v>
      </c>
      <c r="C243">
        <v>232</v>
      </c>
      <c r="D243">
        <v>200</v>
      </c>
      <c r="E243">
        <v>232</v>
      </c>
      <c r="F243">
        <v>200</v>
      </c>
      <c r="G243">
        <v>755</v>
      </c>
      <c r="H243" t="s">
        <v>1629</v>
      </c>
      <c r="I243" s="82" t="s">
        <v>2157</v>
      </c>
      <c r="J243" t="str">
        <f t="shared" si="12"/>
        <v>INSERT INTO tbFinanceItemSeq(Report,ItemSeqID,ItemSN,ItemID) VALUES('BSD',232,232,755)</v>
      </c>
      <c r="K243" t="str">
        <f t="shared" si="13"/>
        <v/>
      </c>
    </row>
    <row r="244" spans="1:11">
      <c r="A244" t="s">
        <v>74</v>
      </c>
      <c r="B244" t="s">
        <v>1433</v>
      </c>
      <c r="C244">
        <v>233</v>
      </c>
      <c r="D244">
        <v>201</v>
      </c>
      <c r="E244">
        <v>233</v>
      </c>
      <c r="F244">
        <v>201</v>
      </c>
      <c r="G244">
        <v>756</v>
      </c>
      <c r="H244" t="s">
        <v>1630</v>
      </c>
      <c r="I244" s="82" t="s">
        <v>2158</v>
      </c>
      <c r="J244" t="str">
        <f t="shared" si="12"/>
        <v>INSERT INTO tbFinanceItemSeq(Report,ItemSeqID,ItemSN,ItemID) VALUES('BSD',233,233,756)</v>
      </c>
      <c r="K244" t="str">
        <f t="shared" si="13"/>
        <v/>
      </c>
    </row>
    <row r="245" spans="1:11">
      <c r="A245" t="s">
        <v>74</v>
      </c>
      <c r="B245" t="s">
        <v>1433</v>
      </c>
      <c r="C245">
        <v>234</v>
      </c>
      <c r="D245">
        <v>202</v>
      </c>
      <c r="E245">
        <v>234</v>
      </c>
      <c r="F245">
        <v>202</v>
      </c>
      <c r="G245">
        <v>757</v>
      </c>
      <c r="H245" t="s">
        <v>1631</v>
      </c>
      <c r="I245" s="82" t="s">
        <v>2159</v>
      </c>
      <c r="J245" t="str">
        <f t="shared" si="12"/>
        <v>INSERT INTO tbFinanceItemSeq(Report,ItemSeqID,ItemSN,ItemID) VALUES('BSD',234,234,757)</v>
      </c>
      <c r="K245" t="str">
        <f t="shared" si="13"/>
        <v/>
      </c>
    </row>
    <row r="246" spans="1:11">
      <c r="A246" t="s">
        <v>74</v>
      </c>
      <c r="B246" t="s">
        <v>1433</v>
      </c>
      <c r="C246">
        <v>235</v>
      </c>
      <c r="D246">
        <v>203</v>
      </c>
      <c r="E246">
        <v>235</v>
      </c>
      <c r="F246">
        <v>203</v>
      </c>
      <c r="G246">
        <v>758</v>
      </c>
      <c r="H246" t="s">
        <v>1632</v>
      </c>
      <c r="I246" s="82" t="s">
        <v>2160</v>
      </c>
      <c r="J246" t="str">
        <f t="shared" si="12"/>
        <v>INSERT INTO tbFinanceItemSeq(Report,ItemSeqID,ItemSN,ItemID) VALUES('BSD',235,235,758)</v>
      </c>
      <c r="K246" t="str">
        <f t="shared" si="13"/>
        <v/>
      </c>
    </row>
    <row r="247" spans="1:11">
      <c r="A247" t="s">
        <v>74</v>
      </c>
      <c r="B247" t="s">
        <v>1433</v>
      </c>
      <c r="C247">
        <v>236</v>
      </c>
      <c r="D247">
        <v>204</v>
      </c>
      <c r="E247">
        <v>236</v>
      </c>
      <c r="F247">
        <v>204</v>
      </c>
      <c r="G247">
        <v>759</v>
      </c>
      <c r="H247" t="s">
        <v>1633</v>
      </c>
      <c r="I247" s="82" t="s">
        <v>2161</v>
      </c>
      <c r="J247" t="str">
        <f t="shared" si="12"/>
        <v>INSERT INTO tbFinanceItemSeq(Report,ItemSeqID,ItemSN,ItemID) VALUES('BSD',236,236,759)</v>
      </c>
      <c r="K247" t="str">
        <f t="shared" si="13"/>
        <v/>
      </c>
    </row>
    <row r="248" spans="1:11">
      <c r="A248" t="s">
        <v>74</v>
      </c>
      <c r="B248" t="s">
        <v>1433</v>
      </c>
      <c r="C248">
        <v>237</v>
      </c>
      <c r="D248">
        <v>205</v>
      </c>
      <c r="E248">
        <v>237</v>
      </c>
      <c r="F248">
        <v>205</v>
      </c>
      <c r="G248">
        <v>760</v>
      </c>
      <c r="H248" t="s">
        <v>1634</v>
      </c>
      <c r="I248" s="82" t="s">
        <v>2162</v>
      </c>
      <c r="J248" t="str">
        <f t="shared" si="12"/>
        <v>INSERT INTO tbFinanceItemSeq(Report,ItemSeqID,ItemSN,ItemID) VALUES('BSD',237,237,760)</v>
      </c>
      <c r="K248" t="str">
        <f t="shared" si="13"/>
        <v/>
      </c>
    </row>
    <row r="249" spans="1:11">
      <c r="A249" t="s">
        <v>74</v>
      </c>
      <c r="B249" t="s">
        <v>1433</v>
      </c>
      <c r="C249">
        <v>238</v>
      </c>
      <c r="D249">
        <v>206</v>
      </c>
      <c r="E249">
        <v>238</v>
      </c>
      <c r="F249">
        <v>206</v>
      </c>
      <c r="G249">
        <v>761</v>
      </c>
      <c r="H249" t="s">
        <v>1635</v>
      </c>
      <c r="I249" s="82" t="s">
        <v>2163</v>
      </c>
      <c r="J249" t="str">
        <f>IF(A249&lt;&gt;"Remove",CONCATENATE("INSERT INTO tbFinanceItemSeq(Report,ItemSeqID,ItemSN,ItemID) VALUES('",B249,"',",C249,",",E249,",",G249,")")," ")</f>
        <v>INSERT INTO tbFinanceItemSeq(Report,ItemSeqID,ItemSN,ItemID) VALUES('BSD',238,238,761)</v>
      </c>
      <c r="K249" t="str">
        <f t="shared" si="13"/>
        <v/>
      </c>
    </row>
    <row r="250" spans="1:11">
      <c r="A250" t="s">
        <v>74</v>
      </c>
      <c r="B250" t="s">
        <v>1433</v>
      </c>
      <c r="C250">
        <v>239</v>
      </c>
      <c r="D250">
        <v>207</v>
      </c>
      <c r="E250">
        <v>239</v>
      </c>
      <c r="F250">
        <v>207</v>
      </c>
      <c r="G250">
        <v>762</v>
      </c>
      <c r="H250" t="s">
        <v>1636</v>
      </c>
      <c r="I250" s="82" t="s">
        <v>2164</v>
      </c>
      <c r="J250" t="str">
        <f t="shared" ref="J250:J262" si="14">IF(A250&lt;&gt;"Remove",CONCATENATE("INSERT INTO tbFinanceItemSeq(Report,ItemSeqID,ItemSN,ItemID) VALUES('",B250,"',",C250,",",E250,",",G250,")")," ")</f>
        <v>INSERT INTO tbFinanceItemSeq(Report,ItemSeqID,ItemSN,ItemID) VALUES('BSD',239,239,762)</v>
      </c>
      <c r="K250" t="str">
        <f t="shared" si="13"/>
        <v/>
      </c>
    </row>
    <row r="251" spans="1:11">
      <c r="A251" t="s">
        <v>74</v>
      </c>
      <c r="B251" t="s">
        <v>1433</v>
      </c>
      <c r="C251">
        <v>240</v>
      </c>
      <c r="D251">
        <v>208</v>
      </c>
      <c r="E251">
        <v>240</v>
      </c>
      <c r="F251">
        <v>208</v>
      </c>
      <c r="G251">
        <v>763</v>
      </c>
      <c r="H251" t="s">
        <v>1637</v>
      </c>
      <c r="I251" s="82" t="s">
        <v>2165</v>
      </c>
      <c r="J251" t="str">
        <f t="shared" si="14"/>
        <v>INSERT INTO tbFinanceItemSeq(Report,ItemSeqID,ItemSN,ItemID) VALUES('BSD',240,240,763)</v>
      </c>
      <c r="K251" t="str">
        <f t="shared" si="13"/>
        <v/>
      </c>
    </row>
    <row r="252" spans="1:11">
      <c r="A252" t="s">
        <v>74</v>
      </c>
      <c r="B252" t="s">
        <v>1433</v>
      </c>
      <c r="C252">
        <v>241</v>
      </c>
      <c r="D252">
        <v>209</v>
      </c>
      <c r="E252">
        <v>241</v>
      </c>
      <c r="F252">
        <v>209</v>
      </c>
      <c r="G252">
        <v>764</v>
      </c>
      <c r="H252" t="s">
        <v>1638</v>
      </c>
      <c r="I252" s="82" t="s">
        <v>2166</v>
      </c>
      <c r="J252" t="str">
        <f t="shared" si="14"/>
        <v>INSERT INTO tbFinanceItemSeq(Report,ItemSeqID,ItemSN,ItemID) VALUES('BSD',241,241,764)</v>
      </c>
      <c r="K252" t="str">
        <f t="shared" si="13"/>
        <v/>
      </c>
    </row>
    <row r="253" spans="1:11">
      <c r="A253" t="s">
        <v>74</v>
      </c>
      <c r="B253" t="s">
        <v>1433</v>
      </c>
      <c r="C253">
        <v>242</v>
      </c>
      <c r="D253">
        <v>210</v>
      </c>
      <c r="E253">
        <v>242</v>
      </c>
      <c r="F253">
        <v>210</v>
      </c>
      <c r="G253">
        <v>765</v>
      </c>
      <c r="H253" t="s">
        <v>1639</v>
      </c>
      <c r="I253" s="82" t="s">
        <v>2167</v>
      </c>
      <c r="J253" t="str">
        <f t="shared" si="14"/>
        <v>INSERT INTO tbFinanceItemSeq(Report,ItemSeqID,ItemSN,ItemID) VALUES('BSD',242,242,765)</v>
      </c>
      <c r="K253" t="str">
        <f t="shared" si="13"/>
        <v/>
      </c>
    </row>
    <row r="254" spans="1:11">
      <c r="A254" t="s">
        <v>74</v>
      </c>
      <c r="B254" t="s">
        <v>1433</v>
      </c>
      <c r="C254">
        <v>243</v>
      </c>
      <c r="D254">
        <v>211</v>
      </c>
      <c r="E254">
        <v>243</v>
      </c>
      <c r="F254">
        <v>211</v>
      </c>
      <c r="G254">
        <v>766</v>
      </c>
      <c r="H254" t="s">
        <v>1640</v>
      </c>
      <c r="I254" s="82" t="s">
        <v>2168</v>
      </c>
      <c r="J254" t="str">
        <f t="shared" si="14"/>
        <v>INSERT INTO tbFinanceItemSeq(Report,ItemSeqID,ItemSN,ItemID) VALUES('BSD',243,243,766)</v>
      </c>
      <c r="K254" t="str">
        <f t="shared" si="13"/>
        <v/>
      </c>
    </row>
    <row r="255" spans="1:11">
      <c r="A255" t="s">
        <v>74</v>
      </c>
      <c r="B255" t="s">
        <v>1433</v>
      </c>
      <c r="C255">
        <v>244</v>
      </c>
      <c r="D255">
        <v>212</v>
      </c>
      <c r="E255">
        <v>244</v>
      </c>
      <c r="F255">
        <v>212</v>
      </c>
      <c r="G255">
        <v>767</v>
      </c>
      <c r="H255" t="s">
        <v>1641</v>
      </c>
      <c r="I255" s="82" t="s">
        <v>2169</v>
      </c>
      <c r="J255" t="str">
        <f t="shared" si="14"/>
        <v>INSERT INTO tbFinanceItemSeq(Report,ItemSeqID,ItemSN,ItemID) VALUES('BSD',244,244,767)</v>
      </c>
      <c r="K255" t="str">
        <f t="shared" si="13"/>
        <v/>
      </c>
    </row>
    <row r="256" spans="1:11">
      <c r="A256" t="s">
        <v>74</v>
      </c>
      <c r="B256" t="s">
        <v>1433</v>
      </c>
      <c r="C256">
        <v>245</v>
      </c>
      <c r="D256">
        <v>213</v>
      </c>
      <c r="E256">
        <v>245</v>
      </c>
      <c r="F256">
        <v>213</v>
      </c>
      <c r="G256">
        <v>768</v>
      </c>
      <c r="H256" t="s">
        <v>1642</v>
      </c>
      <c r="I256" s="82" t="s">
        <v>2170</v>
      </c>
      <c r="J256" t="str">
        <f t="shared" si="14"/>
        <v>INSERT INTO tbFinanceItemSeq(Report,ItemSeqID,ItemSN,ItemID) VALUES('BSD',245,245,768)</v>
      </c>
      <c r="K256" t="str">
        <f t="shared" si="13"/>
        <v/>
      </c>
    </row>
    <row r="257" spans="1:11">
      <c r="A257" t="s">
        <v>74</v>
      </c>
      <c r="B257" t="s">
        <v>1433</v>
      </c>
      <c r="C257">
        <v>246</v>
      </c>
      <c r="D257">
        <v>214</v>
      </c>
      <c r="E257">
        <v>246</v>
      </c>
      <c r="F257">
        <v>214</v>
      </c>
      <c r="G257">
        <v>769</v>
      </c>
      <c r="H257" t="s">
        <v>1643</v>
      </c>
      <c r="I257" s="82" t="s">
        <v>2171</v>
      </c>
      <c r="J257" t="str">
        <f t="shared" si="14"/>
        <v>INSERT INTO tbFinanceItemSeq(Report,ItemSeqID,ItemSN,ItemID) VALUES('BSD',246,246,769)</v>
      </c>
      <c r="K257" t="str">
        <f t="shared" si="13"/>
        <v/>
      </c>
    </row>
    <row r="258" spans="1:11" s="3" customFormat="1">
      <c r="A258" s="3" t="s">
        <v>75</v>
      </c>
      <c r="B258" s="3" t="s">
        <v>1433</v>
      </c>
      <c r="C258" s="3">
        <v>247</v>
      </c>
      <c r="E258" s="3">
        <v>247</v>
      </c>
      <c r="G258" s="3" t="str">
        <f>CONCATENATE("(SELECT top 1 ItemID FROM tbFinanceItem where ItemName = '",H258,"')")</f>
        <v>(SELECT top 1 ItemID FROM tbFinanceItem where ItemName = '(BSD)Dividend Declared')</v>
      </c>
      <c r="H258" s="3" t="s">
        <v>1926</v>
      </c>
      <c r="I258" s="82" t="s">
        <v>2172</v>
      </c>
      <c r="J258" s="3" t="str">
        <f>IF(A258&lt;&gt;"Remove",CONCATENATE("INSERT INTO tbFinanceItemSeq(Report,ItemSeqID,ItemSN,ItemID) VALUES('",B258,"',",C258,",",E258,",",G258,")")," ")</f>
        <v>INSERT INTO tbFinanceItemSeq(Report,ItemSeqID,ItemSN,ItemID) VALUES('BSD',247,247,(SELECT top 1 ItemID FROM tbFinanceItem where ItemName = '(BSD)Dividend Declared'))</v>
      </c>
      <c r="K258" s="3" t="str">
        <f t="shared" si="13"/>
        <v>INSERT INTO tbFinanceItem(ItemName) VALUES('(BSD)Dividend Declared')</v>
      </c>
    </row>
    <row r="259" spans="1:11">
      <c r="A259" t="s">
        <v>74</v>
      </c>
      <c r="B259" t="s">
        <v>1433</v>
      </c>
      <c r="C259">
        <v>248</v>
      </c>
      <c r="D259">
        <v>215</v>
      </c>
      <c r="E259">
        <v>248</v>
      </c>
      <c r="F259">
        <v>215</v>
      </c>
      <c r="G259">
        <v>770</v>
      </c>
      <c r="H259" t="s">
        <v>1644</v>
      </c>
      <c r="I259" s="82" t="s">
        <v>2173</v>
      </c>
      <c r="J259" t="str">
        <f t="shared" si="14"/>
        <v>INSERT INTO tbFinanceItemSeq(Report,ItemSeqID,ItemSN,ItemID) VALUES('BSD',248,248,770)</v>
      </c>
      <c r="K259" t="str">
        <f t="shared" si="13"/>
        <v/>
      </c>
    </row>
    <row r="260" spans="1:11">
      <c r="A260" t="s">
        <v>74</v>
      </c>
      <c r="B260" t="s">
        <v>1433</v>
      </c>
      <c r="C260">
        <v>249</v>
      </c>
      <c r="D260">
        <v>216</v>
      </c>
      <c r="E260">
        <v>249</v>
      </c>
      <c r="F260">
        <v>216</v>
      </c>
      <c r="G260">
        <v>771</v>
      </c>
      <c r="H260" t="s">
        <v>1645</v>
      </c>
      <c r="I260" s="82" t="s">
        <v>2174</v>
      </c>
      <c r="J260" t="str">
        <f t="shared" si="14"/>
        <v>INSERT INTO tbFinanceItemSeq(Report,ItemSeqID,ItemSN,ItemID) VALUES('BSD',249,249,771)</v>
      </c>
      <c r="K260" t="str">
        <f t="shared" si="13"/>
        <v/>
      </c>
    </row>
    <row r="261" spans="1:11">
      <c r="A261" t="s">
        <v>74</v>
      </c>
      <c r="B261" t="s">
        <v>1433</v>
      </c>
      <c r="C261">
        <v>250</v>
      </c>
      <c r="D261">
        <v>217</v>
      </c>
      <c r="E261">
        <v>250</v>
      </c>
      <c r="F261">
        <v>217</v>
      </c>
      <c r="G261">
        <v>772</v>
      </c>
      <c r="H261" t="s">
        <v>1646</v>
      </c>
      <c r="I261" s="83" t="s">
        <v>2175</v>
      </c>
      <c r="J261" t="str">
        <f t="shared" si="14"/>
        <v>INSERT INTO tbFinanceItemSeq(Report,ItemSeqID,ItemSN,ItemID) VALUES('BSD',250,250,772)</v>
      </c>
      <c r="K261" t="str">
        <f t="shared" si="13"/>
        <v/>
      </c>
    </row>
    <row r="262" spans="1:11">
      <c r="A262" t="s">
        <v>74</v>
      </c>
      <c r="B262" t="s">
        <v>1433</v>
      </c>
      <c r="C262">
        <v>251</v>
      </c>
      <c r="D262">
        <v>218</v>
      </c>
      <c r="E262">
        <v>251</v>
      </c>
      <c r="F262">
        <v>218</v>
      </c>
      <c r="G262">
        <v>773</v>
      </c>
      <c r="H262" t="s">
        <v>1647</v>
      </c>
      <c r="I262" s="83" t="s">
        <v>2176</v>
      </c>
      <c r="J262" t="str">
        <f t="shared" si="14"/>
        <v>INSERT INTO tbFinanceItemSeq(Report,ItemSeqID,ItemSN,ItemID) VALUES('BSD',251,251,773)</v>
      </c>
      <c r="K262" t="str">
        <f t="shared" si="13"/>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Reference</vt:lpstr>
      <vt:lpstr>F101 F21 PNL-Debug</vt:lpstr>
      <vt:lpstr>F101 F21 PNL-Origin</vt:lpstr>
      <vt:lpstr>F101 F21 PNL-New</vt:lpstr>
      <vt:lpstr>F21R PNLR-Script</vt:lpstr>
      <vt:lpstr>F21R PNLR-New</vt:lpstr>
      <vt:lpstr>F102 F22 PNLS-Debug</vt:lpstr>
      <vt:lpstr>F102 F22 PNLS-Origin</vt:lpstr>
      <vt:lpstr>F102 F22 PNLS-NEW</vt:lpstr>
      <vt:lpstr>F121 F24 Debug</vt:lpstr>
      <vt:lpstr>F121 F24 Origin</vt:lpstr>
      <vt:lpstr>F121 F24 Dif</vt:lpstr>
      <vt:lpstr>F121 F24 New</vt:lpstr>
      <vt:lpstr>F131 F30 BS-Debug</vt:lpstr>
      <vt:lpstr>F131 F30 BS-Origin</vt:lpstr>
      <vt:lpstr>F131 F30 BS-DIFF</vt:lpstr>
      <vt:lpstr>F131 F30 BS-NEW</vt:lpstr>
      <vt:lpstr>F30R BSR - Script</vt:lpstr>
      <vt:lpstr>F141 F31 PNLD-Debug</vt:lpstr>
      <vt:lpstr>F141 F31 PNLD-Origin</vt:lpstr>
      <vt:lpstr>F31 PNLD-DIFF</vt:lpstr>
      <vt:lpstr>F141 F31 PNLD-NEW</vt:lpstr>
      <vt:lpstr>F142 F32 MAD-Debug</vt:lpstr>
      <vt:lpstr>F142 F32 MAD-Origin</vt:lpstr>
      <vt:lpstr>F142 F32 MAD-DIFF</vt:lpstr>
      <vt:lpstr>F142 F32 MAD-New</vt:lpstr>
      <vt:lpstr>F151 F33 BSD-Debug</vt:lpstr>
      <vt:lpstr>F151 F33 BSD-Origin</vt:lpstr>
      <vt:lpstr>F151 F33 BSD-Diff</vt:lpstr>
      <vt:lpstr>F151 F33 BSD-New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wenbin wong</dc:creator>
  <cp:lastModifiedBy>wenbin wong</cp:lastModifiedBy>
  <dcterms:created xsi:type="dcterms:W3CDTF">2017-12-05T13:27:02Z</dcterms:created>
  <dcterms:modified xsi:type="dcterms:W3CDTF">2018-04-27T16:37:12Z</dcterms:modified>
</cp:coreProperties>
</file>