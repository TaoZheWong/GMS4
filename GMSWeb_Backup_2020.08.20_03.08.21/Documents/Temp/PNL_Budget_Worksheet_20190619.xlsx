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LNB94\Desktop\"/>
    </mc:Choice>
  </mc:AlternateContent>
  <xr:revisionPtr revIDLastSave="0" documentId="8_{CF79445D-6FE7-4412-874F-F5F917F190DF}" xr6:coauthVersionLast="43" xr6:coauthVersionMax="43" xr10:uidLastSave="{00000000-0000-0000-0000-000000000000}"/>
  <bookViews>
    <workbookView xWindow="-108" yWindow="-108" windowWidth="23256" windowHeight="1257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5" i="1" l="1"/>
  <c r="O6" i="1"/>
  <c r="C7" i="1"/>
  <c r="D7" i="1"/>
  <c r="D72" i="1"/>
  <c r="E7" i="1"/>
  <c r="F7" i="1"/>
  <c r="F11" i="1"/>
  <c r="G7" i="1"/>
  <c r="O7" i="1"/>
  <c r="H7" i="1"/>
  <c r="H11" i="1"/>
  <c r="I7" i="1"/>
  <c r="J7" i="1"/>
  <c r="K7" i="1"/>
  <c r="L7" i="1"/>
  <c r="L72" i="1"/>
  <c r="M7" i="1"/>
  <c r="N7" i="1"/>
  <c r="O8" i="1"/>
  <c r="O9" i="1"/>
  <c r="C10" i="1"/>
  <c r="D10" i="1"/>
  <c r="E10" i="1"/>
  <c r="E11" i="1"/>
  <c r="F10" i="1"/>
  <c r="G10" i="1"/>
  <c r="H10" i="1"/>
  <c r="O10" i="1"/>
  <c r="I10" i="1"/>
  <c r="I11" i="1"/>
  <c r="J10" i="1"/>
  <c r="K10" i="1"/>
  <c r="L10" i="1"/>
  <c r="M10" i="1"/>
  <c r="M11" i="1"/>
  <c r="N10" i="1"/>
  <c r="C11" i="1"/>
  <c r="C69" i="1"/>
  <c r="O69" i="1"/>
  <c r="D11" i="1"/>
  <c r="D69" i="1"/>
  <c r="J11" i="1"/>
  <c r="J56" i="1"/>
  <c r="K11" i="1"/>
  <c r="K69" i="1"/>
  <c r="L11" i="1"/>
  <c r="L69" i="1"/>
  <c r="N11" i="1"/>
  <c r="O12" i="1"/>
  <c r="O13" i="1"/>
  <c r="O14" i="1"/>
  <c r="O15" i="1"/>
  <c r="C16" i="1"/>
  <c r="O16" i="1"/>
  <c r="D16" i="1"/>
  <c r="E16" i="1"/>
  <c r="F16" i="1"/>
  <c r="G16" i="1"/>
  <c r="H16" i="1"/>
  <c r="I16" i="1"/>
  <c r="J16" i="1"/>
  <c r="K16" i="1"/>
  <c r="L16" i="1"/>
  <c r="M16" i="1"/>
  <c r="N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C32" i="1"/>
  <c r="D32" i="1"/>
  <c r="E32" i="1"/>
  <c r="F32" i="1"/>
  <c r="F72" i="1"/>
  <c r="G32" i="1"/>
  <c r="G72" i="1"/>
  <c r="H32" i="1"/>
  <c r="I32" i="1"/>
  <c r="J32" i="1"/>
  <c r="K32" i="1"/>
  <c r="L32" i="1"/>
  <c r="M32" i="1"/>
  <c r="N32" i="1"/>
  <c r="N72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C47" i="1"/>
  <c r="O47" i="1"/>
  <c r="D47" i="1"/>
  <c r="E47" i="1"/>
  <c r="F47" i="1"/>
  <c r="G47" i="1"/>
  <c r="H47" i="1"/>
  <c r="I47" i="1"/>
  <c r="J47" i="1"/>
  <c r="K47" i="1"/>
  <c r="L47" i="1"/>
  <c r="M47" i="1"/>
  <c r="N47" i="1"/>
  <c r="O48" i="1"/>
  <c r="O49" i="1"/>
  <c r="O50" i="1"/>
  <c r="O51" i="1"/>
  <c r="O52" i="1"/>
  <c r="O53" i="1"/>
  <c r="C54" i="1"/>
  <c r="D54" i="1"/>
  <c r="E54" i="1"/>
  <c r="E55" i="1"/>
  <c r="E73" i="1"/>
  <c r="F54" i="1"/>
  <c r="G54" i="1"/>
  <c r="G55" i="1"/>
  <c r="G73" i="1"/>
  <c r="H54" i="1"/>
  <c r="H55" i="1"/>
  <c r="H73" i="1"/>
  <c r="I54" i="1"/>
  <c r="I55" i="1"/>
  <c r="I73" i="1"/>
  <c r="J54" i="1"/>
  <c r="K54" i="1"/>
  <c r="L54" i="1"/>
  <c r="M54" i="1"/>
  <c r="M55" i="1"/>
  <c r="M73" i="1"/>
  <c r="N54" i="1"/>
  <c r="C55" i="1"/>
  <c r="D55" i="1"/>
  <c r="D73" i="1"/>
  <c r="F55" i="1"/>
  <c r="J55" i="1"/>
  <c r="K55" i="1"/>
  <c r="K73" i="1"/>
  <c r="L55" i="1"/>
  <c r="L73" i="1"/>
  <c r="N55" i="1"/>
  <c r="N56" i="1"/>
  <c r="N74" i="1"/>
  <c r="O57" i="1"/>
  <c r="O58" i="1"/>
  <c r="O59" i="1"/>
  <c r="O60" i="1"/>
  <c r="O61" i="1"/>
  <c r="O62" i="1"/>
  <c r="C63" i="1"/>
  <c r="O63" i="1"/>
  <c r="D63" i="1"/>
  <c r="E63" i="1"/>
  <c r="F63" i="1"/>
  <c r="G63" i="1"/>
  <c r="H63" i="1"/>
  <c r="I63" i="1"/>
  <c r="J63" i="1"/>
  <c r="K63" i="1"/>
  <c r="L63" i="1"/>
  <c r="M63" i="1"/>
  <c r="N63" i="1"/>
  <c r="N64" i="1"/>
  <c r="N75" i="1"/>
  <c r="O65" i="1"/>
  <c r="O67" i="1"/>
  <c r="O68" i="1"/>
  <c r="J69" i="1"/>
  <c r="N69" i="1"/>
  <c r="C70" i="1"/>
  <c r="O70" i="1"/>
  <c r="D70" i="1"/>
  <c r="E70" i="1"/>
  <c r="F70" i="1"/>
  <c r="G70" i="1"/>
  <c r="H70" i="1"/>
  <c r="I70" i="1"/>
  <c r="J70" i="1"/>
  <c r="K70" i="1"/>
  <c r="L70" i="1"/>
  <c r="M70" i="1"/>
  <c r="N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C72" i="1"/>
  <c r="O72" i="1"/>
  <c r="E72" i="1"/>
  <c r="I72" i="1"/>
  <c r="J72" i="1"/>
  <c r="K72" i="1"/>
  <c r="M72" i="1"/>
  <c r="F73" i="1"/>
  <c r="J73" i="1"/>
  <c r="N73" i="1"/>
  <c r="H56" i="1"/>
  <c r="H69" i="1"/>
  <c r="J74" i="1"/>
  <c r="J64" i="1"/>
  <c r="I56" i="1"/>
  <c r="I69" i="1"/>
  <c r="F56" i="1"/>
  <c r="F69" i="1"/>
  <c r="O55" i="1"/>
  <c r="M69" i="1"/>
  <c r="M56" i="1"/>
  <c r="E69" i="1"/>
  <c r="E56" i="1"/>
  <c r="O54" i="1"/>
  <c r="C73" i="1"/>
  <c r="O73" i="1"/>
  <c r="H72" i="1"/>
  <c r="N66" i="1"/>
  <c r="N76" i="1"/>
  <c r="L56" i="1"/>
  <c r="D56" i="1"/>
  <c r="K56" i="1"/>
  <c r="C56" i="1"/>
  <c r="G11" i="1"/>
  <c r="I64" i="1"/>
  <c r="I74" i="1"/>
  <c r="G69" i="1"/>
  <c r="G56" i="1"/>
  <c r="F74" i="1"/>
  <c r="F64" i="1"/>
  <c r="E74" i="1"/>
  <c r="E64" i="1"/>
  <c r="K74" i="1"/>
  <c r="K64" i="1"/>
  <c r="J66" i="1"/>
  <c r="J76" i="1"/>
  <c r="J75" i="1"/>
  <c r="M74" i="1"/>
  <c r="M64" i="1"/>
  <c r="L74" i="1"/>
  <c r="L64" i="1"/>
  <c r="O11" i="1"/>
  <c r="C74" i="1"/>
  <c r="O74" i="1"/>
  <c r="C64" i="1"/>
  <c r="D74" i="1"/>
  <c r="D64" i="1"/>
  <c r="H64" i="1"/>
  <c r="H74" i="1"/>
  <c r="E75" i="1"/>
  <c r="E66" i="1"/>
  <c r="E76" i="1"/>
  <c r="D66" i="1"/>
  <c r="D76" i="1"/>
  <c r="D75" i="1"/>
  <c r="F75" i="1"/>
  <c r="F66" i="1"/>
  <c r="F76" i="1"/>
  <c r="G74" i="1"/>
  <c r="G64" i="1"/>
  <c r="K66" i="1"/>
  <c r="K76" i="1"/>
  <c r="K75" i="1"/>
  <c r="L75" i="1"/>
  <c r="L66" i="1"/>
  <c r="L76" i="1"/>
  <c r="H66" i="1"/>
  <c r="H76" i="1"/>
  <c r="H75" i="1"/>
  <c r="M75" i="1"/>
  <c r="M66" i="1"/>
  <c r="M76" i="1"/>
  <c r="C75" i="1"/>
  <c r="O75" i="1"/>
  <c r="C66" i="1"/>
  <c r="O56" i="1"/>
  <c r="I66" i="1"/>
  <c r="I76" i="1"/>
  <c r="I75" i="1"/>
  <c r="G75" i="1"/>
  <c r="G66" i="1"/>
  <c r="G76" i="1"/>
  <c r="C76" i="1"/>
  <c r="O76" i="1"/>
  <c r="O66" i="1"/>
  <c r="O64" i="1"/>
</calcChain>
</file>

<file path=xl/sharedStrings.xml><?xml version="1.0" encoding="utf-8"?>
<sst xmlns="http://schemas.openxmlformats.org/spreadsheetml/2006/main" count="132" uniqueCount="90">
  <si>
    <t>LEEDEN NATIONAL OXYGEN LTD</t>
  </si>
  <si>
    <t>D1: L1NA</t>
  </si>
  <si>
    <t>F21B PROFIT &amp; LOSS BUDGET</t>
  </si>
  <si>
    <t>Item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</si>
  <si>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</si>
  <si>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</si>
  <si>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</si>
  <si>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</si>
  <si>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</si>
  <si>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</si>
  <si>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</si>
  <si>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</si>
  <si>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</si>
  <si>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</si>
  <si>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</si>
  <si>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</si>
  <si>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</si>
  <si>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(PNL)External Sales</t>
  </si>
  <si>
    <t>(PNL)Interco Sales</t>
  </si>
  <si>
    <t>(PNL)Total Sales</t>
  </si>
  <si>
    <t>(PNL)Cost of External Sales</t>
  </si>
  <si>
    <t>(PNL)Cost of Interco Sales</t>
  </si>
  <si>
    <t>(PNL)Total Cost of Sales</t>
  </si>
  <si>
    <t>(PNL)Gross Profit</t>
  </si>
  <si>
    <t>(PNL)Commission/Mgt Income</t>
  </si>
  <si>
    <t>(PNL)Gain/(Loss) Disposal of FA</t>
  </si>
  <si>
    <t>(PNL)Other Op Income</t>
  </si>
  <si>
    <t>(PNL)Other Op Expense</t>
  </si>
  <si>
    <t>(PNL)Total Other Op Income/ (Exp)</t>
  </si>
  <si>
    <t>(PNL)S&amp;D Basic Salary</t>
  </si>
  <si>
    <t>(PNL)S&amp;D Bonus</t>
  </si>
  <si>
    <t>(PNL)S&amp;D Comms &amp; Incentives</t>
  </si>
  <si>
    <t>(PNL)S&amp;D Overtime</t>
  </si>
  <si>
    <t>(PNL)S&amp;D Other Personnel Related Cost</t>
  </si>
  <si>
    <t>(PNL)S&amp;D Carriage/Transportation</t>
  </si>
  <si>
    <t>(PNL)S&amp;D Warehouse/Logistic Exps</t>
  </si>
  <si>
    <t>(PNL)S&amp;D Advertising/Promotion</t>
  </si>
  <si>
    <t>(PNL)S&amp;D Overseas Travelling</t>
  </si>
  <si>
    <t>(PNL)S&amp;D Entertainment</t>
  </si>
  <si>
    <t>(PNL)S&amp;D Equipment Expenses</t>
  </si>
  <si>
    <t>(PNL)S&amp;D Rental/Property Related</t>
  </si>
  <si>
    <t>(PNL)S&amp;D Depn/Amort of Fixed/Int. Assets</t>
  </si>
  <si>
    <t>(PNL)S&amp;D Stationery/Printing/Telephone</t>
  </si>
  <si>
    <t>(PNL)HO/Interco and Other S&amp;D</t>
  </si>
  <si>
    <t>(PNL)Total S&amp;D Expenses</t>
  </si>
  <si>
    <t>(PNL)A&amp;G Basic Salary</t>
  </si>
  <si>
    <t>(PNL)A&amp;G Bonus</t>
  </si>
  <si>
    <t>(PNL)A&amp;G Comms &amp; Incentives</t>
  </si>
  <si>
    <t>(PNL)A&amp;G Overtime</t>
  </si>
  <si>
    <t>(PNL)A&amp;G Other Personnel Related Cost</t>
  </si>
  <si>
    <t>(PNL)A&amp;G Overseas Travelling</t>
  </si>
  <si>
    <t>(PNL)A&amp;G Transportation</t>
  </si>
  <si>
    <t>(PNL)A&amp;G Entertainment &amp; Donations</t>
  </si>
  <si>
    <t>(PNL)A&amp;G Equipment/Property Related</t>
  </si>
  <si>
    <t>(PNL)A&amp;G Depn/Amort of Fixed/Int. Assets</t>
  </si>
  <si>
    <t>(PNL)A&amp;G Stationery/Printing/Telephone</t>
  </si>
  <si>
    <t>(PNL)A&amp;G Legal/Prof Fees/Ins/Safety</t>
  </si>
  <si>
    <t>(PNL)A&amp;G IT System Exps</t>
  </si>
  <si>
    <t>(PNL)A&amp;G Purchasing Exps</t>
  </si>
  <si>
    <t>(PNL)A&amp;G Direct Expenses</t>
  </si>
  <si>
    <t>(PNL)Prov for Stock Obso/Pilferage</t>
  </si>
  <si>
    <t>(PNL)Prov for Doubtful Debts</t>
  </si>
  <si>
    <t>(PNL)Bad Debts Recovered</t>
  </si>
  <si>
    <t>(PNL)Stocks Written Down/Written Off</t>
  </si>
  <si>
    <t>(PNL)GST/VAT Expense</t>
  </si>
  <si>
    <t>(PNL)HO/Interco Alloc</t>
  </si>
  <si>
    <t>(PNL)Other A&amp;G Expenses</t>
  </si>
  <si>
    <t>(PNL)Total A&amp;G Expenses</t>
  </si>
  <si>
    <t>(PNL)Profit from Operations</t>
  </si>
  <si>
    <t>(PNL)Interest Income</t>
  </si>
  <si>
    <t>(PNL)Interest Expense</t>
  </si>
  <si>
    <t>(PNL)Derivatives Gain/(Loss)</t>
  </si>
  <si>
    <t>(PNL)Forex Gain/(Loss)</t>
  </si>
  <si>
    <t>(PNL)Dividend Income</t>
  </si>
  <si>
    <t>(PNL)Other Non-Op Income/(Exp)</t>
  </si>
  <si>
    <t>(PNL)Total Non-Op Income/(Exp)</t>
  </si>
  <si>
    <t>(PNL)Profit Before Taxation</t>
  </si>
  <si>
    <t>(PNL)Less: Taxation</t>
  </si>
  <si>
    <t>(PNL)Profit After Taxation</t>
  </si>
  <si>
    <t>(PNL)Dividend Declared</t>
  </si>
  <si>
    <t>Performance Indicators</t>
  </si>
  <si>
    <t>Gross Profits Margin %</t>
  </si>
  <si>
    <t>- External Sales GP %</t>
  </si>
  <si>
    <t>- Interco Sales GP %</t>
  </si>
  <si>
    <t>Selling &amp; Dist Margin %</t>
  </si>
  <si>
    <t>A&amp;G Margin Total %</t>
  </si>
  <si>
    <t>Operating Profit Margin %</t>
  </si>
  <si>
    <t>Profit Before Taxation %</t>
  </si>
  <si>
    <t>Profit After Taxation %</t>
  </si>
  <si>
    <t>120,L1NA,NONE,NONE,NONE,2018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</si>
</sst>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.5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hair">
        <color indexed="8"/>
      </right>
      <top/>
      <bottom style="hair">
        <color indexed="64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0" fillId="0" borderId="0" xfId="0" applyProtection="1">
      <protection hidden="1"/>
    </xf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O77"/>
  <sheetViews>
    <sheetView tabSelected="1" workbookViewId="0">
      <pane ySplit="4" topLeftCell="A5" activePane="bottomLeft" state="frozen"/>
      <selection pane="bottomLeft" activeCell="S7" sqref="S7"/>
    </sheetView>
  </sheetViews>
  <sheetFormatPr defaultRowHeight="13.2" x14ac:dyDescent="0.25"/>
  <cols>
    <col min="1" max="1" width="20.6640625" customWidth="1"/>
    <col min="2" max="2" width="30.44140625" customWidth="1"/>
    <col min="3" max="16" width="8" customWidth="1"/>
  </cols>
  <sheetData>
    <row r="1" spans="1:15" s="1" customFormat="1" ht="10.8" x14ac:dyDescent="0.2">
      <c r="A1" s="13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  <c r="K1" s="13" t="s">
        <v>0</v>
      </c>
      <c r="L1" s="13" t="s">
        <v>0</v>
      </c>
      <c r="M1" s="13" t="s">
        <v>0</v>
      </c>
      <c r="N1" s="13" t="s">
        <v>0</v>
      </c>
      <c r="O1" s="13" t="s">
        <v>0</v>
      </c>
    </row>
    <row r="2" spans="1:15" s="1" customFormat="1" ht="10.8" x14ac:dyDescent="0.2">
      <c r="A2" s="14" t="s">
        <v>1</v>
      </c>
      <c r="B2" s="14" t="s">
        <v>1</v>
      </c>
      <c r="C2" s="14" t="s">
        <v>1</v>
      </c>
      <c r="D2" s="14" t="s">
        <v>1</v>
      </c>
      <c r="E2" s="14" t="s">
        <v>1</v>
      </c>
      <c r="F2" s="14" t="s">
        <v>1</v>
      </c>
      <c r="G2" s="14" t="s">
        <v>1</v>
      </c>
      <c r="H2" s="14" t="s">
        <v>1</v>
      </c>
      <c r="I2" s="14" t="s">
        <v>1</v>
      </c>
      <c r="J2" s="14" t="s">
        <v>1</v>
      </c>
      <c r="K2" s="14" t="s">
        <v>1</v>
      </c>
      <c r="L2" s="14" t="s">
        <v>1</v>
      </c>
      <c r="M2" s="14" t="s">
        <v>1</v>
      </c>
      <c r="N2" s="14" t="s">
        <v>1</v>
      </c>
      <c r="O2" s="14" t="s">
        <v>1</v>
      </c>
    </row>
    <row r="3" spans="1:15" x14ac:dyDescent="0.25">
      <c r="A3" s="15" t="s">
        <v>2</v>
      </c>
      <c r="B3" s="15" t="s">
        <v>2</v>
      </c>
      <c r="C3" s="15" t="s">
        <v>2</v>
      </c>
      <c r="D3" s="15" t="s">
        <v>2</v>
      </c>
      <c r="E3" s="15" t="s">
        <v>2</v>
      </c>
      <c r="F3" s="15" t="s">
        <v>2</v>
      </c>
      <c r="G3" s="15" t="s">
        <v>2</v>
      </c>
      <c r="H3" s="15" t="s">
        <v>2</v>
      </c>
      <c r="I3" s="15" t="s">
        <v>2</v>
      </c>
      <c r="J3" s="15" t="s">
        <v>2</v>
      </c>
      <c r="K3" s="15" t="s">
        <v>2</v>
      </c>
      <c r="L3" s="15" t="s">
        <v>2</v>
      </c>
      <c r="M3" s="15" t="s">
        <v>2</v>
      </c>
      <c r="N3" s="15" t="s">
        <v>2</v>
      </c>
      <c r="O3" s="15" t="s">
        <v>2</v>
      </c>
    </row>
    <row r="4" spans="1:15" x14ac:dyDescent="0.25">
      <c r="A4" s="16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25">
      <c r="A5" s="3">
        <v>1</v>
      </c>
      <c r="B5" s="6" t="s">
        <v>17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6">
        <f t="shared" ref="O5:O36" si="0">SUM(C5:N5)</f>
        <v>0</v>
      </c>
    </row>
    <row r="6" spans="1:15" x14ac:dyDescent="0.25">
      <c r="A6" s="3">
        <v>2</v>
      </c>
      <c r="B6" s="6" t="s">
        <v>18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6">
        <f t="shared" si="0"/>
        <v>0</v>
      </c>
    </row>
    <row r="7" spans="1:15" x14ac:dyDescent="0.25">
      <c r="A7" s="4">
        <v>3</v>
      </c>
      <c r="B7" s="7" t="s">
        <v>19</v>
      </c>
      <c r="C7" s="10">
        <f t="shared" ref="C7:N7" si="1">SUM(C5:C6)</f>
        <v>0</v>
      </c>
      <c r="D7" s="10">
        <f t="shared" si="1"/>
        <v>0</v>
      </c>
      <c r="E7" s="10">
        <f t="shared" si="1"/>
        <v>0</v>
      </c>
      <c r="F7" s="10">
        <f t="shared" si="1"/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  <c r="J7" s="10">
        <f t="shared" si="1"/>
        <v>0</v>
      </c>
      <c r="K7" s="10">
        <f t="shared" si="1"/>
        <v>0</v>
      </c>
      <c r="L7" s="10">
        <f t="shared" si="1"/>
        <v>0</v>
      </c>
      <c r="M7" s="10">
        <f t="shared" si="1"/>
        <v>0</v>
      </c>
      <c r="N7" s="10">
        <f t="shared" si="1"/>
        <v>0</v>
      </c>
      <c r="O7" s="7">
        <f t="shared" si="0"/>
        <v>0</v>
      </c>
    </row>
    <row r="8" spans="1:15" x14ac:dyDescent="0.25">
      <c r="A8" s="3">
        <v>4</v>
      </c>
      <c r="B8" s="6" t="s">
        <v>20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6">
        <f t="shared" si="0"/>
        <v>0</v>
      </c>
    </row>
    <row r="9" spans="1:15" x14ac:dyDescent="0.25">
      <c r="A9" s="3">
        <v>5</v>
      </c>
      <c r="B9" s="6" t="s">
        <v>21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6">
        <f t="shared" si="0"/>
        <v>0</v>
      </c>
    </row>
    <row r="10" spans="1:15" x14ac:dyDescent="0.25">
      <c r="A10" s="4">
        <v>6</v>
      </c>
      <c r="B10" s="7" t="s">
        <v>22</v>
      </c>
      <c r="C10" s="10">
        <f t="shared" ref="C10:N10" si="2">SUM(C8:C9)</f>
        <v>0</v>
      </c>
      <c r="D10" s="10">
        <f t="shared" si="2"/>
        <v>0</v>
      </c>
      <c r="E10" s="10">
        <f t="shared" si="2"/>
        <v>0</v>
      </c>
      <c r="F10" s="10">
        <f t="shared" si="2"/>
        <v>0</v>
      </c>
      <c r="G10" s="10">
        <f t="shared" si="2"/>
        <v>0</v>
      </c>
      <c r="H10" s="10">
        <f t="shared" si="2"/>
        <v>0</v>
      </c>
      <c r="I10" s="10">
        <f t="shared" si="2"/>
        <v>0</v>
      </c>
      <c r="J10" s="10">
        <f t="shared" si="2"/>
        <v>0</v>
      </c>
      <c r="K10" s="10">
        <f t="shared" si="2"/>
        <v>0</v>
      </c>
      <c r="L10" s="10">
        <f t="shared" si="2"/>
        <v>0</v>
      </c>
      <c r="M10" s="10">
        <f t="shared" si="2"/>
        <v>0</v>
      </c>
      <c r="N10" s="10">
        <f t="shared" si="2"/>
        <v>0</v>
      </c>
      <c r="O10" s="7">
        <f t="shared" si="0"/>
        <v>0</v>
      </c>
    </row>
    <row r="11" spans="1:15" x14ac:dyDescent="0.25">
      <c r="A11" s="5">
        <v>7</v>
      </c>
      <c r="B11" s="8" t="s">
        <v>23</v>
      </c>
      <c r="C11" s="11">
        <f t="shared" ref="C11:N11" si="3">SUM(C7,C10)</f>
        <v>0</v>
      </c>
      <c r="D11" s="11">
        <f t="shared" si="3"/>
        <v>0</v>
      </c>
      <c r="E11" s="11">
        <f t="shared" si="3"/>
        <v>0</v>
      </c>
      <c r="F11" s="11">
        <f t="shared" si="3"/>
        <v>0</v>
      </c>
      <c r="G11" s="11">
        <f t="shared" si="3"/>
        <v>0</v>
      </c>
      <c r="H11" s="11">
        <f t="shared" si="3"/>
        <v>0</v>
      </c>
      <c r="I11" s="11">
        <f t="shared" si="3"/>
        <v>0</v>
      </c>
      <c r="J11" s="11">
        <f t="shared" si="3"/>
        <v>0</v>
      </c>
      <c r="K11" s="11">
        <f t="shared" si="3"/>
        <v>0</v>
      </c>
      <c r="L11" s="11">
        <f t="shared" si="3"/>
        <v>0</v>
      </c>
      <c r="M11" s="11">
        <f t="shared" si="3"/>
        <v>0</v>
      </c>
      <c r="N11" s="11">
        <f t="shared" si="3"/>
        <v>0</v>
      </c>
      <c r="O11" s="8">
        <f t="shared" si="0"/>
        <v>0</v>
      </c>
    </row>
    <row r="12" spans="1:15" x14ac:dyDescent="0.25">
      <c r="A12" s="3">
        <v>8</v>
      </c>
      <c r="B12" s="6" t="s">
        <v>24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6">
        <f t="shared" si="0"/>
        <v>0</v>
      </c>
    </row>
    <row r="13" spans="1:15" x14ac:dyDescent="0.25">
      <c r="A13" s="3">
        <v>9</v>
      </c>
      <c r="B13" s="6" t="s">
        <v>25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6">
        <f t="shared" si="0"/>
        <v>0</v>
      </c>
    </row>
    <row r="14" spans="1:15" x14ac:dyDescent="0.25">
      <c r="A14" s="3">
        <v>10</v>
      </c>
      <c r="B14" s="6" t="s">
        <v>26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6">
        <f t="shared" si="0"/>
        <v>0</v>
      </c>
    </row>
    <row r="15" spans="1:15" x14ac:dyDescent="0.25">
      <c r="A15" s="3">
        <v>11</v>
      </c>
      <c r="B15" s="6" t="s">
        <v>27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6">
        <f t="shared" si="0"/>
        <v>0</v>
      </c>
    </row>
    <row r="16" spans="1:15" x14ac:dyDescent="0.25">
      <c r="A16" s="4">
        <v>12</v>
      </c>
      <c r="B16" s="7" t="s">
        <v>28</v>
      </c>
      <c r="C16" s="10">
        <f t="shared" ref="C16:N16" si="4">SUM(C12:C15)</f>
        <v>0</v>
      </c>
      <c r="D16" s="10">
        <f t="shared" si="4"/>
        <v>0</v>
      </c>
      <c r="E16" s="10">
        <f t="shared" si="4"/>
        <v>0</v>
      </c>
      <c r="F16" s="10">
        <f t="shared" si="4"/>
        <v>0</v>
      </c>
      <c r="G16" s="10">
        <f t="shared" si="4"/>
        <v>0</v>
      </c>
      <c r="H16" s="10">
        <f t="shared" si="4"/>
        <v>0</v>
      </c>
      <c r="I16" s="10">
        <f t="shared" si="4"/>
        <v>0</v>
      </c>
      <c r="J16" s="10">
        <f t="shared" si="4"/>
        <v>0</v>
      </c>
      <c r="K16" s="10">
        <f t="shared" si="4"/>
        <v>0</v>
      </c>
      <c r="L16" s="10">
        <f t="shared" si="4"/>
        <v>0</v>
      </c>
      <c r="M16" s="10">
        <f t="shared" si="4"/>
        <v>0</v>
      </c>
      <c r="N16" s="10">
        <f t="shared" si="4"/>
        <v>0</v>
      </c>
      <c r="O16" s="7">
        <f t="shared" si="0"/>
        <v>0</v>
      </c>
    </row>
    <row r="17" spans="1:15" x14ac:dyDescent="0.25">
      <c r="A17" s="3">
        <v>13</v>
      </c>
      <c r="B17" s="6" t="s">
        <v>29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6">
        <f t="shared" si="0"/>
        <v>0</v>
      </c>
    </row>
    <row r="18" spans="1:15" x14ac:dyDescent="0.25">
      <c r="A18" s="3">
        <v>14</v>
      </c>
      <c r="B18" s="6" t="s">
        <v>30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6">
        <f t="shared" si="0"/>
        <v>0</v>
      </c>
    </row>
    <row r="19" spans="1:15" x14ac:dyDescent="0.25">
      <c r="A19" s="3">
        <v>15</v>
      </c>
      <c r="B19" s="6" t="s">
        <v>31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6">
        <f t="shared" si="0"/>
        <v>0</v>
      </c>
    </row>
    <row r="20" spans="1:15" x14ac:dyDescent="0.25">
      <c r="A20" s="3">
        <v>16</v>
      </c>
      <c r="B20" s="6" t="s">
        <v>32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6">
        <f t="shared" si="0"/>
        <v>0</v>
      </c>
    </row>
    <row r="21" spans="1:15" x14ac:dyDescent="0.25">
      <c r="A21" s="3">
        <v>17</v>
      </c>
      <c r="B21" s="6" t="s">
        <v>33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6">
        <f t="shared" si="0"/>
        <v>0</v>
      </c>
    </row>
    <row r="22" spans="1:15" x14ac:dyDescent="0.25">
      <c r="A22" s="3">
        <v>18</v>
      </c>
      <c r="B22" s="6" t="s">
        <v>34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6">
        <f t="shared" si="0"/>
        <v>0</v>
      </c>
    </row>
    <row r="23" spans="1:15" x14ac:dyDescent="0.25">
      <c r="A23" s="3">
        <v>19</v>
      </c>
      <c r="B23" s="6" t="s">
        <v>35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6">
        <f t="shared" si="0"/>
        <v>0</v>
      </c>
    </row>
    <row r="24" spans="1:15" x14ac:dyDescent="0.25">
      <c r="A24" s="3">
        <v>20</v>
      </c>
      <c r="B24" s="6" t="s">
        <v>36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6">
        <f t="shared" si="0"/>
        <v>0</v>
      </c>
    </row>
    <row r="25" spans="1:15" x14ac:dyDescent="0.25">
      <c r="A25" s="3">
        <v>21</v>
      </c>
      <c r="B25" s="6" t="s">
        <v>37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6">
        <f t="shared" si="0"/>
        <v>0</v>
      </c>
    </row>
    <row r="26" spans="1:15" x14ac:dyDescent="0.25">
      <c r="A26" s="3">
        <v>22</v>
      </c>
      <c r="B26" s="6" t="s">
        <v>38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6">
        <f t="shared" si="0"/>
        <v>0</v>
      </c>
    </row>
    <row r="27" spans="1:15" x14ac:dyDescent="0.25">
      <c r="A27" s="3">
        <v>23</v>
      </c>
      <c r="B27" s="6" t="s">
        <v>39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6">
        <f t="shared" si="0"/>
        <v>0</v>
      </c>
    </row>
    <row r="28" spans="1:15" x14ac:dyDescent="0.25">
      <c r="A28" s="3">
        <v>24</v>
      </c>
      <c r="B28" s="6" t="s">
        <v>40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6">
        <f t="shared" si="0"/>
        <v>0</v>
      </c>
    </row>
    <row r="29" spans="1:15" x14ac:dyDescent="0.25">
      <c r="A29" s="3">
        <v>25</v>
      </c>
      <c r="B29" s="6" t="s">
        <v>41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6">
        <f t="shared" si="0"/>
        <v>0</v>
      </c>
    </row>
    <row r="30" spans="1:15" x14ac:dyDescent="0.25">
      <c r="A30" s="3">
        <v>26</v>
      </c>
      <c r="B30" s="6" t="s">
        <v>42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6">
        <f t="shared" si="0"/>
        <v>0</v>
      </c>
    </row>
    <row r="31" spans="1:15" x14ac:dyDescent="0.25">
      <c r="A31" s="3">
        <v>27</v>
      </c>
      <c r="B31" s="6" t="s">
        <v>43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6">
        <f t="shared" si="0"/>
        <v>0</v>
      </c>
    </row>
    <row r="32" spans="1:15" x14ac:dyDescent="0.25">
      <c r="A32" s="4">
        <v>28</v>
      </c>
      <c r="B32" s="7" t="s">
        <v>44</v>
      </c>
      <c r="C32" s="10">
        <f t="shared" ref="C32:N32" si="5">SUM(C17:C31)</f>
        <v>0</v>
      </c>
      <c r="D32" s="10">
        <f t="shared" si="5"/>
        <v>0</v>
      </c>
      <c r="E32" s="10">
        <f t="shared" si="5"/>
        <v>0</v>
      </c>
      <c r="F32" s="10">
        <f t="shared" si="5"/>
        <v>0</v>
      </c>
      <c r="G32" s="10">
        <f t="shared" si="5"/>
        <v>0</v>
      </c>
      <c r="H32" s="10">
        <f t="shared" si="5"/>
        <v>0</v>
      </c>
      <c r="I32" s="10">
        <f t="shared" si="5"/>
        <v>0</v>
      </c>
      <c r="J32" s="10">
        <f t="shared" si="5"/>
        <v>0</v>
      </c>
      <c r="K32" s="10">
        <f t="shared" si="5"/>
        <v>0</v>
      </c>
      <c r="L32" s="10">
        <f t="shared" si="5"/>
        <v>0</v>
      </c>
      <c r="M32" s="10">
        <f t="shared" si="5"/>
        <v>0</v>
      </c>
      <c r="N32" s="10">
        <f t="shared" si="5"/>
        <v>0</v>
      </c>
      <c r="O32" s="7">
        <f t="shared" si="0"/>
        <v>0</v>
      </c>
    </row>
    <row r="33" spans="1:15" x14ac:dyDescent="0.25">
      <c r="A33" s="3">
        <v>29</v>
      </c>
      <c r="B33" s="6" t="s">
        <v>45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6">
        <f t="shared" si="0"/>
        <v>0</v>
      </c>
    </row>
    <row r="34" spans="1:15" x14ac:dyDescent="0.25">
      <c r="A34" s="3">
        <v>30</v>
      </c>
      <c r="B34" s="6" t="s">
        <v>46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6">
        <f t="shared" si="0"/>
        <v>0</v>
      </c>
    </row>
    <row r="35" spans="1:15" x14ac:dyDescent="0.25">
      <c r="A35" s="3">
        <v>31</v>
      </c>
      <c r="B35" s="6" t="s">
        <v>47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6">
        <f t="shared" si="0"/>
        <v>0</v>
      </c>
    </row>
    <row r="36" spans="1:15" x14ac:dyDescent="0.25">
      <c r="A36" s="3">
        <v>32</v>
      </c>
      <c r="B36" s="6" t="s">
        <v>48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6">
        <f t="shared" si="0"/>
        <v>0</v>
      </c>
    </row>
    <row r="37" spans="1:15" x14ac:dyDescent="0.25">
      <c r="A37" s="3">
        <v>33</v>
      </c>
      <c r="B37" s="6" t="s">
        <v>49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6">
        <f t="shared" ref="O37:O68" si="6">SUM(C37:N37)</f>
        <v>0</v>
      </c>
    </row>
    <row r="38" spans="1:15" x14ac:dyDescent="0.25">
      <c r="A38" s="3">
        <v>34</v>
      </c>
      <c r="B38" s="6" t="s">
        <v>50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6">
        <f t="shared" si="6"/>
        <v>0</v>
      </c>
    </row>
    <row r="39" spans="1:15" x14ac:dyDescent="0.25">
      <c r="A39" s="3">
        <v>35</v>
      </c>
      <c r="B39" s="6" t="s">
        <v>51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6">
        <f t="shared" si="6"/>
        <v>0</v>
      </c>
    </row>
    <row r="40" spans="1:15" x14ac:dyDescent="0.25">
      <c r="A40" s="3">
        <v>36</v>
      </c>
      <c r="B40" s="6" t="s">
        <v>52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6">
        <f t="shared" si="6"/>
        <v>0</v>
      </c>
    </row>
    <row r="41" spans="1:15" x14ac:dyDescent="0.25">
      <c r="A41" s="3">
        <v>37</v>
      </c>
      <c r="B41" s="6" t="s">
        <v>53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6">
        <f t="shared" si="6"/>
        <v>0</v>
      </c>
    </row>
    <row r="42" spans="1:15" x14ac:dyDescent="0.25">
      <c r="A42" s="3">
        <v>38</v>
      </c>
      <c r="B42" s="6" t="s">
        <v>54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6">
        <f t="shared" si="6"/>
        <v>0</v>
      </c>
    </row>
    <row r="43" spans="1:15" x14ac:dyDescent="0.25">
      <c r="A43" s="3">
        <v>39</v>
      </c>
      <c r="B43" s="6" t="s">
        <v>55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6">
        <f t="shared" si="6"/>
        <v>0</v>
      </c>
    </row>
    <row r="44" spans="1:15" x14ac:dyDescent="0.25">
      <c r="A44" s="3">
        <v>40</v>
      </c>
      <c r="B44" s="6" t="s">
        <v>56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6">
        <f t="shared" si="6"/>
        <v>0</v>
      </c>
    </row>
    <row r="45" spans="1:15" x14ac:dyDescent="0.25">
      <c r="A45" s="3">
        <v>41</v>
      </c>
      <c r="B45" s="6" t="s">
        <v>57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6">
        <f t="shared" si="6"/>
        <v>0</v>
      </c>
    </row>
    <row r="46" spans="1:15" x14ac:dyDescent="0.25">
      <c r="A46" s="3">
        <v>42</v>
      </c>
      <c r="B46" s="6" t="s">
        <v>58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6">
        <f t="shared" si="6"/>
        <v>0</v>
      </c>
    </row>
    <row r="47" spans="1:15" x14ac:dyDescent="0.25">
      <c r="A47" s="4">
        <v>43</v>
      </c>
      <c r="B47" s="7" t="s">
        <v>59</v>
      </c>
      <c r="C47" s="10">
        <f t="shared" ref="C47:N47" si="7">SUM(C33:C46)</f>
        <v>0</v>
      </c>
      <c r="D47" s="10">
        <f t="shared" si="7"/>
        <v>0</v>
      </c>
      <c r="E47" s="10">
        <f t="shared" si="7"/>
        <v>0</v>
      </c>
      <c r="F47" s="10">
        <f t="shared" si="7"/>
        <v>0</v>
      </c>
      <c r="G47" s="10">
        <f t="shared" si="7"/>
        <v>0</v>
      </c>
      <c r="H47" s="10">
        <f t="shared" si="7"/>
        <v>0</v>
      </c>
      <c r="I47" s="10">
        <f t="shared" si="7"/>
        <v>0</v>
      </c>
      <c r="J47" s="10">
        <f t="shared" si="7"/>
        <v>0</v>
      </c>
      <c r="K47" s="10">
        <f t="shared" si="7"/>
        <v>0</v>
      </c>
      <c r="L47" s="10">
        <f t="shared" si="7"/>
        <v>0</v>
      </c>
      <c r="M47" s="10">
        <f t="shared" si="7"/>
        <v>0</v>
      </c>
      <c r="N47" s="10">
        <f t="shared" si="7"/>
        <v>0</v>
      </c>
      <c r="O47" s="7">
        <f t="shared" si="6"/>
        <v>0</v>
      </c>
    </row>
    <row r="48" spans="1:15" x14ac:dyDescent="0.25">
      <c r="A48" s="3">
        <v>44</v>
      </c>
      <c r="B48" s="6" t="s">
        <v>60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6">
        <f t="shared" si="6"/>
        <v>0</v>
      </c>
    </row>
    <row r="49" spans="1:15" x14ac:dyDescent="0.25">
      <c r="A49" s="3">
        <v>45</v>
      </c>
      <c r="B49" s="6" t="s">
        <v>61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6">
        <f t="shared" si="6"/>
        <v>0</v>
      </c>
    </row>
    <row r="50" spans="1:15" x14ac:dyDescent="0.25">
      <c r="A50" s="3">
        <v>46</v>
      </c>
      <c r="B50" s="6" t="s">
        <v>62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6">
        <f t="shared" si="6"/>
        <v>0</v>
      </c>
    </row>
    <row r="51" spans="1:15" x14ac:dyDescent="0.25">
      <c r="A51" s="3">
        <v>47</v>
      </c>
      <c r="B51" s="6" t="s">
        <v>63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6">
        <f t="shared" si="6"/>
        <v>0</v>
      </c>
    </row>
    <row r="52" spans="1:15" x14ac:dyDescent="0.25">
      <c r="A52" s="3">
        <v>48</v>
      </c>
      <c r="B52" s="6" t="s">
        <v>64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6">
        <f t="shared" si="6"/>
        <v>0</v>
      </c>
    </row>
    <row r="53" spans="1:15" x14ac:dyDescent="0.25">
      <c r="A53" s="3">
        <v>49</v>
      </c>
      <c r="B53" s="6" t="s">
        <v>65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6">
        <f t="shared" si="6"/>
        <v>0</v>
      </c>
    </row>
    <row r="54" spans="1:15" x14ac:dyDescent="0.25">
      <c r="A54" s="4">
        <v>50</v>
      </c>
      <c r="B54" s="7" t="s">
        <v>66</v>
      </c>
      <c r="C54" s="10">
        <f t="shared" ref="C54:N54" si="8">SUM(C48:C53)</f>
        <v>0</v>
      </c>
      <c r="D54" s="10">
        <f t="shared" si="8"/>
        <v>0</v>
      </c>
      <c r="E54" s="10">
        <f t="shared" si="8"/>
        <v>0</v>
      </c>
      <c r="F54" s="10">
        <f t="shared" si="8"/>
        <v>0</v>
      </c>
      <c r="G54" s="10">
        <f t="shared" si="8"/>
        <v>0</v>
      </c>
      <c r="H54" s="10">
        <f t="shared" si="8"/>
        <v>0</v>
      </c>
      <c r="I54" s="10">
        <f t="shared" si="8"/>
        <v>0</v>
      </c>
      <c r="J54" s="10">
        <f t="shared" si="8"/>
        <v>0</v>
      </c>
      <c r="K54" s="10">
        <f t="shared" si="8"/>
        <v>0</v>
      </c>
      <c r="L54" s="10">
        <f t="shared" si="8"/>
        <v>0</v>
      </c>
      <c r="M54" s="10">
        <f t="shared" si="8"/>
        <v>0</v>
      </c>
      <c r="N54" s="10">
        <f t="shared" si="8"/>
        <v>0</v>
      </c>
      <c r="O54" s="7">
        <f t="shared" si="6"/>
        <v>0</v>
      </c>
    </row>
    <row r="55" spans="1:15" x14ac:dyDescent="0.25">
      <c r="A55" s="4">
        <v>51</v>
      </c>
      <c r="B55" s="7" t="s">
        <v>67</v>
      </c>
      <c r="C55" s="10">
        <f t="shared" ref="C55:N55" si="9">SUM(C47,C54)</f>
        <v>0</v>
      </c>
      <c r="D55" s="10">
        <f t="shared" si="9"/>
        <v>0</v>
      </c>
      <c r="E55" s="10">
        <f t="shared" si="9"/>
        <v>0</v>
      </c>
      <c r="F55" s="10">
        <f t="shared" si="9"/>
        <v>0</v>
      </c>
      <c r="G55" s="10">
        <f t="shared" si="9"/>
        <v>0</v>
      </c>
      <c r="H55" s="10">
        <f t="shared" si="9"/>
        <v>0</v>
      </c>
      <c r="I55" s="10">
        <f t="shared" si="9"/>
        <v>0</v>
      </c>
      <c r="J55" s="10">
        <f t="shared" si="9"/>
        <v>0</v>
      </c>
      <c r="K55" s="10">
        <f t="shared" si="9"/>
        <v>0</v>
      </c>
      <c r="L55" s="10">
        <f t="shared" si="9"/>
        <v>0</v>
      </c>
      <c r="M55" s="10">
        <f t="shared" si="9"/>
        <v>0</v>
      </c>
      <c r="N55" s="10">
        <f t="shared" si="9"/>
        <v>0</v>
      </c>
      <c r="O55" s="7">
        <f t="shared" si="6"/>
        <v>0</v>
      </c>
    </row>
    <row r="56" spans="1:15" x14ac:dyDescent="0.25">
      <c r="A56" s="5">
        <v>52</v>
      </c>
      <c r="B56" s="8" t="s">
        <v>68</v>
      </c>
      <c r="C56" s="11">
        <f t="shared" ref="C56:N56" si="10">SUM(C11,C16,C32,C55)</f>
        <v>0</v>
      </c>
      <c r="D56" s="11">
        <f t="shared" si="10"/>
        <v>0</v>
      </c>
      <c r="E56" s="11">
        <f t="shared" si="10"/>
        <v>0</v>
      </c>
      <c r="F56" s="11">
        <f t="shared" si="10"/>
        <v>0</v>
      </c>
      <c r="G56" s="11">
        <f t="shared" si="10"/>
        <v>0</v>
      </c>
      <c r="H56" s="11">
        <f t="shared" si="10"/>
        <v>0</v>
      </c>
      <c r="I56" s="11">
        <f t="shared" si="10"/>
        <v>0</v>
      </c>
      <c r="J56" s="11">
        <f t="shared" si="10"/>
        <v>0</v>
      </c>
      <c r="K56" s="11">
        <f t="shared" si="10"/>
        <v>0</v>
      </c>
      <c r="L56" s="11">
        <f t="shared" si="10"/>
        <v>0</v>
      </c>
      <c r="M56" s="11">
        <f t="shared" si="10"/>
        <v>0</v>
      </c>
      <c r="N56" s="11">
        <f t="shared" si="10"/>
        <v>0</v>
      </c>
      <c r="O56" s="8">
        <f t="shared" si="6"/>
        <v>0</v>
      </c>
    </row>
    <row r="57" spans="1:15" x14ac:dyDescent="0.25">
      <c r="A57" s="3">
        <v>53</v>
      </c>
      <c r="B57" s="6" t="s">
        <v>69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6">
        <f t="shared" si="6"/>
        <v>0</v>
      </c>
    </row>
    <row r="58" spans="1:15" x14ac:dyDescent="0.25">
      <c r="A58" s="3">
        <v>54</v>
      </c>
      <c r="B58" s="6" t="s">
        <v>70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6">
        <f t="shared" si="6"/>
        <v>0</v>
      </c>
    </row>
    <row r="59" spans="1:15" x14ac:dyDescent="0.25">
      <c r="A59" s="3">
        <v>55</v>
      </c>
      <c r="B59" s="6" t="s">
        <v>71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6">
        <f t="shared" si="6"/>
        <v>0</v>
      </c>
    </row>
    <row r="60" spans="1:15" x14ac:dyDescent="0.25">
      <c r="A60" s="3">
        <v>56</v>
      </c>
      <c r="B60" s="6" t="s">
        <v>72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6">
        <f t="shared" si="6"/>
        <v>0</v>
      </c>
    </row>
    <row r="61" spans="1:15" x14ac:dyDescent="0.25">
      <c r="A61" s="3">
        <v>57</v>
      </c>
      <c r="B61" s="6" t="s">
        <v>73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6">
        <f t="shared" si="6"/>
        <v>0</v>
      </c>
    </row>
    <row r="62" spans="1:15" x14ac:dyDescent="0.25">
      <c r="A62" s="3">
        <v>58</v>
      </c>
      <c r="B62" s="6" t="s">
        <v>74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6">
        <f t="shared" si="6"/>
        <v>0</v>
      </c>
    </row>
    <row r="63" spans="1:15" x14ac:dyDescent="0.25">
      <c r="A63" s="4">
        <v>59</v>
      </c>
      <c r="B63" s="7" t="s">
        <v>75</v>
      </c>
      <c r="C63" s="10">
        <f t="shared" ref="C63:N63" si="11">SUM(C57:C62)</f>
        <v>0</v>
      </c>
      <c r="D63" s="10">
        <f t="shared" si="11"/>
        <v>0</v>
      </c>
      <c r="E63" s="10">
        <f t="shared" si="11"/>
        <v>0</v>
      </c>
      <c r="F63" s="10">
        <f t="shared" si="11"/>
        <v>0</v>
      </c>
      <c r="G63" s="10">
        <f t="shared" si="11"/>
        <v>0</v>
      </c>
      <c r="H63" s="10">
        <f t="shared" si="11"/>
        <v>0</v>
      </c>
      <c r="I63" s="10">
        <f t="shared" si="11"/>
        <v>0</v>
      </c>
      <c r="J63" s="10">
        <f t="shared" si="11"/>
        <v>0</v>
      </c>
      <c r="K63" s="10">
        <f t="shared" si="11"/>
        <v>0</v>
      </c>
      <c r="L63" s="10">
        <f t="shared" si="11"/>
        <v>0</v>
      </c>
      <c r="M63" s="10">
        <f t="shared" si="11"/>
        <v>0</v>
      </c>
      <c r="N63" s="10">
        <f t="shared" si="11"/>
        <v>0</v>
      </c>
      <c r="O63" s="7">
        <f t="shared" si="6"/>
        <v>0</v>
      </c>
    </row>
    <row r="64" spans="1:15" x14ac:dyDescent="0.25">
      <c r="A64" s="4">
        <v>60</v>
      </c>
      <c r="B64" s="7" t="s">
        <v>76</v>
      </c>
      <c r="C64" s="10">
        <f t="shared" ref="C64:N64" si="12">SUM(C56,C63)</f>
        <v>0</v>
      </c>
      <c r="D64" s="10">
        <f t="shared" si="12"/>
        <v>0</v>
      </c>
      <c r="E64" s="10">
        <f t="shared" si="12"/>
        <v>0</v>
      </c>
      <c r="F64" s="10">
        <f t="shared" si="12"/>
        <v>0</v>
      </c>
      <c r="G64" s="10">
        <f t="shared" si="12"/>
        <v>0</v>
      </c>
      <c r="H64" s="10">
        <f t="shared" si="12"/>
        <v>0</v>
      </c>
      <c r="I64" s="10">
        <f t="shared" si="12"/>
        <v>0</v>
      </c>
      <c r="J64" s="10">
        <f t="shared" si="12"/>
        <v>0</v>
      </c>
      <c r="K64" s="10">
        <f t="shared" si="12"/>
        <v>0</v>
      </c>
      <c r="L64" s="10">
        <f t="shared" si="12"/>
        <v>0</v>
      </c>
      <c r="M64" s="10">
        <f t="shared" si="12"/>
        <v>0</v>
      </c>
      <c r="N64" s="10">
        <f t="shared" si="12"/>
        <v>0</v>
      </c>
      <c r="O64" s="7">
        <f t="shared" si="6"/>
        <v>0</v>
      </c>
    </row>
    <row r="65" spans="1:15" x14ac:dyDescent="0.25">
      <c r="A65" s="4">
        <v>61</v>
      </c>
      <c r="B65" s="7" t="s">
        <v>77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7">
        <f t="shared" si="6"/>
        <v>0</v>
      </c>
    </row>
    <row r="66" spans="1:15" x14ac:dyDescent="0.25">
      <c r="A66" s="5">
        <v>62</v>
      </c>
      <c r="B66" s="8" t="s">
        <v>78</v>
      </c>
      <c r="C66" s="11">
        <f t="shared" ref="C66:N66" si="13">SUM(C64:C65)</f>
        <v>0</v>
      </c>
      <c r="D66" s="11">
        <f t="shared" si="13"/>
        <v>0</v>
      </c>
      <c r="E66" s="11">
        <f t="shared" si="13"/>
        <v>0</v>
      </c>
      <c r="F66" s="11">
        <f t="shared" si="13"/>
        <v>0</v>
      </c>
      <c r="G66" s="11">
        <f t="shared" si="13"/>
        <v>0</v>
      </c>
      <c r="H66" s="11">
        <f t="shared" si="13"/>
        <v>0</v>
      </c>
      <c r="I66" s="11">
        <f t="shared" si="13"/>
        <v>0</v>
      </c>
      <c r="J66" s="11">
        <f t="shared" si="13"/>
        <v>0</v>
      </c>
      <c r="K66" s="11">
        <f t="shared" si="13"/>
        <v>0</v>
      </c>
      <c r="L66" s="11">
        <f t="shared" si="13"/>
        <v>0</v>
      </c>
      <c r="M66" s="11">
        <f t="shared" si="13"/>
        <v>0</v>
      </c>
      <c r="N66" s="11">
        <f t="shared" si="13"/>
        <v>0</v>
      </c>
      <c r="O66" s="8">
        <f t="shared" si="6"/>
        <v>0</v>
      </c>
    </row>
    <row r="67" spans="1:15" x14ac:dyDescent="0.25">
      <c r="A67" s="5">
        <v>63</v>
      </c>
      <c r="B67" s="8" t="s">
        <v>79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8">
        <f t="shared" si="6"/>
        <v>0</v>
      </c>
    </row>
    <row r="68" spans="1:15" x14ac:dyDescent="0.25">
      <c r="A68" s="4"/>
      <c r="B68" s="7" t="s">
        <v>80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7">
        <f t="shared" si="6"/>
        <v>0</v>
      </c>
    </row>
    <row r="69" spans="1:15" x14ac:dyDescent="0.25">
      <c r="A69" s="3">
        <v>1</v>
      </c>
      <c r="B69" s="6" t="s">
        <v>81</v>
      </c>
      <c r="C69" s="9" t="e">
        <f t="shared" ref="C69:N69" si="14">C11/C7*100%</f>
        <v>#DIV/0!</v>
      </c>
      <c r="D69" s="9" t="e">
        <f t="shared" si="14"/>
        <v>#DIV/0!</v>
      </c>
      <c r="E69" s="9" t="e">
        <f t="shared" si="14"/>
        <v>#DIV/0!</v>
      </c>
      <c r="F69" s="9" t="e">
        <f t="shared" si="14"/>
        <v>#DIV/0!</v>
      </c>
      <c r="G69" s="9" t="e">
        <f t="shared" si="14"/>
        <v>#DIV/0!</v>
      </c>
      <c r="H69" s="9" t="e">
        <f t="shared" si="14"/>
        <v>#DIV/0!</v>
      </c>
      <c r="I69" s="9" t="e">
        <f t="shared" si="14"/>
        <v>#DIV/0!</v>
      </c>
      <c r="J69" s="9" t="e">
        <f t="shared" si="14"/>
        <v>#DIV/0!</v>
      </c>
      <c r="K69" s="9" t="e">
        <f t="shared" si="14"/>
        <v>#DIV/0!</v>
      </c>
      <c r="L69" s="9" t="e">
        <f t="shared" si="14"/>
        <v>#DIV/0!</v>
      </c>
      <c r="M69" s="9" t="e">
        <f t="shared" si="14"/>
        <v>#DIV/0!</v>
      </c>
      <c r="N69" s="9" t="e">
        <f t="shared" si="14"/>
        <v>#DIV/0!</v>
      </c>
      <c r="O69" s="6" t="e">
        <f t="shared" ref="O69:O76" si="15">SUM(C69:N69)</f>
        <v>#DIV/0!</v>
      </c>
    </row>
    <row r="70" spans="1:15" x14ac:dyDescent="0.25">
      <c r="A70" s="3">
        <v>2</v>
      </c>
      <c r="B70" s="6" t="s">
        <v>82</v>
      </c>
      <c r="C70" s="9" t="e">
        <f t="shared" ref="C70:N70" si="16">(C5-C8)/C5</f>
        <v>#DIV/0!</v>
      </c>
      <c r="D70" s="9" t="e">
        <f t="shared" si="16"/>
        <v>#DIV/0!</v>
      </c>
      <c r="E70" s="9" t="e">
        <f t="shared" si="16"/>
        <v>#DIV/0!</v>
      </c>
      <c r="F70" s="9" t="e">
        <f t="shared" si="16"/>
        <v>#DIV/0!</v>
      </c>
      <c r="G70" s="9" t="e">
        <f t="shared" si="16"/>
        <v>#DIV/0!</v>
      </c>
      <c r="H70" s="9" t="e">
        <f t="shared" si="16"/>
        <v>#DIV/0!</v>
      </c>
      <c r="I70" s="9" t="e">
        <f t="shared" si="16"/>
        <v>#DIV/0!</v>
      </c>
      <c r="J70" s="9" t="e">
        <f t="shared" si="16"/>
        <v>#DIV/0!</v>
      </c>
      <c r="K70" s="9" t="e">
        <f t="shared" si="16"/>
        <v>#DIV/0!</v>
      </c>
      <c r="L70" s="9" t="e">
        <f t="shared" si="16"/>
        <v>#DIV/0!</v>
      </c>
      <c r="M70" s="9" t="e">
        <f t="shared" si="16"/>
        <v>#DIV/0!</v>
      </c>
      <c r="N70" s="9" t="e">
        <f t="shared" si="16"/>
        <v>#DIV/0!</v>
      </c>
      <c r="O70" s="6" t="e">
        <f t="shared" si="15"/>
        <v>#DIV/0!</v>
      </c>
    </row>
    <row r="71" spans="1:15" x14ac:dyDescent="0.25">
      <c r="A71" s="3">
        <v>3</v>
      </c>
      <c r="B71" s="6" t="s">
        <v>83</v>
      </c>
      <c r="C71" s="9" t="e">
        <f t="shared" ref="C71:N71" si="17">(C6-C9)/C6</f>
        <v>#DIV/0!</v>
      </c>
      <c r="D71" s="9" t="e">
        <f t="shared" si="17"/>
        <v>#DIV/0!</v>
      </c>
      <c r="E71" s="9" t="e">
        <f t="shared" si="17"/>
        <v>#DIV/0!</v>
      </c>
      <c r="F71" s="9" t="e">
        <f t="shared" si="17"/>
        <v>#DIV/0!</v>
      </c>
      <c r="G71" s="9" t="e">
        <f t="shared" si="17"/>
        <v>#DIV/0!</v>
      </c>
      <c r="H71" s="9" t="e">
        <f t="shared" si="17"/>
        <v>#DIV/0!</v>
      </c>
      <c r="I71" s="9" t="e">
        <f t="shared" si="17"/>
        <v>#DIV/0!</v>
      </c>
      <c r="J71" s="9" t="e">
        <f t="shared" si="17"/>
        <v>#DIV/0!</v>
      </c>
      <c r="K71" s="9" t="e">
        <f t="shared" si="17"/>
        <v>#DIV/0!</v>
      </c>
      <c r="L71" s="9" t="e">
        <f t="shared" si="17"/>
        <v>#DIV/0!</v>
      </c>
      <c r="M71" s="9" t="e">
        <f t="shared" si="17"/>
        <v>#DIV/0!</v>
      </c>
      <c r="N71" s="9" t="e">
        <f t="shared" si="17"/>
        <v>#DIV/0!</v>
      </c>
      <c r="O71" s="6" t="e">
        <f t="shared" si="15"/>
        <v>#DIV/0!</v>
      </c>
    </row>
    <row r="72" spans="1:15" x14ac:dyDescent="0.25">
      <c r="A72" s="3">
        <v>4</v>
      </c>
      <c r="B72" s="6" t="s">
        <v>84</v>
      </c>
      <c r="C72" s="9" t="e">
        <f t="shared" ref="C72:N72" si="18">-(C32)/C7</f>
        <v>#DIV/0!</v>
      </c>
      <c r="D72" s="9" t="e">
        <f t="shared" si="18"/>
        <v>#DIV/0!</v>
      </c>
      <c r="E72" s="9" t="e">
        <f t="shared" si="18"/>
        <v>#DIV/0!</v>
      </c>
      <c r="F72" s="9" t="e">
        <f t="shared" si="18"/>
        <v>#DIV/0!</v>
      </c>
      <c r="G72" s="9" t="e">
        <f t="shared" si="18"/>
        <v>#DIV/0!</v>
      </c>
      <c r="H72" s="9" t="e">
        <f t="shared" si="18"/>
        <v>#DIV/0!</v>
      </c>
      <c r="I72" s="9" t="e">
        <f t="shared" si="18"/>
        <v>#DIV/0!</v>
      </c>
      <c r="J72" s="9" t="e">
        <f t="shared" si="18"/>
        <v>#DIV/0!</v>
      </c>
      <c r="K72" s="9" t="e">
        <f t="shared" si="18"/>
        <v>#DIV/0!</v>
      </c>
      <c r="L72" s="9" t="e">
        <f t="shared" si="18"/>
        <v>#DIV/0!</v>
      </c>
      <c r="M72" s="9" t="e">
        <f t="shared" si="18"/>
        <v>#DIV/0!</v>
      </c>
      <c r="N72" s="9" t="e">
        <f t="shared" si="18"/>
        <v>#DIV/0!</v>
      </c>
      <c r="O72" s="6" t="e">
        <f t="shared" si="15"/>
        <v>#DIV/0!</v>
      </c>
    </row>
    <row r="73" spans="1:15" x14ac:dyDescent="0.25">
      <c r="A73" s="3">
        <v>5</v>
      </c>
      <c r="B73" s="6" t="s">
        <v>85</v>
      </c>
      <c r="C73" s="9" t="e">
        <f t="shared" ref="C73:N73" si="19">-(C55)/C7</f>
        <v>#DIV/0!</v>
      </c>
      <c r="D73" s="9" t="e">
        <f t="shared" si="19"/>
        <v>#DIV/0!</v>
      </c>
      <c r="E73" s="9" t="e">
        <f t="shared" si="19"/>
        <v>#DIV/0!</v>
      </c>
      <c r="F73" s="9" t="e">
        <f t="shared" si="19"/>
        <v>#DIV/0!</v>
      </c>
      <c r="G73" s="9" t="e">
        <f t="shared" si="19"/>
        <v>#DIV/0!</v>
      </c>
      <c r="H73" s="9" t="e">
        <f t="shared" si="19"/>
        <v>#DIV/0!</v>
      </c>
      <c r="I73" s="9" t="e">
        <f t="shared" si="19"/>
        <v>#DIV/0!</v>
      </c>
      <c r="J73" s="9" t="e">
        <f t="shared" si="19"/>
        <v>#DIV/0!</v>
      </c>
      <c r="K73" s="9" t="e">
        <f t="shared" si="19"/>
        <v>#DIV/0!</v>
      </c>
      <c r="L73" s="9" t="e">
        <f t="shared" si="19"/>
        <v>#DIV/0!</v>
      </c>
      <c r="M73" s="9" t="e">
        <f t="shared" si="19"/>
        <v>#DIV/0!</v>
      </c>
      <c r="N73" s="9" t="e">
        <f t="shared" si="19"/>
        <v>#DIV/0!</v>
      </c>
      <c r="O73" s="6" t="e">
        <f t="shared" si="15"/>
        <v>#DIV/0!</v>
      </c>
    </row>
    <row r="74" spans="1:15" x14ac:dyDescent="0.25">
      <c r="A74" s="3">
        <v>6</v>
      </c>
      <c r="B74" s="6" t="s">
        <v>86</v>
      </c>
      <c r="C74" s="9" t="e">
        <f t="shared" ref="C74:N74" si="20">C56/C7</f>
        <v>#DIV/0!</v>
      </c>
      <c r="D74" s="9" t="e">
        <f t="shared" si="20"/>
        <v>#DIV/0!</v>
      </c>
      <c r="E74" s="9" t="e">
        <f t="shared" si="20"/>
        <v>#DIV/0!</v>
      </c>
      <c r="F74" s="9" t="e">
        <f t="shared" si="20"/>
        <v>#DIV/0!</v>
      </c>
      <c r="G74" s="9" t="e">
        <f t="shared" si="20"/>
        <v>#DIV/0!</v>
      </c>
      <c r="H74" s="9" t="e">
        <f t="shared" si="20"/>
        <v>#DIV/0!</v>
      </c>
      <c r="I74" s="9" t="e">
        <f t="shared" si="20"/>
        <v>#DIV/0!</v>
      </c>
      <c r="J74" s="9" t="e">
        <f t="shared" si="20"/>
        <v>#DIV/0!</v>
      </c>
      <c r="K74" s="9" t="e">
        <f t="shared" si="20"/>
        <v>#DIV/0!</v>
      </c>
      <c r="L74" s="9" t="e">
        <f t="shared" si="20"/>
        <v>#DIV/0!</v>
      </c>
      <c r="M74" s="9" t="e">
        <f t="shared" si="20"/>
        <v>#DIV/0!</v>
      </c>
      <c r="N74" s="9" t="e">
        <f t="shared" si="20"/>
        <v>#DIV/0!</v>
      </c>
      <c r="O74" s="6" t="e">
        <f t="shared" si="15"/>
        <v>#DIV/0!</v>
      </c>
    </row>
    <row r="75" spans="1:15" x14ac:dyDescent="0.25">
      <c r="A75" s="3">
        <v>7</v>
      </c>
      <c r="B75" s="6" t="s">
        <v>87</v>
      </c>
      <c r="C75" s="9" t="e">
        <f t="shared" ref="C75:N75" si="21">C64/C7</f>
        <v>#DIV/0!</v>
      </c>
      <c r="D75" s="9" t="e">
        <f t="shared" si="21"/>
        <v>#DIV/0!</v>
      </c>
      <c r="E75" s="9" t="e">
        <f t="shared" si="21"/>
        <v>#DIV/0!</v>
      </c>
      <c r="F75" s="9" t="e">
        <f t="shared" si="21"/>
        <v>#DIV/0!</v>
      </c>
      <c r="G75" s="9" t="e">
        <f t="shared" si="21"/>
        <v>#DIV/0!</v>
      </c>
      <c r="H75" s="9" t="e">
        <f t="shared" si="21"/>
        <v>#DIV/0!</v>
      </c>
      <c r="I75" s="9" t="e">
        <f t="shared" si="21"/>
        <v>#DIV/0!</v>
      </c>
      <c r="J75" s="9" t="e">
        <f t="shared" si="21"/>
        <v>#DIV/0!</v>
      </c>
      <c r="K75" s="9" t="e">
        <f t="shared" si="21"/>
        <v>#DIV/0!</v>
      </c>
      <c r="L75" s="9" t="e">
        <f t="shared" si="21"/>
        <v>#DIV/0!</v>
      </c>
      <c r="M75" s="9" t="e">
        <f t="shared" si="21"/>
        <v>#DIV/0!</v>
      </c>
      <c r="N75" s="9" t="e">
        <f t="shared" si="21"/>
        <v>#DIV/0!</v>
      </c>
      <c r="O75" s="6" t="e">
        <f t="shared" si="15"/>
        <v>#DIV/0!</v>
      </c>
    </row>
    <row r="76" spans="1:15" x14ac:dyDescent="0.25">
      <c r="A76" s="4">
        <v>8</v>
      </c>
      <c r="B76" s="7" t="s">
        <v>88</v>
      </c>
      <c r="C76" s="10" t="e">
        <f t="shared" ref="C76:N76" si="22">C66/C7</f>
        <v>#DIV/0!</v>
      </c>
      <c r="D76" s="10" t="e">
        <f t="shared" si="22"/>
        <v>#DIV/0!</v>
      </c>
      <c r="E76" s="10" t="e">
        <f t="shared" si="22"/>
        <v>#DIV/0!</v>
      </c>
      <c r="F76" s="10" t="e">
        <f t="shared" si="22"/>
        <v>#DIV/0!</v>
      </c>
      <c r="G76" s="10" t="e">
        <f t="shared" si="22"/>
        <v>#DIV/0!</v>
      </c>
      <c r="H76" s="10" t="e">
        <f t="shared" si="22"/>
        <v>#DIV/0!</v>
      </c>
      <c r="I76" s="10" t="e">
        <f t="shared" si="22"/>
        <v>#DIV/0!</v>
      </c>
      <c r="J76" s="10" t="e">
        <f t="shared" si="22"/>
        <v>#DIV/0!</v>
      </c>
      <c r="K76" s="10" t="e">
        <f t="shared" si="22"/>
        <v>#DIV/0!</v>
      </c>
      <c r="L76" s="10" t="e">
        <f t="shared" si="22"/>
        <v>#DIV/0!</v>
      </c>
      <c r="M76" s="10" t="e">
        <f t="shared" si="22"/>
        <v>#DIV/0!</v>
      </c>
      <c r="N76" s="10" t="e">
        <f t="shared" si="22"/>
        <v>#DIV/0!</v>
      </c>
      <c r="O76" s="7" t="e">
        <f t="shared" si="15"/>
        <v>#DIV/0!</v>
      </c>
    </row>
    <row r="77" spans="1:15" s="12" customFormat="1" ht="16.2" customHeight="1" x14ac:dyDescent="0.25">
      <c r="B77" s="12" t="s">
        <v>89</v>
      </c>
    </row>
  </sheetData>
  <pageMargins left="0.55000000000000004" right="0.1" top="0.7" bottom="0.1" header="0.5" footer="0.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LDLNB94</dc:creator>
  <cp:lastModifiedBy>LDLNB94</cp:lastModifiedBy>
  <dcterms:created xsi:type="dcterms:W3CDTF">2019-06-19T03:04:03Z</dcterms:created>
  <dcterms:modified xsi:type="dcterms:W3CDTF">2019-06-19T03:19:40Z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