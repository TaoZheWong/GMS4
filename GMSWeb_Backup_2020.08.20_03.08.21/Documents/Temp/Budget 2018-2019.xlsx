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P61" i="1" l="1"/>
  <c r="N61" i="1"/>
  <c r="M61" i="1"/>
  <c r="L61" i="1"/>
  <c r="K61" i="1"/>
  <c r="J61" i="1"/>
  <c r="I61" i="1"/>
  <c r="H61" i="1"/>
  <c r="G61" i="1"/>
  <c r="F61" i="1"/>
  <c r="E61" i="1"/>
  <c r="D61" i="1"/>
  <c r="C61" i="1"/>
  <c r="O59" i="1"/>
  <c r="P57" i="1"/>
  <c r="N57" i="1"/>
  <c r="M57" i="1"/>
  <c r="L57" i="1"/>
  <c r="K57" i="1"/>
  <c r="J57" i="1"/>
  <c r="I57" i="1"/>
  <c r="H57" i="1"/>
  <c r="G57" i="1"/>
  <c r="F57" i="1"/>
  <c r="E57" i="1"/>
  <c r="D57" i="1"/>
  <c r="C57" i="1"/>
  <c r="O56" i="1"/>
  <c r="O55" i="1"/>
  <c r="O54" i="1"/>
  <c r="O53" i="1"/>
  <c r="O52" i="1"/>
  <c r="O51" i="1"/>
  <c r="O50" i="1"/>
  <c r="O57" i="1" s="1"/>
  <c r="P47" i="1"/>
  <c r="N47" i="1"/>
  <c r="M47" i="1"/>
  <c r="L47" i="1"/>
  <c r="K47" i="1"/>
  <c r="J47" i="1"/>
  <c r="I47" i="1"/>
  <c r="H47" i="1"/>
  <c r="G47" i="1"/>
  <c r="F47" i="1"/>
  <c r="E47" i="1"/>
  <c r="D47" i="1"/>
  <c r="C47" i="1"/>
  <c r="O46" i="1"/>
  <c r="O45" i="1"/>
  <c r="O44" i="1"/>
  <c r="O43" i="1"/>
  <c r="O42" i="1"/>
  <c r="O41" i="1"/>
  <c r="O40" i="1"/>
  <c r="O39" i="1"/>
  <c r="O38" i="1"/>
  <c r="O47" i="1" s="1"/>
  <c r="P37" i="1"/>
  <c r="P48" i="1" s="1"/>
  <c r="N37" i="1"/>
  <c r="N48" i="1" s="1"/>
  <c r="M37" i="1"/>
  <c r="M48" i="1" s="1"/>
  <c r="L37" i="1"/>
  <c r="L48" i="1" s="1"/>
  <c r="K37" i="1"/>
  <c r="K48" i="1" s="1"/>
  <c r="J37" i="1"/>
  <c r="J48" i="1" s="1"/>
  <c r="I37" i="1"/>
  <c r="I48" i="1" s="1"/>
  <c r="H37" i="1"/>
  <c r="H48" i="1" s="1"/>
  <c r="G37" i="1"/>
  <c r="G48" i="1" s="1"/>
  <c r="F37" i="1"/>
  <c r="F48" i="1" s="1"/>
  <c r="E37" i="1"/>
  <c r="E48" i="1" s="1"/>
  <c r="D37" i="1"/>
  <c r="D48" i="1" s="1"/>
  <c r="C37" i="1"/>
  <c r="C48" i="1" s="1"/>
  <c r="O36" i="1"/>
  <c r="O35" i="1"/>
  <c r="O34" i="1"/>
  <c r="O33" i="1"/>
  <c r="O32" i="1"/>
  <c r="O31" i="1"/>
  <c r="O30" i="1"/>
  <c r="O29" i="1"/>
  <c r="O28" i="1"/>
  <c r="O27" i="1"/>
  <c r="O37" i="1" s="1"/>
  <c r="O48" i="1" s="1"/>
  <c r="P26" i="1"/>
  <c r="N26" i="1"/>
  <c r="M26" i="1"/>
  <c r="L26" i="1"/>
  <c r="K26" i="1"/>
  <c r="J26" i="1"/>
  <c r="I26" i="1"/>
  <c r="H26" i="1"/>
  <c r="G26" i="1"/>
  <c r="F26" i="1"/>
  <c r="E26" i="1"/>
  <c r="D26" i="1"/>
  <c r="C26" i="1"/>
  <c r="O25" i="1"/>
  <c r="O24" i="1"/>
  <c r="O23" i="1"/>
  <c r="O22" i="1"/>
  <c r="O21" i="1"/>
  <c r="O20" i="1"/>
  <c r="O19" i="1"/>
  <c r="O18" i="1"/>
  <c r="O17" i="1"/>
  <c r="O16" i="1"/>
  <c r="O26" i="1" s="1"/>
  <c r="P15" i="1"/>
  <c r="N15" i="1"/>
  <c r="M15" i="1"/>
  <c r="L15" i="1"/>
  <c r="K15" i="1"/>
  <c r="J15" i="1"/>
  <c r="I15" i="1"/>
  <c r="H15" i="1"/>
  <c r="G15" i="1"/>
  <c r="F15" i="1"/>
  <c r="E15" i="1"/>
  <c r="D15" i="1"/>
  <c r="C15" i="1"/>
  <c r="O14" i="1"/>
  <c r="O13" i="1"/>
  <c r="O12" i="1"/>
  <c r="O15" i="1" s="1"/>
  <c r="P10" i="1"/>
  <c r="N10" i="1"/>
  <c r="M10" i="1"/>
  <c r="L10" i="1"/>
  <c r="K10" i="1"/>
  <c r="J10" i="1"/>
  <c r="I10" i="1"/>
  <c r="H10" i="1"/>
  <c r="G10" i="1"/>
  <c r="F10" i="1"/>
  <c r="E10" i="1"/>
  <c r="D10" i="1"/>
  <c r="C10" i="1"/>
  <c r="O9" i="1"/>
  <c r="O8" i="1"/>
  <c r="O10" i="1" s="1"/>
  <c r="P7" i="1"/>
  <c r="P11" i="1" s="1"/>
  <c r="N7" i="1"/>
  <c r="N11" i="1" s="1"/>
  <c r="N49" i="1" s="1"/>
  <c r="N58" i="1" s="1"/>
  <c r="N60" i="1" s="1"/>
  <c r="M7" i="1"/>
  <c r="M11" i="1" s="1"/>
  <c r="L7" i="1"/>
  <c r="L11" i="1" s="1"/>
  <c r="L49" i="1" s="1"/>
  <c r="L58" i="1" s="1"/>
  <c r="L60" i="1" s="1"/>
  <c r="K7" i="1"/>
  <c r="K11" i="1" s="1"/>
  <c r="J7" i="1"/>
  <c r="J11" i="1" s="1"/>
  <c r="J49" i="1" s="1"/>
  <c r="J58" i="1" s="1"/>
  <c r="J60" i="1" s="1"/>
  <c r="I7" i="1"/>
  <c r="I11" i="1" s="1"/>
  <c r="H7" i="1"/>
  <c r="H11" i="1" s="1"/>
  <c r="H49" i="1" s="1"/>
  <c r="H58" i="1" s="1"/>
  <c r="H60" i="1" s="1"/>
  <c r="G7" i="1"/>
  <c r="G11" i="1" s="1"/>
  <c r="F7" i="1"/>
  <c r="F11" i="1" s="1"/>
  <c r="F49" i="1" s="1"/>
  <c r="F58" i="1" s="1"/>
  <c r="F60" i="1" s="1"/>
  <c r="E7" i="1"/>
  <c r="E11" i="1" s="1"/>
  <c r="D7" i="1"/>
  <c r="D11" i="1" s="1"/>
  <c r="D49" i="1" s="1"/>
  <c r="D58" i="1" s="1"/>
  <c r="D60" i="1" s="1"/>
  <c r="C7" i="1"/>
  <c r="C11" i="1" s="1"/>
  <c r="O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O5" i="1"/>
  <c r="O7" i="1" s="1"/>
  <c r="O11" i="1" s="1"/>
  <c r="O49" i="1" s="1"/>
  <c r="O58" i="1" s="1"/>
  <c r="O60" i="1" s="1"/>
  <c r="A1" i="1"/>
  <c r="C49" i="1" l="1"/>
  <c r="C58" i="1" s="1"/>
  <c r="C60" i="1" s="1"/>
  <c r="E49" i="1"/>
  <c r="E58" i="1" s="1"/>
  <c r="E60" i="1" s="1"/>
  <c r="G49" i="1"/>
  <c r="G58" i="1" s="1"/>
  <c r="G60" i="1" s="1"/>
  <c r="I49" i="1"/>
  <c r="I58" i="1" s="1"/>
  <c r="I60" i="1" s="1"/>
  <c r="K49" i="1"/>
  <c r="K58" i="1" s="1"/>
  <c r="K60" i="1" s="1"/>
  <c r="M49" i="1"/>
  <c r="M58" i="1" s="1"/>
  <c r="M60" i="1" s="1"/>
  <c r="P49" i="1"/>
  <c r="P58" i="1" s="1"/>
  <c r="P60" i="1" s="1"/>
</calcChain>
</file>

<file path=xl/sharedStrings.xml><?xml version="1.0" encoding="utf-8"?>
<sst xmlns="http://schemas.openxmlformats.org/spreadsheetml/2006/main" count="77" uniqueCount="69">
  <si>
    <t>FOR THE YEAR OF:   2018</t>
  </si>
  <si>
    <t xml:space="preserve">DIVISION: </t>
  </si>
  <si>
    <t xml:space="preserve">DEPT: </t>
  </si>
  <si>
    <t>SECTION:</t>
  </si>
  <si>
    <t xml:space="preserve">F302 PROFIT &amp; LOSS BUDGET </t>
  </si>
  <si>
    <t>CURRENCY: MYR 000s</t>
  </si>
  <si>
    <t>FX:         0.00</t>
  </si>
  <si>
    <t>Total</t>
  </si>
  <si>
    <t>External Sales</t>
  </si>
  <si>
    <t>Interco Sales</t>
  </si>
  <si>
    <t>Total Sales</t>
  </si>
  <si>
    <t>Cost of External Sales</t>
  </si>
  <si>
    <t>Cost of Interco Sales</t>
  </si>
  <si>
    <t>Total Cost of Sales</t>
  </si>
  <si>
    <t>Gross Profit</t>
  </si>
  <si>
    <t>Commission Income/Mgt Fee</t>
  </si>
  <si>
    <t>Other Op Income</t>
  </si>
  <si>
    <t>Other Op Expense</t>
  </si>
  <si>
    <t>Total Other Op Income/ (Exp)</t>
  </si>
  <si>
    <t>Personnel Related Cost</t>
  </si>
  <si>
    <t>Carriage/Transportation</t>
  </si>
  <si>
    <t>Advertising/Promotion</t>
  </si>
  <si>
    <t>Overseas Travelling</t>
  </si>
  <si>
    <t>Entertainment</t>
  </si>
  <si>
    <t>Equipment Expenses</t>
  </si>
  <si>
    <t>Rental/Property Related</t>
  </si>
  <si>
    <t>Depn of Fixed Assets</t>
  </si>
  <si>
    <t>Stationery/Printing/Telephone</t>
  </si>
  <si>
    <t>Other S&amp;D Expenses</t>
  </si>
  <si>
    <t>Total S&amp;D Expenses</t>
  </si>
  <si>
    <t>Transportation</t>
  </si>
  <si>
    <t>Legal/Prof Fees/Insurance</t>
  </si>
  <si>
    <t>Other A&amp;G Expenses</t>
  </si>
  <si>
    <t xml:space="preserve">A&amp;G Direct Expenses </t>
  </si>
  <si>
    <t xml:space="preserve">  IT System Exps</t>
  </si>
  <si>
    <t xml:space="preserve">  Purchasing Exps</t>
  </si>
  <si>
    <t>Prov for Stock Obso/Pilferage</t>
  </si>
  <si>
    <t>Prov for Doubtful Debts</t>
  </si>
  <si>
    <t xml:space="preserve">  Foreign GST/VAT Expense Off-Interco</t>
  </si>
  <si>
    <t xml:space="preserve">  Stocks Written Down/Written Off</t>
  </si>
  <si>
    <t xml:space="preserve">Bad Debts Recovered </t>
  </si>
  <si>
    <t>GST/VAT Expense</t>
  </si>
  <si>
    <t>HO / Interco Allocation</t>
  </si>
  <si>
    <t xml:space="preserve">A&amp;G Other Expenses </t>
  </si>
  <si>
    <t>Total A&amp;G Expenses</t>
  </si>
  <si>
    <t>Profit from Operations</t>
  </si>
  <si>
    <t>Interest Income</t>
  </si>
  <si>
    <t>Interest Expense</t>
  </si>
  <si>
    <t>Realised Forex Gain/(Loss)</t>
  </si>
  <si>
    <t>Unrealised Forex Gain/(Loss)</t>
  </si>
  <si>
    <t>Dividend Income</t>
  </si>
  <si>
    <t>Gain/(Loss) Disposal of FA</t>
  </si>
  <si>
    <t>Other Non-Op Income/(Exp)</t>
  </si>
  <si>
    <t>Total Non-Op Income/(Exp)</t>
  </si>
  <si>
    <t>Profit Before Taxation</t>
  </si>
  <si>
    <r>
      <t xml:space="preserve">Less: </t>
    </r>
    <r>
      <rPr>
        <sz val="8"/>
        <rFont val="Arial"/>
        <family val="2"/>
      </rPr>
      <t>Taxation</t>
    </r>
  </si>
  <si>
    <t>Profit After Taxation</t>
  </si>
  <si>
    <t>Performance Indicators</t>
  </si>
  <si>
    <t>Sales Growth %</t>
  </si>
  <si>
    <t>Sales Growth % - Ext Sales</t>
  </si>
  <si>
    <t>Sales Growth % - Int Sales</t>
  </si>
  <si>
    <t>Gross Profits Margin %</t>
  </si>
  <si>
    <t>- External Sales GP %</t>
  </si>
  <si>
    <t>- Interco Sales GP %</t>
  </si>
  <si>
    <t>Selling &amp; Dist Margin %</t>
  </si>
  <si>
    <t>A&amp;G Margin Direct %</t>
  </si>
  <si>
    <t>Operating Profit Margin %</t>
  </si>
  <si>
    <t>Profit Before Taxation %</t>
  </si>
  <si>
    <t>Profit After Taxation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</si>
</sst>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_(* #,##0_);_(* \(#,##0\);_(* &quot;-&quot;??_);_(@_)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1" fillId="0" borderId="0"/>
    <xf numFmtId="164" fontId="2" fillId="0" borderId="0" applyFill="0" applyBorder="0" applyAlignment="0" applyProtection="0"/>
    <xf numFmtId="9" fontId="2" fillId="0" borderId="0" applyFont="0" applyFill="0" applyBorder="0" applyAlignment="0" applyProtection="0"/>
  </cellStyleXfs>
  <cellXfs count="106">
    <xf numFmtId="0" fontId="0" fillId="0" borderId="0" xfId="0"/>
    <xf numFmtId="37" fontId="3" fillId="0" borderId="0" xfId="2" applyNumberFormat="1" applyFont="1" applyProtection="1">
      <protection locked="0"/>
    </xf>
    <xf numFmtId="0" fontId="4" fillId="0" borderId="1" xfId="2" applyFont="1" applyBorder="1"/>
    <xf numFmtId="0" fontId="3" fillId="0" borderId="2" xfId="3" applyFont="1" applyBorder="1" applyAlignment="1">
      <alignment horizontal="left"/>
    </xf>
    <xf numFmtId="0" fontId="3" fillId="0" borderId="3" xfId="3" applyFont="1" applyBorder="1" applyAlignment="1">
      <alignment horizontal="left"/>
    </xf>
    <xf numFmtId="37" fontId="3" fillId="0" borderId="4" xfId="3" applyNumberFormat="1" applyFont="1" applyBorder="1" applyAlignment="1" applyProtection="1">
      <alignment horizontal="right"/>
      <protection locked="0"/>
    </xf>
    <xf numFmtId="37" fontId="3" fillId="0" borderId="5" xfId="3" applyNumberFormat="1" applyFont="1" applyBorder="1" applyAlignment="1" applyProtection="1">
      <alignment horizontal="right"/>
      <protection locked="0"/>
    </xf>
    <xf numFmtId="37" fontId="3" fillId="0" borderId="6" xfId="2" applyNumberFormat="1" applyFont="1" applyBorder="1" applyAlignment="1" applyProtection="1">
      <alignment horizontal="left"/>
      <protection locked="0"/>
    </xf>
    <xf numFmtId="37" fontId="3" fillId="0" borderId="5" xfId="2" applyNumberFormat="1" applyFont="1" applyBorder="1" applyAlignment="1" applyProtection="1">
      <alignment horizontal="left"/>
      <protection locked="0"/>
    </xf>
    <xf numFmtId="0" fontId="3" fillId="0" borderId="4" xfId="3" applyFont="1" applyBorder="1" applyAlignment="1">
      <alignment horizontal="left"/>
    </xf>
    <xf numFmtId="0" fontId="3" fillId="0" borderId="5" xfId="3" applyFont="1" applyBorder="1" applyAlignment="1">
      <alignment horizontal="left"/>
    </xf>
    <xf numFmtId="0" fontId="3" fillId="0" borderId="7" xfId="2" applyFont="1" applyBorder="1" applyAlignment="1">
      <alignment horizontal="left"/>
    </xf>
    <xf numFmtId="0" fontId="3" fillId="0" borderId="3" xfId="2" applyFont="1" applyBorder="1" applyAlignment="1">
      <alignment horizontal="left"/>
    </xf>
    <xf numFmtId="37" fontId="5" fillId="0" borderId="6" xfId="3" applyNumberFormat="1" applyFont="1" applyBorder="1" applyAlignment="1">
      <alignment horizontal="left"/>
    </xf>
    <xf numFmtId="37" fontId="5" fillId="0" borderId="4" xfId="3" applyNumberFormat="1" applyFont="1" applyBorder="1" applyAlignment="1">
      <alignment horizontal="left"/>
    </xf>
    <xf numFmtId="37" fontId="5" fillId="0" borderId="5" xfId="3" applyNumberFormat="1" applyFont="1" applyBorder="1" applyAlignment="1">
      <alignment horizontal="left"/>
    </xf>
    <xf numFmtId="0" fontId="4" fillId="0" borderId="4" xfId="2" applyFont="1" applyBorder="1" applyAlignment="1">
      <alignment horizontal="center"/>
    </xf>
    <xf numFmtId="0" fontId="4" fillId="0" borderId="5" xfId="2" applyFont="1" applyBorder="1"/>
    <xf numFmtId="17" fontId="3" fillId="0" borderId="4" xfId="3" applyNumberFormat="1" applyFont="1" applyBorder="1" applyAlignment="1">
      <alignment horizontal="center"/>
    </xf>
    <xf numFmtId="0" fontId="3" fillId="0" borderId="5" xfId="3" applyFont="1" applyBorder="1" applyAlignment="1">
      <alignment horizontal="center"/>
    </xf>
    <xf numFmtId="0" fontId="4" fillId="0" borderId="0" xfId="2" applyFont="1" applyAlignment="1">
      <alignment horizontal="center"/>
    </xf>
    <xf numFmtId="37" fontId="4" fillId="0" borderId="1" xfId="2" applyNumberFormat="1" applyFont="1" applyBorder="1"/>
    <xf numFmtId="37" fontId="4" fillId="0" borderId="0" xfId="2" applyNumberFormat="1" applyFont="1" applyAlignment="1">
      <alignment horizontal="right"/>
    </xf>
    <xf numFmtId="37" fontId="6" fillId="0" borderId="0" xfId="3" applyNumberFormat="1" applyFont="1" applyProtection="1">
      <protection locked="0"/>
    </xf>
    <xf numFmtId="37" fontId="4" fillId="0" borderId="0" xfId="3" applyNumberFormat="1" applyFont="1" applyProtection="1">
      <protection locked="0"/>
    </xf>
    <xf numFmtId="37" fontId="6" fillId="0" borderId="0" xfId="4" applyNumberFormat="1" applyFont="1" applyProtection="1">
      <protection locked="0"/>
    </xf>
    <xf numFmtId="37" fontId="4" fillId="0" borderId="8" xfId="2" applyNumberFormat="1" applyFont="1" applyBorder="1" applyAlignment="1">
      <alignment horizontal="right"/>
    </xf>
    <xf numFmtId="37" fontId="4" fillId="0" borderId="1" xfId="2" applyNumberFormat="1" applyFont="1" applyBorder="1" applyAlignment="1">
      <alignment horizontal="right"/>
    </xf>
    <xf numFmtId="37" fontId="3" fillId="0" borderId="5" xfId="2" applyNumberFormat="1" applyFont="1" applyBorder="1"/>
    <xf numFmtId="37" fontId="3" fillId="0" borderId="4" xfId="2" applyNumberFormat="1" applyFont="1" applyBorder="1" applyAlignment="1">
      <alignment horizontal="right"/>
    </xf>
    <xf numFmtId="37" fontId="3" fillId="0" borderId="5" xfId="2" applyNumberFormat="1" applyFont="1" applyBorder="1" applyAlignment="1">
      <alignment vertical="center"/>
    </xf>
    <xf numFmtId="37" fontId="3" fillId="0" borderId="9" xfId="2" applyNumberFormat="1" applyFont="1" applyBorder="1"/>
    <xf numFmtId="37" fontId="3" fillId="0" borderId="10" xfId="2" applyNumberFormat="1" applyFont="1" applyBorder="1" applyAlignment="1">
      <alignment horizontal="right"/>
    </xf>
    <xf numFmtId="37" fontId="3" fillId="0" borderId="5" xfId="2" applyNumberFormat="1" applyFont="1" applyBorder="1" applyAlignment="1">
      <alignment horizontal="right"/>
    </xf>
    <xf numFmtId="37" fontId="4" fillId="0" borderId="3" xfId="2" applyNumberFormat="1" applyFont="1" applyBorder="1" applyAlignment="1">
      <alignment horizontal="right"/>
    </xf>
    <xf numFmtId="37" fontId="3" fillId="0" borderId="6" xfId="2" applyNumberFormat="1" applyFont="1" applyBorder="1" applyAlignment="1">
      <alignment horizontal="right"/>
    </xf>
    <xf numFmtId="37" fontId="5" fillId="0" borderId="4" xfId="3" applyNumberFormat="1" applyFont="1" applyBorder="1" applyProtection="1">
      <protection locked="0"/>
    </xf>
    <xf numFmtId="37" fontId="4" fillId="0" borderId="11" xfId="2" applyNumberFormat="1" applyFont="1" applyBorder="1" applyAlignment="1">
      <alignment horizontal="right"/>
    </xf>
    <xf numFmtId="37" fontId="4" fillId="0" borderId="1" xfId="2" applyNumberFormat="1" applyFont="1" applyBorder="1" applyAlignment="1">
      <alignment horizontal="center"/>
    </xf>
    <xf numFmtId="37" fontId="4" fillId="2" borderId="11" xfId="2" applyNumberFormat="1" applyFont="1" applyFill="1" applyBorder="1" applyAlignment="1">
      <alignment horizontal="right"/>
    </xf>
    <xf numFmtId="37" fontId="6" fillId="2" borderId="0" xfId="3" applyNumberFormat="1" applyFont="1" applyFill="1" applyProtection="1">
      <protection locked="0"/>
    </xf>
    <xf numFmtId="37" fontId="4" fillId="2" borderId="0" xfId="3" applyNumberFormat="1" applyFont="1" applyFill="1" applyProtection="1">
      <protection locked="0"/>
    </xf>
    <xf numFmtId="37" fontId="6" fillId="2" borderId="0" xfId="4" applyNumberFormat="1" applyFont="1" applyFill="1" applyProtection="1">
      <protection locked="0"/>
    </xf>
    <xf numFmtId="37" fontId="3" fillId="0" borderId="4" xfId="3" applyNumberFormat="1" applyFont="1" applyBorder="1" applyProtection="1">
      <protection locked="0"/>
    </xf>
    <xf numFmtId="37" fontId="3" fillId="0" borderId="5" xfId="2" applyNumberFormat="1" applyFont="1" applyBorder="1" applyAlignment="1">
      <alignment horizontal="center"/>
    </xf>
    <xf numFmtId="0" fontId="6" fillId="3" borderId="8" xfId="5" applyFont="1" applyFill="1" applyBorder="1" applyAlignment="1">
      <alignment vertical="top"/>
    </xf>
    <xf numFmtId="37" fontId="6" fillId="0" borderId="0" xfId="5" applyNumberFormat="1" applyFont="1" applyAlignment="1">
      <alignment vertical="top"/>
    </xf>
    <xf numFmtId="165" fontId="4" fillId="3" borderId="0" xfId="6" applyNumberFormat="1" applyFont="1" applyFill="1" applyAlignment="1">
      <alignment vertical="top"/>
    </xf>
    <xf numFmtId="37" fontId="6" fillId="3" borderId="8" xfId="5" applyNumberFormat="1" applyFont="1" applyFill="1" applyBorder="1" applyAlignment="1">
      <alignment horizontal="right" vertical="top"/>
    </xf>
    <xf numFmtId="0" fontId="6" fillId="3" borderId="1" xfId="5" applyFont="1" applyFill="1" applyBorder="1" applyAlignment="1">
      <alignment vertical="top"/>
    </xf>
    <xf numFmtId="37" fontId="6" fillId="3" borderId="1" xfId="5" applyNumberFormat="1" applyFont="1" applyFill="1" applyBorder="1" applyAlignment="1">
      <alignment horizontal="right" vertical="top"/>
    </xf>
    <xf numFmtId="37" fontId="3" fillId="0" borderId="0" xfId="2" applyNumberFormat="1" applyFont="1" applyAlignment="1">
      <alignment horizontal="right"/>
    </xf>
    <xf numFmtId="37" fontId="5" fillId="0" borderId="0" xfId="3" applyNumberFormat="1" applyFont="1" applyProtection="1">
      <protection locked="0"/>
    </xf>
    <xf numFmtId="37" fontId="3" fillId="0" borderId="0" xfId="3" applyNumberFormat="1" applyFont="1" applyProtection="1">
      <protection locked="0"/>
    </xf>
    <xf numFmtId="37" fontId="3" fillId="0" borderId="1" xfId="2" applyNumberFormat="1" applyFont="1" applyBorder="1" applyAlignment="1">
      <alignment horizontal="center"/>
    </xf>
    <xf numFmtId="37" fontId="4" fillId="2" borderId="1" xfId="2" applyNumberFormat="1" applyFont="1" applyFill="1" applyBorder="1"/>
    <xf numFmtId="166" fontId="3" fillId="0" borderId="0" xfId="1" applyNumberFormat="1" applyFont="1" applyAlignment="1">
      <alignment horizontal="right"/>
    </xf>
    <xf numFmtId="166" fontId="5" fillId="0" borderId="0" xfId="1" applyNumberFormat="1" applyFont="1" applyProtection="1">
      <protection locked="0"/>
    </xf>
    <xf numFmtId="166" fontId="3" fillId="0" borderId="0" xfId="1" applyNumberFormat="1" applyFont="1" applyProtection="1">
      <protection locked="0"/>
    </xf>
    <xf numFmtId="37" fontId="4" fillId="0" borderId="3" xfId="2" applyNumberFormat="1" applyFont="1" applyBorder="1"/>
    <xf numFmtId="37" fontId="3" fillId="0" borderId="3" xfId="2" applyNumberFormat="1" applyFont="1" applyBorder="1" applyAlignment="1">
      <alignment horizontal="center"/>
    </xf>
    <xf numFmtId="37" fontId="3" fillId="0" borderId="3" xfId="2" applyNumberFormat="1" applyFont="1" applyBorder="1"/>
    <xf numFmtId="166" fontId="3" fillId="0" borderId="7" xfId="1" applyNumberFormat="1" applyFont="1" applyBorder="1" applyAlignment="1">
      <alignment horizontal="right"/>
    </xf>
    <xf numFmtId="37" fontId="5" fillId="0" borderId="2" xfId="3" applyNumberFormat="1" applyFont="1" applyBorder="1" applyProtection="1">
      <protection locked="0"/>
    </xf>
    <xf numFmtId="37" fontId="3" fillId="0" borderId="12" xfId="2" applyNumberFormat="1" applyFont="1" applyBorder="1"/>
    <xf numFmtId="37" fontId="3" fillId="0" borderId="13" xfId="2" applyNumberFormat="1" applyFont="1" applyBorder="1" applyAlignment="1">
      <alignment horizontal="right"/>
    </xf>
    <xf numFmtId="37" fontId="5" fillId="0" borderId="14" xfId="3" applyNumberFormat="1" applyFont="1" applyBorder="1"/>
    <xf numFmtId="37" fontId="3" fillId="0" borderId="14" xfId="3" applyNumberFormat="1" applyFont="1" applyBorder="1"/>
    <xf numFmtId="37" fontId="5" fillId="0" borderId="14" xfId="3" applyNumberFormat="1" applyFont="1" applyBorder="1" applyProtection="1">
      <protection locked="0"/>
    </xf>
    <xf numFmtId="37" fontId="4" fillId="0" borderId="15" xfId="2" applyNumberFormat="1" applyFont="1" applyBorder="1"/>
    <xf numFmtId="37" fontId="4" fillId="0" borderId="0" xfId="3" applyNumberFormat="1" applyFont="1"/>
    <xf numFmtId="0" fontId="3" fillId="0" borderId="5" xfId="2" applyFont="1" applyBorder="1"/>
    <xf numFmtId="37" fontId="3" fillId="0" borderId="1" xfId="2" applyNumberFormat="1" applyFont="1" applyBorder="1"/>
    <xf numFmtId="37" fontId="5" fillId="0" borderId="16" xfId="3" applyNumberFormat="1" applyFont="1" applyBorder="1" applyProtection="1">
      <protection locked="0"/>
    </xf>
    <xf numFmtId="37" fontId="3" fillId="0" borderId="16" xfId="3" applyNumberFormat="1" applyFont="1" applyBorder="1" applyProtection="1">
      <protection locked="0"/>
    </xf>
    <xf numFmtId="37" fontId="6" fillId="0" borderId="4" xfId="3" applyNumberFormat="1" applyFont="1" applyBorder="1" applyProtection="1">
      <protection locked="0"/>
    </xf>
    <xf numFmtId="37" fontId="4" fillId="0" borderId="4" xfId="3" applyNumberFormat="1" applyFont="1" applyBorder="1" applyProtection="1">
      <protection locked="0"/>
    </xf>
    <xf numFmtId="0" fontId="3" fillId="0" borderId="9" xfId="2" applyFont="1" applyBorder="1"/>
    <xf numFmtId="37" fontId="3" fillId="0" borderId="9" xfId="2" applyNumberFormat="1" applyFont="1" applyBorder="1" applyAlignment="1">
      <alignment horizontal="center"/>
    </xf>
    <xf numFmtId="0" fontId="3" fillId="0" borderId="17" xfId="2" applyFont="1" applyBorder="1" applyAlignment="1">
      <alignment horizontal="center"/>
    </xf>
    <xf numFmtId="0" fontId="3" fillId="0" borderId="17" xfId="2" applyFont="1" applyBorder="1"/>
    <xf numFmtId="17" fontId="3" fillId="0" borderId="17" xfId="2" applyNumberFormat="1" applyFont="1" applyBorder="1" applyAlignment="1">
      <alignment horizontal="center"/>
    </xf>
    <xf numFmtId="0" fontId="3" fillId="0" borderId="17" xfId="3" applyFont="1" applyBorder="1" applyAlignment="1">
      <alignment horizontal="center"/>
    </xf>
    <xf numFmtId="0" fontId="4" fillId="0" borderId="8" xfId="2" applyFont="1" applyBorder="1"/>
    <xf numFmtId="17" fontId="4" fillId="0" borderId="0" xfId="2" applyNumberFormat="1" applyFont="1" applyAlignment="1">
      <alignment horizontal="center"/>
    </xf>
    <xf numFmtId="0" fontId="4" fillId="0" borderId="0" xfId="3" applyFont="1" applyAlignment="1">
      <alignment horizontal="center"/>
    </xf>
    <xf numFmtId="0" fontId="3" fillId="0" borderId="1" xfId="3" applyFont="1" applyBorder="1" applyAlignment="1">
      <alignment horizontal="center"/>
    </xf>
    <xf numFmtId="37" fontId="8" fillId="0" borderId="1" xfId="3" applyNumberFormat="1" applyFont="1" applyBorder="1" applyAlignment="1">
      <alignment vertical="center"/>
    </xf>
    <xf numFmtId="167" fontId="6" fillId="0" borderId="18" xfId="7" applyNumberFormat="1" applyFont="1" applyBorder="1" applyAlignment="1">
      <alignment horizontal="center" vertical="center"/>
    </xf>
    <xf numFmtId="167" fontId="6" fillId="0" borderId="19" xfId="7" applyNumberFormat="1" applyFont="1" applyBorder="1" applyAlignment="1">
      <alignment horizontal="center" vertical="center"/>
    </xf>
    <xf numFmtId="167" fontId="4" fillId="0" borderId="20" xfId="2" applyNumberFormat="1" applyFont="1" applyBorder="1" applyAlignment="1">
      <alignment horizontal="center"/>
    </xf>
    <xf numFmtId="37" fontId="8" fillId="0" borderId="0" xfId="3" quotePrefix="1" applyNumberFormat="1" applyFont="1" applyAlignment="1">
      <alignment vertical="center"/>
    </xf>
    <xf numFmtId="167" fontId="6" fillId="0" borderId="21" xfId="7" applyNumberFormat="1" applyFont="1" applyBorder="1" applyAlignment="1">
      <alignment horizontal="center" vertical="center"/>
    </xf>
    <xf numFmtId="167" fontId="6" fillId="0" borderId="22" xfId="7" applyNumberFormat="1" applyFont="1" applyBorder="1" applyAlignment="1">
      <alignment horizontal="center" vertical="center"/>
    </xf>
    <xf numFmtId="37" fontId="8" fillId="0" borderId="0" xfId="3" applyNumberFormat="1" applyFont="1"/>
    <xf numFmtId="37" fontId="8" fillId="0" borderId="0" xfId="3" applyNumberFormat="1" applyFont="1" applyAlignment="1">
      <alignment vertical="center"/>
    </xf>
    <xf numFmtId="167" fontId="6" fillId="0" borderId="21" xfId="7" applyNumberFormat="1" applyFont="1" applyBorder="1" applyAlignment="1">
      <alignment horizontal="center" vertical="top"/>
    </xf>
    <xf numFmtId="167" fontId="6" fillId="0" borderId="22" xfId="7" applyNumberFormat="1" applyFont="1" applyBorder="1" applyAlignment="1">
      <alignment horizontal="center" vertical="top"/>
    </xf>
    <xf numFmtId="0" fontId="8" fillId="0" borderId="0" xfId="3" applyFont="1"/>
    <xf numFmtId="167" fontId="6" fillId="0" borderId="23" xfId="7" applyNumberFormat="1" applyFont="1" applyBorder="1" applyAlignment="1">
      <alignment vertical="top"/>
    </xf>
    <xf numFmtId="167" fontId="6" fillId="0" borderId="24" xfId="7" applyNumberFormat="1" applyFont="1" applyBorder="1" applyAlignment="1">
      <alignment vertical="top"/>
    </xf>
    <xf numFmtId="167" fontId="4" fillId="0" borderId="25" xfId="2" applyNumberFormat="1" applyFont="1" applyBorder="1"/>
    <xf numFmtId="37" fontId="8" fillId="0" borderId="2" xfId="3" applyNumberFormat="1" applyFont="1" applyBorder="1"/>
    <xf numFmtId="167" fontId="6" fillId="0" borderId="26" xfId="7" applyNumberFormat="1" applyFont="1" applyBorder="1" applyAlignment="1">
      <alignment horizontal="center" vertical="center"/>
    </xf>
    <xf numFmtId="167" fontId="6" fillId="0" borderId="27" xfId="7" applyNumberFormat="1" applyFont="1" applyBorder="1" applyAlignment="1">
      <alignment horizontal="center" vertical="center"/>
    </xf>
    <xf numFmtId="167" fontId="4" fillId="0" borderId="3" xfId="2" applyNumberFormat="1" applyFont="1" applyBorder="1" applyAlignment="1">
      <alignment horizontal="center"/>
    </xf>
  </cellXfs>
  <cellStyles count="8">
    <cellStyle name="0,0_x000d__x000a_NA_x000d__x000a_ 10" xfId="3"/>
    <cellStyle name="Comma" xfId="1" builtinId="3"/>
    <cellStyle name="Comma 10" xfId="6"/>
    <cellStyle name="Comma 9 3 2" xfId="4"/>
    <cellStyle name="Normal" xfId="0" builtinId="0"/>
    <cellStyle name="Normal - Style1" xfId="2"/>
    <cellStyle name="Normal 21" xfId="5"/>
    <cellStyle name="Percent 1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9%2003\Users\Lenovo\Desktop\ACCOUNTS\ACCOUNTS%202016-2017\2016%2004\Users\Lenovo\Desktop\ACCOUNTS\Budget\SOSB%202016%20BUDGET\4_Budget%20Master%20File%202016_Gas%20(SOX)%202501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 Page"/>
      <sheetName val="Cover Page1"/>
      <sheetName val="Cover Page (W)"/>
      <sheetName val="Cover Page "/>
      <sheetName val="2.1-P&amp;L Budget Summary"/>
      <sheetName val="2.2- P&amp;L Budget"/>
      <sheetName val="2 _ FY2015"/>
      <sheetName val="2"/>
      <sheetName val="2-P&amp;L Summary for Management"/>
      <sheetName val="4"/>
      <sheetName val="4W"/>
      <sheetName val="6_1"/>
      <sheetName val="6_2"/>
      <sheetName val="8 "/>
      <sheetName val="8W"/>
      <sheetName val="8_1"/>
      <sheetName val="8_2"/>
      <sheetName val="9"/>
      <sheetName val="10"/>
      <sheetName val="11"/>
      <sheetName val="Assumptions"/>
      <sheetName val="GMS P&amp;L Upload"/>
      <sheetName val="Sheet5"/>
      <sheetName val="KKIP Loan"/>
      <sheetName val="WH Loan"/>
      <sheetName val="Mizuho"/>
      <sheetName val="034"/>
      <sheetName val="035"/>
      <sheetName val="6603"/>
      <sheetName val="367"/>
      <sheetName val="8817"/>
      <sheetName val="686"/>
      <sheetName val="687"/>
      <sheetName val="Sheet4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SABAH OXYGEN SDN BHD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tabSelected="1" workbookViewId="0">
      <selection activeCell="O21" sqref="O21"/>
    </sheetView>
  </sheetViews>
  <sheetFormatPr defaultRowHeight="15" x14ac:dyDescent="0.25"/>
  <cols>
    <col min="2" max="2" width="29" bestFit="1" customWidth="1"/>
    <col min="16" max="16" width="0" hidden="1" customWidth="1"/>
  </cols>
  <sheetData>
    <row r="1" spans="1:16" x14ac:dyDescent="0.25">
      <c r="A1" s="1" t="str">
        <f>'[1]2'!A1:E1</f>
        <v>SABAH OXYGEN SDN BHD</v>
      </c>
      <c r="B1" s="2"/>
      <c r="C1" s="3"/>
      <c r="D1" s="3"/>
      <c r="E1" s="3"/>
      <c r="F1" s="3"/>
      <c r="G1" s="3"/>
      <c r="H1" s="3"/>
      <c r="I1" s="4"/>
      <c r="J1" s="5" t="s">
        <v>0</v>
      </c>
      <c r="K1" s="5"/>
      <c r="L1" s="5"/>
      <c r="M1" s="5"/>
      <c r="N1" s="5"/>
      <c r="O1" s="5"/>
      <c r="P1" s="6"/>
    </row>
    <row r="2" spans="1:16" x14ac:dyDescent="0.25">
      <c r="A2" s="7" t="s">
        <v>1</v>
      </c>
      <c r="B2" s="8"/>
      <c r="C2" s="9" t="s">
        <v>2</v>
      </c>
      <c r="D2" s="9"/>
      <c r="E2" s="9"/>
      <c r="F2" s="9"/>
      <c r="G2" s="9"/>
      <c r="H2" s="9"/>
      <c r="I2" s="10"/>
      <c r="J2" s="9" t="s">
        <v>3</v>
      </c>
      <c r="K2" s="9"/>
      <c r="L2" s="9"/>
      <c r="M2" s="9"/>
      <c r="N2" s="9"/>
      <c r="O2" s="9"/>
      <c r="P2" s="10"/>
    </row>
    <row r="3" spans="1:16" x14ac:dyDescent="0.25">
      <c r="A3" s="11" t="s">
        <v>4</v>
      </c>
      <c r="B3" s="12"/>
      <c r="C3" s="13" t="s">
        <v>5</v>
      </c>
      <c r="D3" s="14"/>
      <c r="E3" s="14"/>
      <c r="F3" s="14"/>
      <c r="G3" s="14"/>
      <c r="H3" s="14"/>
      <c r="I3" s="15"/>
      <c r="J3" s="5" t="s">
        <v>6</v>
      </c>
      <c r="K3" s="5"/>
      <c r="L3" s="5"/>
      <c r="M3" s="5"/>
      <c r="N3" s="5"/>
      <c r="O3" s="5"/>
      <c r="P3" s="6"/>
    </row>
    <row r="4" spans="1:16" x14ac:dyDescent="0.25">
      <c r="A4" s="16"/>
      <c r="B4" s="17"/>
      <c r="C4" s="18">
        <v>43191</v>
      </c>
      <c r="D4" s="18">
        <v>43221</v>
      </c>
      <c r="E4" s="18">
        <v>43252</v>
      </c>
      <c r="F4" s="18">
        <v>43282</v>
      </c>
      <c r="G4" s="18">
        <v>43313</v>
      </c>
      <c r="H4" s="18">
        <v>43344</v>
      </c>
      <c r="I4" s="18">
        <v>43374</v>
      </c>
      <c r="J4" s="18">
        <v>43405</v>
      </c>
      <c r="K4" s="18">
        <v>43435</v>
      </c>
      <c r="L4" s="18">
        <v>43466</v>
      </c>
      <c r="M4" s="18">
        <v>43497</v>
      </c>
      <c r="N4" s="18">
        <v>43525</v>
      </c>
      <c r="O4" s="18" t="s">
        <v>7</v>
      </c>
      <c r="P4" s="19">
        <v>2017</v>
      </c>
    </row>
    <row r="5" spans="1:16" x14ac:dyDescent="0.25">
      <c r="A5" s="20">
        <v>1</v>
      </c>
      <c r="B5" s="21" t="s">
        <v>8</v>
      </c>
      <c r="C5" s="22">
        <v>1418.4119963462906</v>
      </c>
      <c r="D5" s="23">
        <v>1388.4117426164601</v>
      </c>
      <c r="E5" s="24">
        <v>1228.8103927737748</v>
      </c>
      <c r="F5" s="23">
        <v>1286.4108799350452</v>
      </c>
      <c r="G5" s="25">
        <v>1472.412453059982</v>
      </c>
      <c r="H5" s="23">
        <v>1620.0137014107379</v>
      </c>
      <c r="I5" s="23">
        <v>1944.0164416928853</v>
      </c>
      <c r="J5" s="23">
        <v>1193.6672384045469</v>
      </c>
      <c r="K5" s="23">
        <v>1273.2107682939206</v>
      </c>
      <c r="L5" s="23">
        <v>1411.2119354511315</v>
      </c>
      <c r="M5" s="23">
        <v>1141.2096518826752</v>
      </c>
      <c r="N5" s="23">
        <v>1513.212798132548</v>
      </c>
      <c r="O5" s="23">
        <f>SUM(C5:N5)</f>
        <v>16891</v>
      </c>
      <c r="P5" s="26">
        <v>14136.38125</v>
      </c>
    </row>
    <row r="6" spans="1:16" x14ac:dyDescent="0.25">
      <c r="A6" s="20">
        <f t="shared" ref="A6:A60" si="0">A5+1</f>
        <v>2</v>
      </c>
      <c r="B6" s="21" t="s">
        <v>9</v>
      </c>
      <c r="C6" s="22">
        <v>0</v>
      </c>
      <c r="D6" s="23">
        <v>0</v>
      </c>
      <c r="E6" s="24">
        <v>0</v>
      </c>
      <c r="F6" s="23">
        <v>0</v>
      </c>
      <c r="G6" s="25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f>SUM(C6:N6)</f>
        <v>0</v>
      </c>
      <c r="P6" s="27">
        <v>0</v>
      </c>
    </row>
    <row r="7" spans="1:16" x14ac:dyDescent="0.25">
      <c r="A7" s="20">
        <f t="shared" si="0"/>
        <v>3</v>
      </c>
      <c r="B7" s="28" t="s">
        <v>10</v>
      </c>
      <c r="C7" s="29">
        <f>SUM(C5:C6)</f>
        <v>1418.4119963462906</v>
      </c>
      <c r="D7" s="29">
        <f t="shared" ref="D7:P7" si="1">SUM(D5:D6)</f>
        <v>1388.4117426164601</v>
      </c>
      <c r="E7" s="29">
        <f t="shared" si="1"/>
        <v>1228.8103927737748</v>
      </c>
      <c r="F7" s="29">
        <f t="shared" si="1"/>
        <v>1286.4108799350452</v>
      </c>
      <c r="G7" s="29">
        <f t="shared" si="1"/>
        <v>1472.412453059982</v>
      </c>
      <c r="H7" s="29">
        <f t="shared" si="1"/>
        <v>1620.0137014107379</v>
      </c>
      <c r="I7" s="29">
        <f t="shared" si="1"/>
        <v>1944.0164416928853</v>
      </c>
      <c r="J7" s="29">
        <f t="shared" si="1"/>
        <v>1193.6672384045469</v>
      </c>
      <c r="K7" s="29">
        <f t="shared" si="1"/>
        <v>1273.2107682939206</v>
      </c>
      <c r="L7" s="29">
        <f t="shared" si="1"/>
        <v>1411.2119354511315</v>
      </c>
      <c r="M7" s="29">
        <f t="shared" si="1"/>
        <v>1141.2096518826752</v>
      </c>
      <c r="N7" s="29">
        <f t="shared" si="1"/>
        <v>1513.212798132548</v>
      </c>
      <c r="O7" s="29">
        <f>SUM(O5:O6)</f>
        <v>16891</v>
      </c>
      <c r="P7" s="29">
        <f t="shared" si="1"/>
        <v>14136.38125</v>
      </c>
    </row>
    <row r="8" spans="1:16" x14ac:dyDescent="0.25">
      <c r="A8" s="20">
        <f t="shared" si="0"/>
        <v>4</v>
      </c>
      <c r="B8" s="21" t="s">
        <v>11</v>
      </c>
      <c r="C8" s="22">
        <v>-689.78428674965107</v>
      </c>
      <c r="D8" s="23">
        <v>-689.0329860413176</v>
      </c>
      <c r="E8" s="24">
        <v>-689.0329860413176</v>
      </c>
      <c r="F8" s="23">
        <v>-689.0329860413176</v>
      </c>
      <c r="G8" s="25">
        <v>-689.0329860413176</v>
      </c>
      <c r="H8" s="23">
        <v>-689.0329860413176</v>
      </c>
      <c r="I8" s="23">
        <v>-689.0329860413176</v>
      </c>
      <c r="J8" s="23">
        <v>-689.0329860413176</v>
      </c>
      <c r="K8" s="23">
        <v>-689.0329860413176</v>
      </c>
      <c r="L8" s="23">
        <v>-689.0329860413176</v>
      </c>
      <c r="M8" s="23">
        <v>-689.0329860413176</v>
      </c>
      <c r="N8" s="23">
        <v>-689.0329860413176</v>
      </c>
      <c r="O8" s="23">
        <f>SUM(C8:N8)</f>
        <v>-8269.1471332041438</v>
      </c>
      <c r="P8" s="27">
        <v>-11156.820580000001</v>
      </c>
    </row>
    <row r="9" spans="1:16" x14ac:dyDescent="0.25">
      <c r="A9" s="20">
        <f t="shared" si="0"/>
        <v>5</v>
      </c>
      <c r="B9" s="21" t="s">
        <v>12</v>
      </c>
      <c r="C9" s="22">
        <v>0</v>
      </c>
      <c r="D9" s="23">
        <v>0</v>
      </c>
      <c r="E9" s="24">
        <v>0</v>
      </c>
      <c r="F9" s="23">
        <v>0</v>
      </c>
      <c r="G9" s="25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f>SUM(C9:N9)</f>
        <v>0</v>
      </c>
      <c r="P9" s="27">
        <v>0</v>
      </c>
    </row>
    <row r="10" spans="1:16" x14ac:dyDescent="0.25">
      <c r="A10" s="20">
        <f t="shared" si="0"/>
        <v>6</v>
      </c>
      <c r="B10" s="30" t="s">
        <v>13</v>
      </c>
      <c r="C10" s="29">
        <f>SUM(C8:C9)</f>
        <v>-689.78428674965107</v>
      </c>
      <c r="D10" s="29">
        <f t="shared" ref="D10:P10" si="2">SUM(D8:D9)</f>
        <v>-689.0329860413176</v>
      </c>
      <c r="E10" s="29">
        <f t="shared" si="2"/>
        <v>-689.0329860413176</v>
      </c>
      <c r="F10" s="29">
        <f t="shared" si="2"/>
        <v>-689.0329860413176</v>
      </c>
      <c r="G10" s="29">
        <f t="shared" si="2"/>
        <v>-689.0329860413176</v>
      </c>
      <c r="H10" s="29">
        <f t="shared" si="2"/>
        <v>-689.0329860413176</v>
      </c>
      <c r="I10" s="29">
        <f t="shared" si="2"/>
        <v>-689.0329860413176</v>
      </c>
      <c r="J10" s="29">
        <f t="shared" si="2"/>
        <v>-689.0329860413176</v>
      </c>
      <c r="K10" s="29">
        <f t="shared" si="2"/>
        <v>-689.0329860413176</v>
      </c>
      <c r="L10" s="29">
        <f t="shared" si="2"/>
        <v>-689.0329860413176</v>
      </c>
      <c r="M10" s="29">
        <f t="shared" si="2"/>
        <v>-689.0329860413176</v>
      </c>
      <c r="N10" s="29">
        <f t="shared" si="2"/>
        <v>-689.0329860413176</v>
      </c>
      <c r="O10" s="29">
        <f t="shared" si="2"/>
        <v>-8269.1471332041438</v>
      </c>
      <c r="P10" s="29">
        <f t="shared" si="2"/>
        <v>-11156.820580000001</v>
      </c>
    </row>
    <row r="11" spans="1:16" ht="15.75" thickBot="1" x14ac:dyDescent="0.3">
      <c r="A11" s="20">
        <f t="shared" si="0"/>
        <v>7</v>
      </c>
      <c r="B11" s="31" t="s">
        <v>14</v>
      </c>
      <c r="C11" s="32">
        <f>C7+C10</f>
        <v>728.62770959663953</v>
      </c>
      <c r="D11" s="32">
        <f t="shared" ref="D11:O11" si="3">D7+D10</f>
        <v>699.37875657514246</v>
      </c>
      <c r="E11" s="32">
        <f t="shared" si="3"/>
        <v>539.77740673245717</v>
      </c>
      <c r="F11" s="32">
        <f t="shared" si="3"/>
        <v>597.37789389372756</v>
      </c>
      <c r="G11" s="32">
        <f t="shared" si="3"/>
        <v>783.3794670186644</v>
      </c>
      <c r="H11" s="32">
        <f t="shared" si="3"/>
        <v>930.9807153694203</v>
      </c>
      <c r="I11" s="32">
        <f t="shared" si="3"/>
        <v>1254.9834556515677</v>
      </c>
      <c r="J11" s="32">
        <f t="shared" si="3"/>
        <v>504.63425236322928</v>
      </c>
      <c r="K11" s="32">
        <f t="shared" si="3"/>
        <v>584.17778225260304</v>
      </c>
      <c r="L11" s="32">
        <f t="shared" si="3"/>
        <v>722.17894940981387</v>
      </c>
      <c r="M11" s="32">
        <f t="shared" si="3"/>
        <v>452.17666584135759</v>
      </c>
      <c r="N11" s="32">
        <f t="shared" si="3"/>
        <v>824.17981209123036</v>
      </c>
      <c r="O11" s="32">
        <f t="shared" si="3"/>
        <v>8621.8528667958562</v>
      </c>
      <c r="P11" s="32">
        <f>P7+P10</f>
        <v>2979.5606699999989</v>
      </c>
    </row>
    <row r="12" spans="1:16" ht="15.75" thickTop="1" x14ac:dyDescent="0.25">
      <c r="A12" s="20">
        <f t="shared" si="0"/>
        <v>8</v>
      </c>
      <c r="B12" s="21" t="s">
        <v>15</v>
      </c>
      <c r="C12" s="22">
        <v>0</v>
      </c>
      <c r="D12" s="23">
        <v>0</v>
      </c>
      <c r="E12" s="24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f>SUM(C12:N12)</f>
        <v>0</v>
      </c>
      <c r="P12" s="27">
        <v>0</v>
      </c>
    </row>
    <row r="13" spans="1:16" x14ac:dyDescent="0.25">
      <c r="A13" s="20">
        <f t="shared" si="0"/>
        <v>9</v>
      </c>
      <c r="B13" s="21" t="s">
        <v>16</v>
      </c>
      <c r="C13" s="22">
        <v>0</v>
      </c>
      <c r="D13" s="23">
        <v>0</v>
      </c>
      <c r="E13" s="24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f>SUM(C13:N13)</f>
        <v>0</v>
      </c>
      <c r="P13" s="27">
        <v>0</v>
      </c>
    </row>
    <row r="14" spans="1:16" x14ac:dyDescent="0.25">
      <c r="A14" s="20">
        <f t="shared" si="0"/>
        <v>10</v>
      </c>
      <c r="B14" s="21" t="s">
        <v>17</v>
      </c>
      <c r="C14" s="22">
        <v>0</v>
      </c>
      <c r="D14" s="23">
        <v>0</v>
      </c>
      <c r="E14" s="24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f>SUM(C14:N14)</f>
        <v>0</v>
      </c>
      <c r="P14" s="27">
        <v>0</v>
      </c>
    </row>
    <row r="15" spans="1:16" x14ac:dyDescent="0.25">
      <c r="A15" s="20">
        <f t="shared" si="0"/>
        <v>11</v>
      </c>
      <c r="B15" s="30" t="s">
        <v>18</v>
      </c>
      <c r="C15" s="29">
        <f>SUM(C12:C14)</f>
        <v>0</v>
      </c>
      <c r="D15" s="29">
        <f>SUM(D12:D14)</f>
        <v>0</v>
      </c>
      <c r="E15" s="29">
        <f t="shared" ref="E15:N15" si="4">SUM(E12:E14)</f>
        <v>0</v>
      </c>
      <c r="F15" s="29">
        <f t="shared" si="4"/>
        <v>0</v>
      </c>
      <c r="G15" s="29">
        <f t="shared" si="4"/>
        <v>0</v>
      </c>
      <c r="H15" s="29">
        <f t="shared" si="4"/>
        <v>0</v>
      </c>
      <c r="I15" s="29">
        <f t="shared" si="4"/>
        <v>0</v>
      </c>
      <c r="J15" s="29">
        <f t="shared" si="4"/>
        <v>0</v>
      </c>
      <c r="K15" s="29">
        <f t="shared" si="4"/>
        <v>0</v>
      </c>
      <c r="L15" s="29">
        <f>SUM(L12:L14)</f>
        <v>0</v>
      </c>
      <c r="M15" s="29">
        <f t="shared" si="4"/>
        <v>0</v>
      </c>
      <c r="N15" s="29">
        <f t="shared" si="4"/>
        <v>0</v>
      </c>
      <c r="O15" s="29">
        <f>SUM(O12:O14)</f>
        <v>0</v>
      </c>
      <c r="P15" s="33">
        <f>SUM(P12:P14)</f>
        <v>0</v>
      </c>
    </row>
    <row r="16" spans="1:16" x14ac:dyDescent="0.25">
      <c r="A16" s="20">
        <f t="shared" si="0"/>
        <v>12</v>
      </c>
      <c r="B16" s="21" t="s">
        <v>19</v>
      </c>
      <c r="C16" s="22">
        <v>-121.810436275</v>
      </c>
      <c r="D16" s="22">
        <v>-121.810436275</v>
      </c>
      <c r="E16" s="22">
        <v>-121.810436275</v>
      </c>
      <c r="F16" s="22">
        <v>-132.72767717500003</v>
      </c>
      <c r="G16" s="22">
        <v>-132.72767717500003</v>
      </c>
      <c r="H16" s="22">
        <v>-132.72767717500003</v>
      </c>
      <c r="I16" s="22">
        <v>-132.72767717500003</v>
      </c>
      <c r="J16" s="22">
        <v>-132.72767717500003</v>
      </c>
      <c r="K16" s="22">
        <v>-132.72767717500003</v>
      </c>
      <c r="L16" s="22">
        <v>-132.72767717500003</v>
      </c>
      <c r="M16" s="22">
        <v>-132.72767717500003</v>
      </c>
      <c r="N16" s="22">
        <v>-132.72767717500003</v>
      </c>
      <c r="O16" s="22">
        <f>SUM(C16:N16)</f>
        <v>-1559.9804034000003</v>
      </c>
      <c r="P16" s="27">
        <v>-1257.20749</v>
      </c>
    </row>
    <row r="17" spans="1:16" x14ac:dyDescent="0.25">
      <c r="A17" s="20">
        <f t="shared" si="0"/>
        <v>13</v>
      </c>
      <c r="B17" s="21" t="s">
        <v>20</v>
      </c>
      <c r="C17" s="22">
        <v>-123.67113351666666</v>
      </c>
      <c r="D17" s="22">
        <v>-123.67113351666666</v>
      </c>
      <c r="E17" s="22">
        <v>-123.67113351666666</v>
      </c>
      <c r="F17" s="22">
        <v>-123.67113351666666</v>
      </c>
      <c r="G17" s="22">
        <v>-123.67113351666666</v>
      </c>
      <c r="H17" s="22">
        <v>-123.67113351666666</v>
      </c>
      <c r="I17" s="22">
        <v>-123.67113351666666</v>
      </c>
      <c r="J17" s="22">
        <v>-123.67113351666666</v>
      </c>
      <c r="K17" s="22">
        <v>-123.67113351666666</v>
      </c>
      <c r="L17" s="22">
        <v>-123.67113351666666</v>
      </c>
      <c r="M17" s="22">
        <v>-123.67113351666666</v>
      </c>
      <c r="N17" s="22">
        <v>-123.67113351666666</v>
      </c>
      <c r="O17" s="22">
        <f t="shared" ref="O17:O25" si="5">SUM(C17:N17)</f>
        <v>-1484.0536022000003</v>
      </c>
      <c r="P17" s="27">
        <v>-1453.57593</v>
      </c>
    </row>
    <row r="18" spans="1:16" x14ac:dyDescent="0.25">
      <c r="A18" s="20">
        <f t="shared" si="0"/>
        <v>14</v>
      </c>
      <c r="B18" s="21" t="s">
        <v>21</v>
      </c>
      <c r="C18" s="22">
        <v>-0.47195833333333337</v>
      </c>
      <c r="D18" s="22">
        <v>-0.47195833333333337</v>
      </c>
      <c r="E18" s="22">
        <v>-0.47195833333333337</v>
      </c>
      <c r="F18" s="22">
        <v>-0.47195833333333337</v>
      </c>
      <c r="G18" s="22">
        <v>-0.47195833333333337</v>
      </c>
      <c r="H18" s="22">
        <v>-0.47195833333333337</v>
      </c>
      <c r="I18" s="22">
        <v>-0.47195833333333337</v>
      </c>
      <c r="J18" s="22">
        <v>-0.47195833333333337</v>
      </c>
      <c r="K18" s="22">
        <v>-0.47195833333333337</v>
      </c>
      <c r="L18" s="22">
        <v>-0.47195833333333337</v>
      </c>
      <c r="M18" s="22">
        <v>-0.47195833333333337</v>
      </c>
      <c r="N18" s="22">
        <v>-0.47195833333333337</v>
      </c>
      <c r="O18" s="22">
        <f t="shared" si="5"/>
        <v>-5.6635</v>
      </c>
      <c r="P18" s="27">
        <v>-2.28302</v>
      </c>
    </row>
    <row r="19" spans="1:16" x14ac:dyDescent="0.25">
      <c r="A19" s="20">
        <f t="shared" si="0"/>
        <v>15</v>
      </c>
      <c r="B19" s="21" t="s">
        <v>22</v>
      </c>
      <c r="C19" s="22">
        <v>-0.4</v>
      </c>
      <c r="D19" s="22">
        <v>-0.4</v>
      </c>
      <c r="E19" s="22">
        <v>-0.4</v>
      </c>
      <c r="F19" s="22">
        <v>-0.4</v>
      </c>
      <c r="G19" s="22">
        <v>-0.4</v>
      </c>
      <c r="H19" s="22">
        <v>-0.4</v>
      </c>
      <c r="I19" s="22">
        <v>-0.4</v>
      </c>
      <c r="J19" s="22">
        <v>-0.4</v>
      </c>
      <c r="K19" s="22">
        <v>-0.4</v>
      </c>
      <c r="L19" s="22">
        <v>-0.4</v>
      </c>
      <c r="M19" s="22">
        <v>-0.4</v>
      </c>
      <c r="N19" s="22">
        <v>-0.4</v>
      </c>
      <c r="O19" s="22">
        <f t="shared" si="5"/>
        <v>-4.8</v>
      </c>
      <c r="P19" s="27">
        <v>0</v>
      </c>
    </row>
    <row r="20" spans="1:16" x14ac:dyDescent="0.25">
      <c r="A20" s="20">
        <f t="shared" si="0"/>
        <v>16</v>
      </c>
      <c r="B20" s="21" t="s">
        <v>23</v>
      </c>
      <c r="C20" s="22">
        <v>-2.5582976916666662</v>
      </c>
      <c r="D20" s="22">
        <v>-2.5582976916666662</v>
      </c>
      <c r="E20" s="22">
        <v>-2.5582976916666662</v>
      </c>
      <c r="F20" s="22">
        <v>-2.5582976916666662</v>
      </c>
      <c r="G20" s="22">
        <v>-2.5582976916666662</v>
      </c>
      <c r="H20" s="22">
        <v>-2.5582976916666662</v>
      </c>
      <c r="I20" s="22">
        <v>-2.5582976916666662</v>
      </c>
      <c r="J20" s="22">
        <v>-2.5582976916666662</v>
      </c>
      <c r="K20" s="22">
        <v>-2.5582976916666662</v>
      </c>
      <c r="L20" s="22">
        <v>-2.5582976916666662</v>
      </c>
      <c r="M20" s="22">
        <v>-2.5582976916666662</v>
      </c>
      <c r="N20" s="22">
        <v>-2.5582976916666662</v>
      </c>
      <c r="O20" s="22">
        <f t="shared" si="5"/>
        <v>-30.699572299999996</v>
      </c>
      <c r="P20" s="27">
        <v>-11.896000000000001</v>
      </c>
    </row>
    <row r="21" spans="1:16" x14ac:dyDescent="0.25">
      <c r="A21" s="20">
        <f t="shared" si="0"/>
        <v>17</v>
      </c>
      <c r="B21" s="21" t="s">
        <v>24</v>
      </c>
      <c r="C21" s="22">
        <v>-27.853381024999994</v>
      </c>
      <c r="D21" s="22">
        <v>-27.853381024999994</v>
      </c>
      <c r="E21" s="22">
        <v>-27.853381024999994</v>
      </c>
      <c r="F21" s="22">
        <v>-27.853381024999994</v>
      </c>
      <c r="G21" s="22">
        <v>-27.853381024999994</v>
      </c>
      <c r="H21" s="22">
        <v>-27.853381024999994</v>
      </c>
      <c r="I21" s="22">
        <v>-27.853381024999994</v>
      </c>
      <c r="J21" s="22">
        <v>-27.853381024999994</v>
      </c>
      <c r="K21" s="22">
        <v>-27.853381024999994</v>
      </c>
      <c r="L21" s="22">
        <v>-27.853381024999994</v>
      </c>
      <c r="M21" s="22">
        <v>-27.853381024999994</v>
      </c>
      <c r="N21" s="22">
        <v>-27.853381024999994</v>
      </c>
      <c r="O21" s="22">
        <f t="shared" si="5"/>
        <v>-334.24057229999994</v>
      </c>
      <c r="P21" s="27">
        <v>-361.68833999999998</v>
      </c>
    </row>
    <row r="22" spans="1:16" x14ac:dyDescent="0.25">
      <c r="A22" s="20">
        <f t="shared" si="0"/>
        <v>18</v>
      </c>
      <c r="B22" s="21" t="s">
        <v>25</v>
      </c>
      <c r="C22" s="22">
        <v>-8.6671775333333336</v>
      </c>
      <c r="D22" s="22">
        <v>-8.6671775333333336</v>
      </c>
      <c r="E22" s="22">
        <v>-8.6671775333333336</v>
      </c>
      <c r="F22" s="22">
        <v>-8.6671775333333336</v>
      </c>
      <c r="G22" s="22">
        <v>-8.6671775333333336</v>
      </c>
      <c r="H22" s="22">
        <v>-8.6671775333333336</v>
      </c>
      <c r="I22" s="22">
        <v>-8.6671775333333336</v>
      </c>
      <c r="J22" s="22">
        <v>-8.6671775333333336</v>
      </c>
      <c r="K22" s="22">
        <v>-8.6671775333333336</v>
      </c>
      <c r="L22" s="22">
        <v>-8.6671775333333336</v>
      </c>
      <c r="M22" s="22">
        <v>-8.6671775333333336</v>
      </c>
      <c r="N22" s="22">
        <v>-8.6671775333333336</v>
      </c>
      <c r="O22" s="22">
        <f t="shared" si="5"/>
        <v>-104.00613039999998</v>
      </c>
      <c r="P22" s="27">
        <v>-78.566689999999994</v>
      </c>
    </row>
    <row r="23" spans="1:16" x14ac:dyDescent="0.25">
      <c r="A23" s="20">
        <f t="shared" si="0"/>
        <v>19</v>
      </c>
      <c r="B23" s="21" t="s">
        <v>26</v>
      </c>
      <c r="C23" s="22">
        <v>-47.846012424545663</v>
      </c>
      <c r="D23" s="22">
        <v>-45.157960757878996</v>
      </c>
      <c r="E23" s="22">
        <v>-45.157960757878996</v>
      </c>
      <c r="F23" s="22">
        <v>-45.157960757878996</v>
      </c>
      <c r="G23" s="22">
        <v>-45.157960757878996</v>
      </c>
      <c r="H23" s="22">
        <v>-45.157960757878996</v>
      </c>
      <c r="I23" s="22">
        <v>-45.157960757878996</v>
      </c>
      <c r="J23" s="22">
        <v>-45.157960757878996</v>
      </c>
      <c r="K23" s="22">
        <v>-45.157960757878996</v>
      </c>
      <c r="L23" s="22">
        <v>-45.157960757878996</v>
      </c>
      <c r="M23" s="22">
        <v>-45.157960757878996</v>
      </c>
      <c r="N23" s="22">
        <v>-45.157960757878996</v>
      </c>
      <c r="O23" s="22">
        <f t="shared" si="5"/>
        <v>-544.58358076121453</v>
      </c>
      <c r="P23" s="27">
        <v>-101.45057</v>
      </c>
    </row>
    <row r="24" spans="1:16" x14ac:dyDescent="0.25">
      <c r="A24" s="20">
        <f t="shared" si="0"/>
        <v>20</v>
      </c>
      <c r="B24" s="21" t="s">
        <v>27</v>
      </c>
      <c r="C24" s="22">
        <v>-2.6307848000000003</v>
      </c>
      <c r="D24" s="22">
        <v>-2.6307848000000003</v>
      </c>
      <c r="E24" s="22">
        <v>-2.6307848000000003</v>
      </c>
      <c r="F24" s="22">
        <v>-2.6307848000000003</v>
      </c>
      <c r="G24" s="22">
        <v>-2.6307848000000003</v>
      </c>
      <c r="H24" s="22">
        <v>-2.6307848000000003</v>
      </c>
      <c r="I24" s="22">
        <v>-2.6307848000000003</v>
      </c>
      <c r="J24" s="22">
        <v>-2.6307848000000003</v>
      </c>
      <c r="K24" s="22">
        <v>-2.6307848000000003</v>
      </c>
      <c r="L24" s="22">
        <v>-2.6307848000000003</v>
      </c>
      <c r="M24" s="22">
        <v>-2.6307848000000003</v>
      </c>
      <c r="N24" s="22">
        <v>-2.6307848000000003</v>
      </c>
      <c r="O24" s="22">
        <f t="shared" si="5"/>
        <v>-31.569417600000005</v>
      </c>
      <c r="P24" s="27">
        <v>-27.273679999999999</v>
      </c>
    </row>
    <row r="25" spans="1:16" x14ac:dyDescent="0.25">
      <c r="A25" s="20">
        <f t="shared" si="0"/>
        <v>21</v>
      </c>
      <c r="B25" s="21" t="s">
        <v>28</v>
      </c>
      <c r="C25" s="22">
        <v>-2.1999999999999997</v>
      </c>
      <c r="D25" s="22">
        <v>-2.1999999999999997</v>
      </c>
      <c r="E25" s="22">
        <v>-2.1999999999999997</v>
      </c>
      <c r="F25" s="22">
        <v>-2.1999999999999997</v>
      </c>
      <c r="G25" s="22">
        <v>-2.1999999999999997</v>
      </c>
      <c r="H25" s="22">
        <v>-2.1999999999999997</v>
      </c>
      <c r="I25" s="22">
        <v>-2.1999999999999997</v>
      </c>
      <c r="J25" s="22">
        <v>-2.1999999999999997</v>
      </c>
      <c r="K25" s="22">
        <v>-2.1999999999999997</v>
      </c>
      <c r="L25" s="22">
        <v>-2.1999999999999997</v>
      </c>
      <c r="M25" s="22">
        <v>-2.1999999999999997</v>
      </c>
      <c r="N25" s="22">
        <v>-2.1999999999999997</v>
      </c>
      <c r="O25" s="22">
        <f t="shared" si="5"/>
        <v>-26.399999999999995</v>
      </c>
      <c r="P25" s="34">
        <v>0</v>
      </c>
    </row>
    <row r="26" spans="1:16" x14ac:dyDescent="0.25">
      <c r="A26" s="20">
        <f t="shared" si="0"/>
        <v>22</v>
      </c>
      <c r="B26" s="28" t="s">
        <v>29</v>
      </c>
      <c r="C26" s="35">
        <f>SUM(C16:C25)</f>
        <v>-338.10918159954571</v>
      </c>
      <c r="D26" s="36">
        <f>SUM(D16:D25)</f>
        <v>-335.42112993287901</v>
      </c>
      <c r="E26" s="36">
        <f t="shared" ref="E26:N26" si="6">SUM(E16:E25)</f>
        <v>-335.42112993287901</v>
      </c>
      <c r="F26" s="36">
        <f t="shared" si="6"/>
        <v>-346.33837083287898</v>
      </c>
      <c r="G26" s="36">
        <f t="shared" si="6"/>
        <v>-346.33837083287898</v>
      </c>
      <c r="H26" s="36">
        <f t="shared" si="6"/>
        <v>-346.33837083287898</v>
      </c>
      <c r="I26" s="36">
        <f t="shared" si="6"/>
        <v>-346.33837083287898</v>
      </c>
      <c r="J26" s="36">
        <f t="shared" si="6"/>
        <v>-346.33837083287898</v>
      </c>
      <c r="K26" s="36">
        <f t="shared" si="6"/>
        <v>-346.33837083287898</v>
      </c>
      <c r="L26" s="36">
        <f t="shared" si="6"/>
        <v>-346.33837083287898</v>
      </c>
      <c r="M26" s="36">
        <f t="shared" si="6"/>
        <v>-346.33837083287898</v>
      </c>
      <c r="N26" s="36">
        <f t="shared" si="6"/>
        <v>-346.33837083287898</v>
      </c>
      <c r="O26" s="36">
        <f>SUM(O16:O25)</f>
        <v>-4125.9967789612147</v>
      </c>
      <c r="P26" s="36">
        <f>SUM(P16:P25)</f>
        <v>-3293.9417199999998</v>
      </c>
    </row>
    <row r="27" spans="1:16" x14ac:dyDescent="0.25">
      <c r="A27" s="20">
        <f t="shared" si="0"/>
        <v>23</v>
      </c>
      <c r="B27" s="21" t="s">
        <v>19</v>
      </c>
      <c r="C27" s="37">
        <v>-63.655165208333344</v>
      </c>
      <c r="D27" s="23">
        <v>-63.655165208333344</v>
      </c>
      <c r="E27" s="24">
        <v>-63.655165208333344</v>
      </c>
      <c r="F27" s="23">
        <v>-68.247765208333348</v>
      </c>
      <c r="G27" s="25">
        <v>-68.247765208333348</v>
      </c>
      <c r="H27" s="23">
        <v>-68.247765208333348</v>
      </c>
      <c r="I27" s="23">
        <v>-68.247765208333348</v>
      </c>
      <c r="J27" s="23">
        <v>-68.247765208333348</v>
      </c>
      <c r="K27" s="23">
        <v>-68.247765208333348</v>
      </c>
      <c r="L27" s="23">
        <v>-68.247765208333348</v>
      </c>
      <c r="M27" s="23">
        <v>-68.247765208333348</v>
      </c>
      <c r="N27" s="23">
        <v>-68.247765208333348</v>
      </c>
      <c r="O27" s="23">
        <f>SUM(C27:N27)</f>
        <v>-805.19538250000028</v>
      </c>
      <c r="P27" s="38">
        <v>-444.17124999999999</v>
      </c>
    </row>
    <row r="28" spans="1:16" x14ac:dyDescent="0.25">
      <c r="A28" s="20">
        <f t="shared" si="0"/>
        <v>24</v>
      </c>
      <c r="B28" s="21" t="s">
        <v>22</v>
      </c>
      <c r="C28" s="37">
        <v>-0.03</v>
      </c>
      <c r="D28" s="23">
        <v>-0.03</v>
      </c>
      <c r="E28" s="24">
        <v>-0.03</v>
      </c>
      <c r="F28" s="23">
        <v>-0.03</v>
      </c>
      <c r="G28" s="25">
        <v>-0.03</v>
      </c>
      <c r="H28" s="23">
        <v>-0.03</v>
      </c>
      <c r="I28" s="23">
        <v>-0.03</v>
      </c>
      <c r="J28" s="23">
        <v>-0.03</v>
      </c>
      <c r="K28" s="23">
        <v>-0.03</v>
      </c>
      <c r="L28" s="23">
        <v>-0.03</v>
      </c>
      <c r="M28" s="23">
        <v>-0.03</v>
      </c>
      <c r="N28" s="23">
        <v>-0.03</v>
      </c>
      <c r="O28" s="23">
        <f t="shared" ref="O28:O36" si="7">SUM(C28:N28)</f>
        <v>-0.3600000000000001</v>
      </c>
      <c r="P28" s="38">
        <v>0</v>
      </c>
    </row>
    <row r="29" spans="1:16" x14ac:dyDescent="0.25">
      <c r="A29" s="20">
        <f t="shared" si="0"/>
        <v>25</v>
      </c>
      <c r="B29" s="21" t="s">
        <v>30</v>
      </c>
      <c r="C29" s="37">
        <v>-2.7661104916666663</v>
      </c>
      <c r="D29" s="23">
        <v>-2.7661104916666663</v>
      </c>
      <c r="E29" s="24">
        <v>-2.7661104916666663</v>
      </c>
      <c r="F29" s="23">
        <v>-2.7661104916666663</v>
      </c>
      <c r="G29" s="25">
        <v>-2.7661104916666663</v>
      </c>
      <c r="H29" s="23">
        <v>-2.7661104916666663</v>
      </c>
      <c r="I29" s="23">
        <v>-2.7661104916666663</v>
      </c>
      <c r="J29" s="23">
        <v>-2.7661104916666663</v>
      </c>
      <c r="K29" s="23">
        <v>-2.7661104916666663</v>
      </c>
      <c r="L29" s="23">
        <v>-2.7661104916666663</v>
      </c>
      <c r="M29" s="23">
        <v>-2.7661104916666663</v>
      </c>
      <c r="N29" s="23">
        <v>-2.7661104916666663</v>
      </c>
      <c r="O29" s="23">
        <f t="shared" si="7"/>
        <v>-33.193325899999998</v>
      </c>
      <c r="P29" s="38">
        <v>-21.385580000000001</v>
      </c>
    </row>
    <row r="30" spans="1:16" x14ac:dyDescent="0.25">
      <c r="A30" s="20">
        <f t="shared" si="0"/>
        <v>26</v>
      </c>
      <c r="B30" s="21" t="s">
        <v>23</v>
      </c>
      <c r="C30" s="37">
        <v>-1.1099743500000001</v>
      </c>
      <c r="D30" s="23">
        <v>-1.1099743500000001</v>
      </c>
      <c r="E30" s="24">
        <v>-1.1099743500000001</v>
      </c>
      <c r="F30" s="23">
        <v>-1.1099743500000001</v>
      </c>
      <c r="G30" s="25">
        <v>-1.1099743500000001</v>
      </c>
      <c r="H30" s="23">
        <v>-1.1099743500000001</v>
      </c>
      <c r="I30" s="23">
        <v>-1.1099743500000001</v>
      </c>
      <c r="J30" s="23">
        <v>-1.1099743500000001</v>
      </c>
      <c r="K30" s="23">
        <v>-1.1099743500000001</v>
      </c>
      <c r="L30" s="23">
        <v>-1.1099743500000001</v>
      </c>
      <c r="M30" s="23">
        <v>-1.1099743500000001</v>
      </c>
      <c r="N30" s="23">
        <v>-1.1099743500000001</v>
      </c>
      <c r="O30" s="23">
        <f t="shared" si="7"/>
        <v>-13.3196922</v>
      </c>
      <c r="P30" s="38">
        <v>-21.160499999999999</v>
      </c>
    </row>
    <row r="31" spans="1:16" x14ac:dyDescent="0.25">
      <c r="A31" s="20">
        <f t="shared" si="0"/>
        <v>27</v>
      </c>
      <c r="B31" s="21" t="s">
        <v>24</v>
      </c>
      <c r="C31" s="37">
        <v>-0.94555250000000002</v>
      </c>
      <c r="D31" s="23">
        <v>-0.94555250000000002</v>
      </c>
      <c r="E31" s="24">
        <v>-0.94555250000000002</v>
      </c>
      <c r="F31" s="23">
        <v>-0.94555250000000002</v>
      </c>
      <c r="G31" s="25">
        <v>-0.94555250000000002</v>
      </c>
      <c r="H31" s="23">
        <v>-0.94555250000000002</v>
      </c>
      <c r="I31" s="23">
        <v>-0.94555250000000002</v>
      </c>
      <c r="J31" s="23">
        <v>-0.94555250000000002</v>
      </c>
      <c r="K31" s="23">
        <v>-0.94555250000000002</v>
      </c>
      <c r="L31" s="23">
        <v>-0.94555250000000002</v>
      </c>
      <c r="M31" s="23">
        <v>-0.94555250000000002</v>
      </c>
      <c r="N31" s="23">
        <v>-0.94555250000000002</v>
      </c>
      <c r="O31" s="23">
        <f t="shared" si="7"/>
        <v>-11.346629999999999</v>
      </c>
      <c r="P31" s="38">
        <v>-4.0839999999999996</v>
      </c>
    </row>
    <row r="32" spans="1:16" x14ac:dyDescent="0.25">
      <c r="A32" s="20">
        <f t="shared" si="0"/>
        <v>28</v>
      </c>
      <c r="B32" s="21" t="s">
        <v>25</v>
      </c>
      <c r="C32" s="37">
        <v>-12.379943624999997</v>
      </c>
      <c r="D32" s="23">
        <v>-12.379943624999997</v>
      </c>
      <c r="E32" s="24">
        <v>-12.379943624999997</v>
      </c>
      <c r="F32" s="23">
        <v>-12.379943624999997</v>
      </c>
      <c r="G32" s="25">
        <v>-12.379943624999997</v>
      </c>
      <c r="H32" s="23">
        <v>-12.379943624999997</v>
      </c>
      <c r="I32" s="23">
        <v>-12.379943624999997</v>
      </c>
      <c r="J32" s="23">
        <v>-12.379943624999997</v>
      </c>
      <c r="K32" s="23">
        <v>-12.379943624999997</v>
      </c>
      <c r="L32" s="23">
        <v>-12.379943624999997</v>
      </c>
      <c r="M32" s="23">
        <v>-12.379943624999997</v>
      </c>
      <c r="N32" s="23">
        <v>-12.379943624999997</v>
      </c>
      <c r="O32" s="23">
        <f t="shared" si="7"/>
        <v>-148.55932349999998</v>
      </c>
      <c r="P32" s="38">
        <v>-73.127520000000004</v>
      </c>
    </row>
    <row r="33" spans="1:16" x14ac:dyDescent="0.25">
      <c r="A33" s="20">
        <f t="shared" si="0"/>
        <v>29</v>
      </c>
      <c r="B33" s="21" t="s">
        <v>26</v>
      </c>
      <c r="C33" s="39">
        <v>-21.352374091212333</v>
      </c>
      <c r="D33" s="40">
        <v>-21.352374091212333</v>
      </c>
      <c r="E33" s="41">
        <v>-21.352374091212333</v>
      </c>
      <c r="F33" s="40">
        <v>-21.352374091212333</v>
      </c>
      <c r="G33" s="42">
        <v>-21.352374091212333</v>
      </c>
      <c r="H33" s="40">
        <v>-21.352374091212333</v>
      </c>
      <c r="I33" s="40">
        <v>-21.352374091212333</v>
      </c>
      <c r="J33" s="40">
        <v>-21.352374091212333</v>
      </c>
      <c r="K33" s="40">
        <v>-21.352374091212333</v>
      </c>
      <c r="L33" s="40">
        <v>-21.352374091212333</v>
      </c>
      <c r="M33" s="40">
        <v>-21.352374091212333</v>
      </c>
      <c r="N33" s="40">
        <v>-21.352374091212333</v>
      </c>
      <c r="O33" s="40">
        <f t="shared" si="7"/>
        <v>-256.22848909454802</v>
      </c>
      <c r="P33" s="38">
        <v>-40.889719999999997</v>
      </c>
    </row>
    <row r="34" spans="1:16" x14ac:dyDescent="0.25">
      <c r="A34" s="20">
        <f t="shared" si="0"/>
        <v>30</v>
      </c>
      <c r="B34" s="21" t="s">
        <v>27</v>
      </c>
      <c r="C34" s="37">
        <v>-3.1226767500000001</v>
      </c>
      <c r="D34" s="23">
        <v>-3.1226767500000001</v>
      </c>
      <c r="E34" s="24">
        <v>-3.1226767500000001</v>
      </c>
      <c r="F34" s="23">
        <v>-3.1226767500000001</v>
      </c>
      <c r="G34" s="25">
        <v>-3.1226767500000001</v>
      </c>
      <c r="H34" s="23">
        <v>-3.1226767500000001</v>
      </c>
      <c r="I34" s="23">
        <v>-3.1226767500000001</v>
      </c>
      <c r="J34" s="23">
        <v>-3.1226767500000001</v>
      </c>
      <c r="K34" s="23">
        <v>-3.1226767500000001</v>
      </c>
      <c r="L34" s="23">
        <v>-3.1226767500000001</v>
      </c>
      <c r="M34" s="23">
        <v>-3.1226767500000001</v>
      </c>
      <c r="N34" s="23">
        <v>-3.1226767500000001</v>
      </c>
      <c r="O34" s="23">
        <f t="shared" si="7"/>
        <v>-37.472121000000001</v>
      </c>
      <c r="P34" s="38">
        <v>-56.439630000000001</v>
      </c>
    </row>
    <row r="35" spans="1:16" x14ac:dyDescent="0.25">
      <c r="A35" s="20">
        <f t="shared" si="0"/>
        <v>31</v>
      </c>
      <c r="B35" s="21" t="s">
        <v>31</v>
      </c>
      <c r="C35" s="37">
        <v>-22.000000874999998</v>
      </c>
      <c r="D35" s="23">
        <v>-22.000000874999998</v>
      </c>
      <c r="E35" s="24">
        <v>-22.000000874999998</v>
      </c>
      <c r="F35" s="23">
        <v>-22.000000874999998</v>
      </c>
      <c r="G35" s="25">
        <v>-22.000000874999998</v>
      </c>
      <c r="H35" s="23">
        <v>-22.000000874999998</v>
      </c>
      <c r="I35" s="23">
        <v>-22.000000874999998</v>
      </c>
      <c r="J35" s="23">
        <v>-22.000000874999998</v>
      </c>
      <c r="K35" s="23">
        <v>-22.000000874999998</v>
      </c>
      <c r="L35" s="23">
        <v>-22.000000874999998</v>
      </c>
      <c r="M35" s="23">
        <v>-22.000000874999998</v>
      </c>
      <c r="N35" s="23">
        <v>-22.000000874999998</v>
      </c>
      <c r="O35" s="23">
        <f t="shared" si="7"/>
        <v>-264.00001050000003</v>
      </c>
      <c r="P35" s="38">
        <v>-299.28906999999998</v>
      </c>
    </row>
    <row r="36" spans="1:16" x14ac:dyDescent="0.25">
      <c r="A36" s="20">
        <f t="shared" si="0"/>
        <v>32</v>
      </c>
      <c r="B36" s="21" t="s">
        <v>32</v>
      </c>
      <c r="C36" s="37">
        <v>0</v>
      </c>
      <c r="D36" s="23">
        <v>0</v>
      </c>
      <c r="E36" s="24">
        <v>0</v>
      </c>
      <c r="F36" s="23">
        <v>0</v>
      </c>
      <c r="G36" s="25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f t="shared" si="7"/>
        <v>0</v>
      </c>
      <c r="P36" s="38">
        <v>0</v>
      </c>
    </row>
    <row r="37" spans="1:16" x14ac:dyDescent="0.25">
      <c r="A37" s="20">
        <f t="shared" si="0"/>
        <v>33</v>
      </c>
      <c r="B37" s="28" t="s">
        <v>33</v>
      </c>
      <c r="C37" s="35">
        <f>SUM(C27:C36)</f>
        <v>-127.36179789121235</v>
      </c>
      <c r="D37" s="36">
        <f>SUM(D27:D36)</f>
        <v>-127.36179789121235</v>
      </c>
      <c r="E37" s="43">
        <f t="shared" ref="E37:N37" si="8">SUM(E27:E36)</f>
        <v>-127.36179789121235</v>
      </c>
      <c r="F37" s="36">
        <f t="shared" si="8"/>
        <v>-131.95439789121235</v>
      </c>
      <c r="G37" s="36">
        <f t="shared" si="8"/>
        <v>-131.95439789121235</v>
      </c>
      <c r="H37" s="36">
        <f t="shared" si="8"/>
        <v>-131.95439789121235</v>
      </c>
      <c r="I37" s="36">
        <f>SUM(I27:I36)</f>
        <v>-131.95439789121235</v>
      </c>
      <c r="J37" s="36">
        <f t="shared" si="8"/>
        <v>-131.95439789121235</v>
      </c>
      <c r="K37" s="36">
        <f t="shared" si="8"/>
        <v>-131.95439789121235</v>
      </c>
      <c r="L37" s="36">
        <f>SUM(L27:L36)</f>
        <v>-131.95439789121235</v>
      </c>
      <c r="M37" s="36">
        <f t="shared" si="8"/>
        <v>-131.95439789121235</v>
      </c>
      <c r="N37" s="36">
        <f t="shared" si="8"/>
        <v>-131.95439789121235</v>
      </c>
      <c r="O37" s="36">
        <f>SUM(O27:O36)</f>
        <v>-1569.6749746945484</v>
      </c>
      <c r="P37" s="44">
        <f>SUM(P27:P36)</f>
        <v>-960.54727000000003</v>
      </c>
    </row>
    <row r="38" spans="1:16" x14ac:dyDescent="0.25">
      <c r="A38" s="20">
        <f t="shared" si="0"/>
        <v>34</v>
      </c>
      <c r="B38" s="45" t="s">
        <v>34</v>
      </c>
      <c r="C38" s="46">
        <v>-0.31049700000000002</v>
      </c>
      <c r="D38" s="46">
        <v>-0.31049700000000002</v>
      </c>
      <c r="E38" s="46">
        <v>-0.31049700000000002</v>
      </c>
      <c r="F38" s="46">
        <v>-0.31049700000000002</v>
      </c>
      <c r="G38" s="46">
        <v>-0.31049700000000002</v>
      </c>
      <c r="H38" s="46">
        <v>-0.31049700000000002</v>
      </c>
      <c r="I38" s="46">
        <v>-0.31049700000000002</v>
      </c>
      <c r="J38" s="46">
        <v>-0.31049700000000002</v>
      </c>
      <c r="K38" s="46">
        <v>-0.31049700000000002</v>
      </c>
      <c r="L38" s="46">
        <v>-0.31049700000000002</v>
      </c>
      <c r="M38" s="46">
        <v>-0.31049700000000002</v>
      </c>
      <c r="N38" s="46">
        <v>-0.31049700000000002</v>
      </c>
      <c r="O38" s="47">
        <f t="shared" ref="O38:O39" si="9">SUM(C38:N38)</f>
        <v>-3.7259639999999994</v>
      </c>
      <c r="P38" s="48">
        <v>0</v>
      </c>
    </row>
    <row r="39" spans="1:16" x14ac:dyDescent="0.25">
      <c r="A39" s="20">
        <f t="shared" si="0"/>
        <v>35</v>
      </c>
      <c r="B39" s="49" t="s">
        <v>35</v>
      </c>
      <c r="C39" s="46">
        <v>-0.2</v>
      </c>
      <c r="D39" s="46">
        <v>-0.2</v>
      </c>
      <c r="E39" s="46">
        <v>-0.2</v>
      </c>
      <c r="F39" s="46">
        <v>-0.2</v>
      </c>
      <c r="G39" s="46">
        <v>-0.2</v>
      </c>
      <c r="H39" s="46">
        <v>-0.2</v>
      </c>
      <c r="I39" s="46">
        <v>-0.2</v>
      </c>
      <c r="J39" s="46">
        <v>-0.2</v>
      </c>
      <c r="K39" s="46">
        <v>-0.2</v>
      </c>
      <c r="L39" s="46">
        <v>-0.2</v>
      </c>
      <c r="M39" s="46">
        <v>-0.2</v>
      </c>
      <c r="N39" s="46">
        <v>-0.2</v>
      </c>
      <c r="O39" s="47">
        <f t="shared" si="9"/>
        <v>-2.4</v>
      </c>
      <c r="P39" s="50">
        <v>0</v>
      </c>
    </row>
    <row r="40" spans="1:16" x14ac:dyDescent="0.25">
      <c r="A40" s="20">
        <f t="shared" si="0"/>
        <v>36</v>
      </c>
      <c r="B40" s="21" t="s">
        <v>36</v>
      </c>
      <c r="C40" s="51">
        <v>-0.4</v>
      </c>
      <c r="D40" s="52">
        <v>-0.4</v>
      </c>
      <c r="E40" s="53">
        <v>-0.4</v>
      </c>
      <c r="F40" s="52">
        <v>-0.4</v>
      </c>
      <c r="G40" s="52">
        <v>-0.4</v>
      </c>
      <c r="H40" s="52">
        <v>-0.4</v>
      </c>
      <c r="I40" s="52">
        <v>-0.4</v>
      </c>
      <c r="J40" s="52">
        <v>-0.4</v>
      </c>
      <c r="K40" s="52">
        <v>-0.4</v>
      </c>
      <c r="L40" s="52">
        <v>-0.4</v>
      </c>
      <c r="M40" s="52">
        <v>-0.4</v>
      </c>
      <c r="N40" s="52">
        <v>-0.4</v>
      </c>
      <c r="O40" s="52">
        <f>SUM(C40:N40)</f>
        <v>-4.8</v>
      </c>
      <c r="P40" s="54">
        <v>0</v>
      </c>
    </row>
    <row r="41" spans="1:16" x14ac:dyDescent="0.25">
      <c r="A41" s="20">
        <f t="shared" si="0"/>
        <v>37</v>
      </c>
      <c r="B41" s="21" t="s">
        <v>37</v>
      </c>
      <c r="C41" s="51">
        <v>-6.3433238749999994</v>
      </c>
      <c r="D41" s="52">
        <v>-6.3433238749999994</v>
      </c>
      <c r="E41" s="53">
        <v>-6.3433238749999994</v>
      </c>
      <c r="F41" s="52">
        <v>-6.3433238749999994</v>
      </c>
      <c r="G41" s="52">
        <v>-6.3433238749999994</v>
      </c>
      <c r="H41" s="52">
        <v>-6.3433238749999994</v>
      </c>
      <c r="I41" s="52">
        <v>-6.3433238749999994</v>
      </c>
      <c r="J41" s="52">
        <v>-6.3433238749999994</v>
      </c>
      <c r="K41" s="52">
        <v>-6.3433238749999994</v>
      </c>
      <c r="L41" s="52">
        <v>-6.3433238749999994</v>
      </c>
      <c r="M41" s="52">
        <v>-6.3433238749999994</v>
      </c>
      <c r="N41" s="52">
        <v>-6.3433238749999994</v>
      </c>
      <c r="O41" s="52">
        <f>SUM(C41:N41)</f>
        <v>-76.119886499999978</v>
      </c>
      <c r="P41" s="54">
        <v>-61.949370000000002</v>
      </c>
    </row>
    <row r="42" spans="1:16" x14ac:dyDescent="0.25">
      <c r="A42" s="20">
        <f t="shared" si="0"/>
        <v>38</v>
      </c>
      <c r="B42" s="49" t="s">
        <v>38</v>
      </c>
      <c r="C42" s="46">
        <v>-0.1</v>
      </c>
      <c r="D42" s="46">
        <v>-0.1</v>
      </c>
      <c r="E42" s="46">
        <v>-0.1</v>
      </c>
      <c r="F42" s="46">
        <v>-0.1</v>
      </c>
      <c r="G42" s="46">
        <v>-0.1</v>
      </c>
      <c r="H42" s="46">
        <v>-0.1</v>
      </c>
      <c r="I42" s="46">
        <v>-0.1</v>
      </c>
      <c r="J42" s="46">
        <v>-0.1</v>
      </c>
      <c r="K42" s="46">
        <v>-0.1</v>
      </c>
      <c r="L42" s="46">
        <v>-0.1</v>
      </c>
      <c r="M42" s="46">
        <v>-0.1</v>
      </c>
      <c r="N42" s="46">
        <v>-0.1</v>
      </c>
      <c r="O42" s="47">
        <f t="shared" ref="O42:O46" si="10">SUM(C42:N42)</f>
        <v>-1.2</v>
      </c>
      <c r="P42" s="50">
        <v>0</v>
      </c>
    </row>
    <row r="43" spans="1:16" x14ac:dyDescent="0.25">
      <c r="A43" s="20">
        <f t="shared" si="0"/>
        <v>39</v>
      </c>
      <c r="B43" s="49" t="s">
        <v>39</v>
      </c>
      <c r="C43" s="46">
        <v>-0.15</v>
      </c>
      <c r="D43" s="46">
        <v>-0.15</v>
      </c>
      <c r="E43" s="46">
        <v>-0.15</v>
      </c>
      <c r="F43" s="46">
        <v>-0.15</v>
      </c>
      <c r="G43" s="46">
        <v>-0.15</v>
      </c>
      <c r="H43" s="46">
        <v>-0.15</v>
      </c>
      <c r="I43" s="46">
        <v>-0.15</v>
      </c>
      <c r="J43" s="46">
        <v>-0.15</v>
      </c>
      <c r="K43" s="46">
        <v>-0.15</v>
      </c>
      <c r="L43" s="46">
        <v>-0.15</v>
      </c>
      <c r="M43" s="46">
        <v>-0.15</v>
      </c>
      <c r="N43" s="46">
        <v>-0.15</v>
      </c>
      <c r="O43" s="47">
        <f t="shared" si="10"/>
        <v>-1.7999999999999996</v>
      </c>
      <c r="P43" s="50">
        <v>0</v>
      </c>
    </row>
    <row r="44" spans="1:16" x14ac:dyDescent="0.25">
      <c r="A44" s="20">
        <f t="shared" si="0"/>
        <v>40</v>
      </c>
      <c r="B44" s="55" t="s">
        <v>40</v>
      </c>
      <c r="C44" s="56">
        <v>-0.75993749999999993</v>
      </c>
      <c r="D44" s="57">
        <v>-0.75993749999999993</v>
      </c>
      <c r="E44" s="58">
        <v>-0.75993749999999993</v>
      </c>
      <c r="F44" s="57">
        <v>-0.75993749999999993</v>
      </c>
      <c r="G44" s="57">
        <v>-0.75993749999999993</v>
      </c>
      <c r="H44" s="57">
        <v>-0.75993749999999993</v>
      </c>
      <c r="I44" s="57">
        <v>-0.75993749999999993</v>
      </c>
      <c r="J44" s="57">
        <v>-0.75993749999999993</v>
      </c>
      <c r="K44" s="57">
        <v>-0.75993749999999993</v>
      </c>
      <c r="L44" s="57">
        <v>-0.75993749999999993</v>
      </c>
      <c r="M44" s="57">
        <v>-0.75993749999999993</v>
      </c>
      <c r="N44" s="57">
        <v>-0.75993749999999993</v>
      </c>
      <c r="O44" s="52">
        <f t="shared" si="10"/>
        <v>-9.1192499999999974</v>
      </c>
      <c r="P44" s="54">
        <v>0</v>
      </c>
    </row>
    <row r="45" spans="1:16" x14ac:dyDescent="0.25">
      <c r="A45" s="20">
        <f t="shared" si="0"/>
        <v>41</v>
      </c>
      <c r="B45" s="55" t="s">
        <v>41</v>
      </c>
      <c r="C45" s="56">
        <v>-0.05</v>
      </c>
      <c r="D45" s="57">
        <v>-0.05</v>
      </c>
      <c r="E45" s="58">
        <v>-0.05</v>
      </c>
      <c r="F45" s="57">
        <v>-0.05</v>
      </c>
      <c r="G45" s="57">
        <v>-0.05</v>
      </c>
      <c r="H45" s="57">
        <v>-0.05</v>
      </c>
      <c r="I45" s="57">
        <v>-0.05</v>
      </c>
      <c r="J45" s="57">
        <v>-0.05</v>
      </c>
      <c r="K45" s="57">
        <v>-0.05</v>
      </c>
      <c r="L45" s="57">
        <v>-0.05</v>
      </c>
      <c r="M45" s="57">
        <v>-0.05</v>
      </c>
      <c r="N45" s="57">
        <v>-0.05</v>
      </c>
      <c r="O45" s="52">
        <f t="shared" si="10"/>
        <v>-0.6</v>
      </c>
      <c r="P45" s="54">
        <v>0</v>
      </c>
    </row>
    <row r="46" spans="1:16" x14ac:dyDescent="0.25">
      <c r="A46" s="20">
        <f t="shared" si="0"/>
        <v>42</v>
      </c>
      <c r="B46" s="59" t="s">
        <v>42</v>
      </c>
      <c r="C46" s="51">
        <v>-11.272234166666665</v>
      </c>
      <c r="D46" s="52">
        <v>-11.272234166666665</v>
      </c>
      <c r="E46" s="53">
        <v>-11.272234166666665</v>
      </c>
      <c r="F46" s="52">
        <v>-11.272234166666665</v>
      </c>
      <c r="G46" s="52">
        <v>-11.272234166666665</v>
      </c>
      <c r="H46" s="52">
        <v>-11.272234166666665</v>
      </c>
      <c r="I46" s="52">
        <v>-11.272234166666665</v>
      </c>
      <c r="J46" s="52">
        <v>-11.272234166666665</v>
      </c>
      <c r="K46" s="52">
        <v>-11.272234166666665</v>
      </c>
      <c r="L46" s="52">
        <v>-11.272234166666665</v>
      </c>
      <c r="M46" s="52">
        <v>-11.272234166666665</v>
      </c>
      <c r="N46" s="52">
        <v>-11.272234166666665</v>
      </c>
      <c r="O46" s="52">
        <f t="shared" si="10"/>
        <v>-135.26680999999999</v>
      </c>
      <c r="P46" s="60">
        <v>-135.1763</v>
      </c>
    </row>
    <row r="47" spans="1:16" x14ac:dyDescent="0.25">
      <c r="A47" s="20">
        <f t="shared" si="0"/>
        <v>43</v>
      </c>
      <c r="B47" s="28" t="s">
        <v>43</v>
      </c>
      <c r="C47" s="29">
        <f>SUM(C38:C46)</f>
        <v>-19.585992541666666</v>
      </c>
      <c r="D47" s="29">
        <f t="shared" ref="D47:P47" si="11">SUM(D38:D46)</f>
        <v>-19.585992541666666</v>
      </c>
      <c r="E47" s="29">
        <f t="shared" si="11"/>
        <v>-19.585992541666666</v>
      </c>
      <c r="F47" s="29">
        <f t="shared" si="11"/>
        <v>-19.585992541666666</v>
      </c>
      <c r="G47" s="29">
        <f t="shared" si="11"/>
        <v>-19.585992541666666</v>
      </c>
      <c r="H47" s="29">
        <f t="shared" si="11"/>
        <v>-19.585992541666666</v>
      </c>
      <c r="I47" s="29">
        <f t="shared" si="11"/>
        <v>-19.585992541666666</v>
      </c>
      <c r="J47" s="29">
        <f t="shared" si="11"/>
        <v>-19.585992541666666</v>
      </c>
      <c r="K47" s="29">
        <f t="shared" si="11"/>
        <v>-19.585992541666666</v>
      </c>
      <c r="L47" s="29">
        <f t="shared" si="11"/>
        <v>-19.585992541666666</v>
      </c>
      <c r="M47" s="29">
        <f t="shared" si="11"/>
        <v>-19.585992541666666</v>
      </c>
      <c r="N47" s="29">
        <f t="shared" si="11"/>
        <v>-19.585992541666666</v>
      </c>
      <c r="O47" s="29">
        <f t="shared" si="11"/>
        <v>-235.03191049999995</v>
      </c>
      <c r="P47" s="29">
        <f t="shared" si="11"/>
        <v>-197.12567000000001</v>
      </c>
    </row>
    <row r="48" spans="1:16" x14ac:dyDescent="0.25">
      <c r="A48" s="20">
        <f t="shared" si="0"/>
        <v>44</v>
      </c>
      <c r="B48" s="61" t="s">
        <v>44</v>
      </c>
      <c r="C48" s="62">
        <f>SUM(C47,C37)</f>
        <v>-146.947790432879</v>
      </c>
      <c r="D48" s="63">
        <f>SUM(D37,D47)</f>
        <v>-146.947790432879</v>
      </c>
      <c r="E48" s="63">
        <f t="shared" ref="E48:N48" si="12">SUM(E37,E47)</f>
        <v>-146.947790432879</v>
      </c>
      <c r="F48" s="63">
        <f t="shared" si="12"/>
        <v>-151.54039043287901</v>
      </c>
      <c r="G48" s="63">
        <f t="shared" si="12"/>
        <v>-151.54039043287901</v>
      </c>
      <c r="H48" s="63">
        <f t="shared" si="12"/>
        <v>-151.54039043287901</v>
      </c>
      <c r="I48" s="63">
        <f t="shared" si="12"/>
        <v>-151.54039043287901</v>
      </c>
      <c r="J48" s="63">
        <f t="shared" si="12"/>
        <v>-151.54039043287901</v>
      </c>
      <c r="K48" s="63">
        <f t="shared" si="12"/>
        <v>-151.54039043287901</v>
      </c>
      <c r="L48" s="63">
        <f t="shared" si="12"/>
        <v>-151.54039043287901</v>
      </c>
      <c r="M48" s="63">
        <f t="shared" si="12"/>
        <v>-151.54039043287901</v>
      </c>
      <c r="N48" s="63">
        <f t="shared" si="12"/>
        <v>-151.54039043287901</v>
      </c>
      <c r="O48" s="63">
        <f>SUM(O37,O47)</f>
        <v>-1804.7068851945482</v>
      </c>
      <c r="P48" s="63">
        <f>SUM(P37,P47)</f>
        <v>-1157.6729399999999</v>
      </c>
    </row>
    <row r="49" spans="1:16" ht="15.75" thickBot="1" x14ac:dyDescent="0.3">
      <c r="A49" s="20">
        <f t="shared" si="0"/>
        <v>45</v>
      </c>
      <c r="B49" s="64" t="s">
        <v>45</v>
      </c>
      <c r="C49" s="65">
        <f>C11+C15+C26+C48</f>
        <v>243.57073756421482</v>
      </c>
      <c r="D49" s="66">
        <f>D11+D15+D26+D48</f>
        <v>217.00983620938445</v>
      </c>
      <c r="E49" s="67">
        <f t="shared" ref="E49:P49" si="13">E11+E15+E26+E48</f>
        <v>57.408486366699151</v>
      </c>
      <c r="F49" s="68">
        <f t="shared" si="13"/>
        <v>99.499132627969573</v>
      </c>
      <c r="G49" s="68">
        <f t="shared" si="13"/>
        <v>285.50070575290641</v>
      </c>
      <c r="H49" s="68">
        <f t="shared" si="13"/>
        <v>433.10195410366225</v>
      </c>
      <c r="I49" s="68">
        <f t="shared" si="13"/>
        <v>757.10469438580969</v>
      </c>
      <c r="J49" s="68">
        <f t="shared" si="13"/>
        <v>6.7554910974712925</v>
      </c>
      <c r="K49" s="68">
        <f t="shared" si="13"/>
        <v>86.299020986845051</v>
      </c>
      <c r="L49" s="68">
        <f t="shared" si="13"/>
        <v>224.30018814405588</v>
      </c>
      <c r="M49" s="68">
        <f t="shared" si="13"/>
        <v>-45.702095424400397</v>
      </c>
      <c r="N49" s="68">
        <f t="shared" si="13"/>
        <v>326.30105082547237</v>
      </c>
      <c r="O49" s="68">
        <f t="shared" si="13"/>
        <v>2691.1492026400933</v>
      </c>
      <c r="P49" s="68">
        <f t="shared" si="13"/>
        <v>-1472.0539900000008</v>
      </c>
    </row>
    <row r="50" spans="1:16" ht="15.75" thickTop="1" x14ac:dyDescent="0.25">
      <c r="A50" s="20">
        <f t="shared" si="0"/>
        <v>46</v>
      </c>
      <c r="B50" s="69" t="s">
        <v>46</v>
      </c>
      <c r="C50" s="22">
        <v>0</v>
      </c>
      <c r="D50" s="70">
        <v>0</v>
      </c>
      <c r="E50" s="70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f>SUM(C50:N50)</f>
        <v>0</v>
      </c>
      <c r="P50" s="38">
        <v>71.338099999999997</v>
      </c>
    </row>
    <row r="51" spans="1:16" x14ac:dyDescent="0.25">
      <c r="A51" s="20">
        <f t="shared" si="0"/>
        <v>47</v>
      </c>
      <c r="B51" s="21" t="s">
        <v>47</v>
      </c>
      <c r="C51" s="22">
        <v>-128.62412136612022</v>
      </c>
      <c r="D51" s="23">
        <v>-128.24294513661204</v>
      </c>
      <c r="E51" s="24">
        <v>-127.87674153005466</v>
      </c>
      <c r="F51" s="23">
        <v>-124.2382105464481</v>
      </c>
      <c r="G51" s="25">
        <v>-123.90195218579235</v>
      </c>
      <c r="H51" s="23">
        <v>-123.58066644808744</v>
      </c>
      <c r="I51" s="23">
        <v>-123.45767333333335</v>
      </c>
      <c r="J51" s="23">
        <v>-123.16633284153005</v>
      </c>
      <c r="K51" s="23">
        <v>-122.8899649726776</v>
      </c>
      <c r="L51" s="23">
        <v>-112.50839972677593</v>
      </c>
      <c r="M51" s="23">
        <v>-112.26196710382513</v>
      </c>
      <c r="N51" s="23">
        <v>-112.03050710382513</v>
      </c>
      <c r="O51" s="24">
        <f t="shared" ref="O51:O56" si="14">SUM(C51:N51)</f>
        <v>-1462.7794822950821</v>
      </c>
      <c r="P51" s="38">
        <v>-16.5884</v>
      </c>
    </row>
    <row r="52" spans="1:16" x14ac:dyDescent="0.25">
      <c r="A52" s="20">
        <f t="shared" si="0"/>
        <v>48</v>
      </c>
      <c r="B52" s="21" t="s">
        <v>48</v>
      </c>
      <c r="C52" s="22">
        <v>-0.18200529166666665</v>
      </c>
      <c r="D52" s="23">
        <v>-0.18200529166666665</v>
      </c>
      <c r="E52" s="24">
        <v>-0.18200529166666665</v>
      </c>
      <c r="F52" s="23">
        <v>-0.18200529166666665</v>
      </c>
      <c r="G52" s="25">
        <v>-0.18200529166666665</v>
      </c>
      <c r="H52" s="23">
        <v>-0.18200529166666665</v>
      </c>
      <c r="I52" s="23">
        <v>-0.18200529166666665</v>
      </c>
      <c r="J52" s="23">
        <v>-0.18200529166666665</v>
      </c>
      <c r="K52" s="23">
        <v>-0.18200529166666665</v>
      </c>
      <c r="L52" s="23">
        <v>-0.18200529166666665</v>
      </c>
      <c r="M52" s="23">
        <v>-0.18200529166666665</v>
      </c>
      <c r="N52" s="23">
        <v>-0.18200529166666665</v>
      </c>
      <c r="O52" s="24">
        <f t="shared" si="14"/>
        <v>-2.1840634999999993</v>
      </c>
      <c r="P52" s="38">
        <v>-998.67730000000029</v>
      </c>
    </row>
    <row r="53" spans="1:16" x14ac:dyDescent="0.25">
      <c r="A53" s="20">
        <f t="shared" si="0"/>
        <v>49</v>
      </c>
      <c r="B53" s="21" t="s">
        <v>49</v>
      </c>
      <c r="C53" s="22"/>
      <c r="D53" s="23"/>
      <c r="E53" s="24"/>
      <c r="F53" s="23"/>
      <c r="G53" s="25"/>
      <c r="H53" s="23"/>
      <c r="I53" s="23"/>
      <c r="J53" s="23"/>
      <c r="K53" s="23"/>
      <c r="L53" s="23"/>
      <c r="M53" s="23"/>
      <c r="N53" s="23"/>
      <c r="O53" s="24">
        <f t="shared" si="14"/>
        <v>0</v>
      </c>
      <c r="P53" s="38">
        <v>-717.60392000000002</v>
      </c>
    </row>
    <row r="54" spans="1:16" x14ac:dyDescent="0.25">
      <c r="A54" s="20">
        <f t="shared" si="0"/>
        <v>50</v>
      </c>
      <c r="B54" s="21" t="s">
        <v>50</v>
      </c>
      <c r="C54" s="22"/>
      <c r="D54" s="23"/>
      <c r="E54" s="24"/>
      <c r="F54" s="23"/>
      <c r="G54" s="25"/>
      <c r="H54" s="23"/>
      <c r="I54" s="23"/>
      <c r="J54" s="23"/>
      <c r="K54" s="23"/>
      <c r="L54" s="23"/>
      <c r="M54" s="23"/>
      <c r="N54" s="23"/>
      <c r="O54" s="24">
        <f t="shared" si="14"/>
        <v>0</v>
      </c>
      <c r="P54" s="38">
        <v>0</v>
      </c>
    </row>
    <row r="55" spans="1:16" x14ac:dyDescent="0.25">
      <c r="A55" s="20">
        <f t="shared" si="0"/>
        <v>51</v>
      </c>
      <c r="B55" s="21" t="s">
        <v>51</v>
      </c>
      <c r="C55" s="22">
        <v>0.3</v>
      </c>
      <c r="D55" s="23">
        <v>0.3</v>
      </c>
      <c r="E55" s="24">
        <v>0.3</v>
      </c>
      <c r="F55" s="23">
        <v>0.3</v>
      </c>
      <c r="G55" s="25">
        <v>0.3</v>
      </c>
      <c r="H55" s="23">
        <v>0.3</v>
      </c>
      <c r="I55" s="23">
        <v>0.3</v>
      </c>
      <c r="J55" s="23">
        <v>0.3</v>
      </c>
      <c r="K55" s="23">
        <v>0.3</v>
      </c>
      <c r="L55" s="23">
        <v>0.3</v>
      </c>
      <c r="M55" s="23">
        <v>0.3</v>
      </c>
      <c r="N55" s="23">
        <v>0.3</v>
      </c>
      <c r="O55" s="24">
        <f t="shared" si="14"/>
        <v>3.5999999999999992</v>
      </c>
      <c r="P55" s="38">
        <v>67.303200000000004</v>
      </c>
    </row>
    <row r="56" spans="1:16" x14ac:dyDescent="0.25">
      <c r="A56" s="20">
        <f t="shared" si="0"/>
        <v>52</v>
      </c>
      <c r="B56" s="21" t="s">
        <v>52</v>
      </c>
      <c r="C56" s="22">
        <v>0.1</v>
      </c>
      <c r="D56" s="23">
        <v>0.1</v>
      </c>
      <c r="E56" s="24">
        <v>0.1</v>
      </c>
      <c r="F56" s="23">
        <v>0.1</v>
      </c>
      <c r="G56" s="25">
        <v>0.1</v>
      </c>
      <c r="H56" s="23">
        <v>0.1</v>
      </c>
      <c r="I56" s="23">
        <v>0.1</v>
      </c>
      <c r="J56" s="23">
        <v>0.1</v>
      </c>
      <c r="K56" s="23">
        <v>0.1</v>
      </c>
      <c r="L56" s="23">
        <v>0.1</v>
      </c>
      <c r="M56" s="23">
        <v>0.1</v>
      </c>
      <c r="N56" s="23">
        <v>0.1</v>
      </c>
      <c r="O56" s="24">
        <f t="shared" si="14"/>
        <v>1.2</v>
      </c>
      <c r="P56" s="38">
        <v>0</v>
      </c>
    </row>
    <row r="57" spans="1:16" x14ac:dyDescent="0.25">
      <c r="A57" s="20">
        <f t="shared" si="0"/>
        <v>53</v>
      </c>
      <c r="B57" s="71" t="s">
        <v>53</v>
      </c>
      <c r="C57" s="29">
        <f>SUM(C50:C56)</f>
        <v>-128.40612665778687</v>
      </c>
      <c r="D57" s="29">
        <f t="shared" ref="D57:N57" si="15">SUM(D50:D56)</f>
        <v>-128.02495042827869</v>
      </c>
      <c r="E57" s="29">
        <f t="shared" si="15"/>
        <v>-127.65874682172132</v>
      </c>
      <c r="F57" s="29">
        <f t="shared" si="15"/>
        <v>-124.02021583811478</v>
      </c>
      <c r="G57" s="29">
        <f t="shared" si="15"/>
        <v>-123.68395747745903</v>
      </c>
      <c r="H57" s="29">
        <f t="shared" si="15"/>
        <v>-123.36267173975412</v>
      </c>
      <c r="I57" s="29">
        <f t="shared" si="15"/>
        <v>-123.23967862500002</v>
      </c>
      <c r="J57" s="29">
        <f t="shared" si="15"/>
        <v>-122.94833813319673</v>
      </c>
      <c r="K57" s="29">
        <f t="shared" si="15"/>
        <v>-122.67197026434428</v>
      </c>
      <c r="L57" s="29">
        <f t="shared" si="15"/>
        <v>-112.29040501844261</v>
      </c>
      <c r="M57" s="29">
        <f t="shared" si="15"/>
        <v>-112.04397239549181</v>
      </c>
      <c r="N57" s="29">
        <f t="shared" si="15"/>
        <v>-111.81251239549181</v>
      </c>
      <c r="O57" s="36">
        <f>SUM(O50:O56)</f>
        <v>-1460.1635457950822</v>
      </c>
      <c r="P57" s="44">
        <f>SUM(P50:P56)</f>
        <v>-1594.2283200000004</v>
      </c>
    </row>
    <row r="58" spans="1:16" x14ac:dyDescent="0.25">
      <c r="A58" s="20">
        <f t="shared" si="0"/>
        <v>54</v>
      </c>
      <c r="B58" s="72" t="s">
        <v>54</v>
      </c>
      <c r="C58" s="35">
        <f>SUM(C49,C57)</f>
        <v>115.16461090642795</v>
      </c>
      <c r="D58" s="73">
        <f t="shared" ref="D58:P58" si="16">SUM(D49,D57)</f>
        <v>88.98488578110576</v>
      </c>
      <c r="E58" s="74">
        <f t="shared" si="16"/>
        <v>-70.250260455022172</v>
      </c>
      <c r="F58" s="52">
        <f t="shared" si="16"/>
        <v>-24.521083210145207</v>
      </c>
      <c r="G58" s="52">
        <f t="shared" si="16"/>
        <v>161.81674827544737</v>
      </c>
      <c r="H58" s="52">
        <f t="shared" si="16"/>
        <v>309.73928236390816</v>
      </c>
      <c r="I58" s="52">
        <f t="shared" si="16"/>
        <v>633.86501576080968</v>
      </c>
      <c r="J58" s="52">
        <f t="shared" si="16"/>
        <v>-116.19284703572544</v>
      </c>
      <c r="K58" s="52">
        <f t="shared" si="16"/>
        <v>-36.372949277499231</v>
      </c>
      <c r="L58" s="52">
        <f t="shared" si="16"/>
        <v>112.00978312561327</v>
      </c>
      <c r="M58" s="52">
        <f t="shared" si="16"/>
        <v>-157.7460678198922</v>
      </c>
      <c r="N58" s="52">
        <f t="shared" si="16"/>
        <v>214.48853842998057</v>
      </c>
      <c r="O58" s="63">
        <f>SUM(O49,O57)</f>
        <v>1230.9856568450111</v>
      </c>
      <c r="P58" s="44">
        <f t="shared" si="16"/>
        <v>-3066.2823100000014</v>
      </c>
    </row>
    <row r="59" spans="1:16" x14ac:dyDescent="0.25">
      <c r="A59" s="20">
        <f t="shared" si="0"/>
        <v>55</v>
      </c>
      <c r="B59" s="28" t="s">
        <v>55</v>
      </c>
      <c r="C59" s="22"/>
      <c r="D59" s="75"/>
      <c r="E59" s="76"/>
      <c r="F59" s="75"/>
      <c r="G59" s="75"/>
      <c r="H59" s="75"/>
      <c r="I59" s="75"/>
      <c r="J59" s="75"/>
      <c r="K59" s="75"/>
      <c r="L59" s="75"/>
      <c r="M59" s="75"/>
      <c r="N59" s="75"/>
      <c r="O59" s="75">
        <f>SUM(C59:N59)</f>
        <v>0</v>
      </c>
      <c r="P59" s="38">
        <v>-50.607100000000003</v>
      </c>
    </row>
    <row r="60" spans="1:16" ht="15.75" thickBot="1" x14ac:dyDescent="0.3">
      <c r="A60" s="20">
        <f t="shared" si="0"/>
        <v>56</v>
      </c>
      <c r="B60" s="77" t="s">
        <v>56</v>
      </c>
      <c r="C60" s="32">
        <f>SUM(C58:C59)</f>
        <v>115.16461090642795</v>
      </c>
      <c r="D60" s="32">
        <f t="shared" ref="D60:O60" si="17">SUM(D58:D59)</f>
        <v>88.98488578110576</v>
      </c>
      <c r="E60" s="32">
        <f t="shared" si="17"/>
        <v>-70.250260455022172</v>
      </c>
      <c r="F60" s="32">
        <f t="shared" si="17"/>
        <v>-24.521083210145207</v>
      </c>
      <c r="G60" s="32">
        <f t="shared" si="17"/>
        <v>161.81674827544737</v>
      </c>
      <c r="H60" s="32">
        <f t="shared" si="17"/>
        <v>309.73928236390816</v>
      </c>
      <c r="I60" s="32">
        <f t="shared" si="17"/>
        <v>633.86501576080968</v>
      </c>
      <c r="J60" s="32">
        <f t="shared" si="17"/>
        <v>-116.19284703572544</v>
      </c>
      <c r="K60" s="32">
        <f t="shared" si="17"/>
        <v>-36.372949277499231</v>
      </c>
      <c r="L60" s="32">
        <f t="shared" si="17"/>
        <v>112.00978312561327</v>
      </c>
      <c r="M60" s="32">
        <f t="shared" si="17"/>
        <v>-157.7460678198922</v>
      </c>
      <c r="N60" s="32">
        <f t="shared" si="17"/>
        <v>214.48853842998057</v>
      </c>
      <c r="O60" s="32">
        <f t="shared" si="17"/>
        <v>1230.9856568450111</v>
      </c>
      <c r="P60" s="78">
        <f>SUM(P58:P59)</f>
        <v>-3116.8894100000016</v>
      </c>
    </row>
    <row r="61" spans="1:16" ht="15.75" thickTop="1" x14ac:dyDescent="0.25">
      <c r="A61" s="79"/>
      <c r="B61" s="80" t="s">
        <v>57</v>
      </c>
      <c r="C61" s="81">
        <f>C4</f>
        <v>43191</v>
      </c>
      <c r="D61" s="81">
        <f>D4</f>
        <v>43221</v>
      </c>
      <c r="E61" s="81">
        <f t="shared" ref="E61:P61" si="18">E4</f>
        <v>43252</v>
      </c>
      <c r="F61" s="81">
        <f t="shared" si="18"/>
        <v>43282</v>
      </c>
      <c r="G61" s="81">
        <f t="shared" si="18"/>
        <v>43313</v>
      </c>
      <c r="H61" s="81">
        <f t="shared" si="18"/>
        <v>43344</v>
      </c>
      <c r="I61" s="81">
        <f t="shared" si="18"/>
        <v>43374</v>
      </c>
      <c r="J61" s="81">
        <f t="shared" si="18"/>
        <v>43405</v>
      </c>
      <c r="K61" s="81">
        <f t="shared" si="18"/>
        <v>43435</v>
      </c>
      <c r="L61" s="81">
        <f t="shared" si="18"/>
        <v>43466</v>
      </c>
      <c r="M61" s="81">
        <f t="shared" si="18"/>
        <v>43497</v>
      </c>
      <c r="N61" s="81">
        <f t="shared" si="18"/>
        <v>43525</v>
      </c>
      <c r="O61" s="82" t="s">
        <v>7</v>
      </c>
      <c r="P61" s="19">
        <f t="shared" si="18"/>
        <v>2017</v>
      </c>
    </row>
    <row r="62" spans="1:16" x14ac:dyDescent="0.25">
      <c r="A62" s="20">
        <v>1</v>
      </c>
      <c r="B62" s="83" t="s">
        <v>58</v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5"/>
      <c r="P62" s="86"/>
    </row>
    <row r="63" spans="1:16" x14ac:dyDescent="0.25">
      <c r="A63" s="20">
        <v>2</v>
      </c>
      <c r="B63" s="2" t="s">
        <v>59</v>
      </c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5"/>
      <c r="P63" s="86"/>
    </row>
    <row r="64" spans="1:16" x14ac:dyDescent="0.25">
      <c r="A64" s="20">
        <v>3</v>
      </c>
      <c r="B64" s="2" t="s">
        <v>60</v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5"/>
      <c r="P64" s="86"/>
    </row>
    <row r="65" spans="1:16" x14ac:dyDescent="0.25">
      <c r="A65" s="20">
        <v>4</v>
      </c>
      <c r="B65" s="87" t="s">
        <v>61</v>
      </c>
      <c r="C65" s="88">
        <v>0.21144190399873489</v>
      </c>
      <c r="D65" s="89">
        <v>0.51369257414173242</v>
      </c>
      <c r="E65" s="89">
        <v>0.50372575735866731</v>
      </c>
      <c r="F65" s="89">
        <v>0.43926826295310373</v>
      </c>
      <c r="G65" s="89">
        <v>0.46437565416415866</v>
      </c>
      <c r="H65" s="89">
        <v>0.53203806133983556</v>
      </c>
      <c r="I65" s="89">
        <v>0.57467459352887262</v>
      </c>
      <c r="J65" s="89">
        <v>0.64556216127406052</v>
      </c>
      <c r="K65" s="89">
        <v>0.42275957329424768</v>
      </c>
      <c r="L65" s="89">
        <v>0.45882252711025268</v>
      </c>
      <c r="M65" s="89">
        <v>0.5117437935918181</v>
      </c>
      <c r="N65" s="89">
        <v>0.39622576368451945</v>
      </c>
      <c r="O65" s="89">
        <v>0.54465559180331313</v>
      </c>
      <c r="P65" s="90">
        <v>0.37052003405918926</v>
      </c>
    </row>
    <row r="66" spans="1:16" x14ac:dyDescent="0.25">
      <c r="A66" s="20">
        <v>5</v>
      </c>
      <c r="B66" s="91" t="s">
        <v>62</v>
      </c>
      <c r="C66" s="92">
        <v>-0.7892274821040216</v>
      </c>
      <c r="D66" s="93">
        <v>-0.48630742585826764</v>
      </c>
      <c r="E66" s="93">
        <v>-0.49627424264133263</v>
      </c>
      <c r="F66" s="93">
        <v>-0.56073173704689627</v>
      </c>
      <c r="G66" s="93">
        <v>-0.53562434583584129</v>
      </c>
      <c r="H66" s="93">
        <v>-0.4679619386601645</v>
      </c>
      <c r="I66" s="93">
        <v>-0.42532540647112732</v>
      </c>
      <c r="J66" s="93">
        <v>-0.35443783872593948</v>
      </c>
      <c r="K66" s="93">
        <v>-0.57724042670575226</v>
      </c>
      <c r="L66" s="93">
        <v>-0.54117747288974738</v>
      </c>
      <c r="M66" s="93">
        <v>-0.48825620640818196</v>
      </c>
      <c r="N66" s="93">
        <v>-0.60377423631548055</v>
      </c>
      <c r="O66" s="93">
        <v>-0.45534440819668687</v>
      </c>
      <c r="P66" s="90">
        <v>0.37052003405918921</v>
      </c>
    </row>
    <row r="67" spans="1:16" x14ac:dyDescent="0.25">
      <c r="A67" s="20">
        <v>6</v>
      </c>
      <c r="B67" s="91" t="s">
        <v>63</v>
      </c>
      <c r="C67" s="92" t="e">
        <v>#DIV/0!</v>
      </c>
      <c r="D67" s="93" t="e">
        <v>#DIV/0!</v>
      </c>
      <c r="E67" s="93" t="e">
        <v>#DIV/0!</v>
      </c>
      <c r="F67" s="93" t="e">
        <v>#DIV/0!</v>
      </c>
      <c r="G67" s="93" t="e">
        <v>#DIV/0!</v>
      </c>
      <c r="H67" s="93" t="e">
        <v>#DIV/0!</v>
      </c>
      <c r="I67" s="93" t="e">
        <v>#DIV/0!</v>
      </c>
      <c r="J67" s="93" t="e">
        <v>#DIV/0!</v>
      </c>
      <c r="K67" s="93" t="e">
        <v>#DIV/0!</v>
      </c>
      <c r="L67" s="93" t="e">
        <v>#DIV/0!</v>
      </c>
      <c r="M67" s="93" t="e">
        <v>#DIV/0!</v>
      </c>
      <c r="N67" s="93" t="e">
        <v>#DIV/0!</v>
      </c>
      <c r="O67" s="93" t="e">
        <v>#DIV/0!</v>
      </c>
      <c r="P67" s="90" t="e">
        <v>#DIV/0!</v>
      </c>
    </row>
    <row r="68" spans="1:16" x14ac:dyDescent="0.25">
      <c r="A68" s="20">
        <v>7</v>
      </c>
      <c r="B68" s="94" t="s">
        <v>64</v>
      </c>
      <c r="C68" s="92">
        <v>-0.24177557344236822</v>
      </c>
      <c r="D68" s="93">
        <v>-0.23837163142337089</v>
      </c>
      <c r="E68" s="93" t="e">
        <v>#REF!</v>
      </c>
      <c r="F68" s="93">
        <v>-0.27296410569554025</v>
      </c>
      <c r="G68" s="93">
        <v>-0.26922842167688033</v>
      </c>
      <c r="H68" s="93">
        <v>-0.23521831135909996</v>
      </c>
      <c r="I68" s="93">
        <v>-0.2137873096574931</v>
      </c>
      <c r="J68" s="93">
        <v>-0.17815609138124425</v>
      </c>
      <c r="K68" s="93">
        <v>-0.29014649953515864</v>
      </c>
      <c r="L68" s="93">
        <v>-0.27201966827296481</v>
      </c>
      <c r="M68" s="93">
        <v>-0.24541910547416304</v>
      </c>
      <c r="N68" s="93">
        <v>-0.30348356260527415</v>
      </c>
      <c r="O68" s="93">
        <v>-0.2288761840107976</v>
      </c>
      <c r="P68" s="90">
        <v>0</v>
      </c>
    </row>
    <row r="69" spans="1:16" x14ac:dyDescent="0.25">
      <c r="A69" s="20">
        <v>8</v>
      </c>
      <c r="B69" s="95" t="s">
        <v>65</v>
      </c>
      <c r="C69" s="96">
        <v>-9.6445682787916112E-2</v>
      </c>
      <c r="D69" s="97">
        <v>-0.10360021687027755</v>
      </c>
      <c r="E69" s="97">
        <v>-0.10583876952521008</v>
      </c>
      <c r="F69" s="97">
        <v>-0.11958540658268364</v>
      </c>
      <c r="G69" s="97">
        <v>-0.11780092410329332</v>
      </c>
      <c r="H69" s="97">
        <v>-0.10291979677158143</v>
      </c>
      <c r="I69" s="97">
        <v>-9.3542659732392924E-2</v>
      </c>
      <c r="J69" s="97">
        <v>-7.7952216443660766E-2</v>
      </c>
      <c r="K69" s="97">
        <v>-0.12695363126111059</v>
      </c>
      <c r="L69" s="97">
        <v>-0.11902223434376102</v>
      </c>
      <c r="M69" s="97">
        <v>-0.1073831553050429</v>
      </c>
      <c r="N69" s="97">
        <v>-0.13278926460434329</v>
      </c>
      <c r="O69" s="97">
        <v>-0.100144798286067</v>
      </c>
      <c r="P69" s="90">
        <v>1.5672912954469018E-2</v>
      </c>
    </row>
    <row r="70" spans="1:16" x14ac:dyDescent="0.25">
      <c r="A70" s="20">
        <v>9</v>
      </c>
      <c r="B70" s="98" t="s">
        <v>66</v>
      </c>
      <c r="C70" s="96">
        <v>-0.12674866108799548</v>
      </c>
      <c r="D70" s="97">
        <v>0.17172072584808395</v>
      </c>
      <c r="E70" s="97">
        <v>0.15630077847111215</v>
      </c>
      <c r="F70" s="97">
        <v>4.6718750674879794E-2</v>
      </c>
      <c r="G70" s="97">
        <v>7.7346308383985013E-2</v>
      </c>
      <c r="H70" s="97">
        <v>0.19389995320915412</v>
      </c>
      <c r="I70" s="97">
        <v>0.26734462413898663</v>
      </c>
      <c r="J70" s="97">
        <v>0.38945385344915551</v>
      </c>
      <c r="K70" s="97">
        <v>5.6594424979784239E-3</v>
      </c>
      <c r="L70" s="97">
        <v>6.77806244935268E-2</v>
      </c>
      <c r="M70" s="97">
        <v>0.15894153281261209</v>
      </c>
      <c r="N70" s="97">
        <v>-4.0047063525097987E-2</v>
      </c>
      <c r="O70" s="97">
        <v>0.21563460950644853</v>
      </c>
      <c r="P70" s="90">
        <v>9.2043350916013303E-2</v>
      </c>
    </row>
    <row r="71" spans="1:16" x14ac:dyDescent="0.25">
      <c r="A71" s="20">
        <v>10</v>
      </c>
      <c r="B71" s="94" t="s">
        <v>67</v>
      </c>
      <c r="C71" s="99">
        <v>-0.13596988833535453</v>
      </c>
      <c r="D71" s="100">
        <v>8.1192637402307824E-2</v>
      </c>
      <c r="E71" s="100">
        <v>6.4091135971967292E-2</v>
      </c>
      <c r="F71" s="100">
        <v>-5.7169324794240549E-2</v>
      </c>
      <c r="G71" s="100">
        <v>-1.9061626104548649E-2</v>
      </c>
      <c r="H71" s="100">
        <v>0.10989906254810475</v>
      </c>
      <c r="I71" s="100">
        <v>0.19119547081248847</v>
      </c>
      <c r="J71" s="100">
        <v>0.32605949320512351</v>
      </c>
      <c r="K71" s="100">
        <v>-9.7341070691551013E-2</v>
      </c>
      <c r="L71" s="100">
        <v>-2.856789322182561E-2</v>
      </c>
      <c r="M71" s="100">
        <v>7.9371340556162684E-2</v>
      </c>
      <c r="N71" s="100">
        <v>-0.13822707121312511</v>
      </c>
      <c r="O71" s="100">
        <v>0.14174380410652107</v>
      </c>
      <c r="P71" s="101">
        <v>-9.9758478588644936E-2</v>
      </c>
    </row>
    <row r="72" spans="1:16" x14ac:dyDescent="0.25">
      <c r="A72" s="20">
        <v>11</v>
      </c>
      <c r="B72" s="102" t="s">
        <v>68</v>
      </c>
      <c r="C72" s="103">
        <v>2.0109121876297362E-2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5">
        <v>4.0333710162843893E-2</v>
      </c>
    </row>
  </sheetData>
  <mergeCells count="8">
    <mergeCell ref="C1:I1"/>
    <mergeCell ref="J1:P1"/>
    <mergeCell ref="A2:B2"/>
    <mergeCell ref="C2:I2"/>
    <mergeCell ref="J2:P2"/>
    <mergeCell ref="A3:B3"/>
    <mergeCell ref="C3:I3"/>
    <mergeCell ref="J3:P3"/>
  </mergeCells>
  <conditionalFormatting sqref="C9:N9 P9">
    <cfRule type="expression" priority="1">
      <formula>CELL("protect",#REF!)=1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sandman</dc:creator>
  <cp:lastModifiedBy>sandman</cp:lastModifiedBy>
  <dcterms:created xsi:type="dcterms:W3CDTF">2019-04-11T09:43:12Z</dcterms:created>
  <dcterms:modified xsi:type="dcterms:W3CDTF">2019-04-11T09:46:14Z</dcterms:modified>
</cp:coreProperties>
</file>