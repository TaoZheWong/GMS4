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dlnb85\Documents\Kayle Ong\Mr Tham - CEO\Budget 2019\Welding &amp; Safety Division\"/>
    </mc:Choice>
  </mc:AlternateContent>
  <bookViews>
    <workbookView xWindow="0" yWindow="0" windowWidth="20490" windowHeight="7755"/>
  </bookViews>
  <sheets>
    <sheet name="B81B" sheetId="3" r:id="rId1"/>
  </sheets>
  <externalReferences>
    <externalReference r:id="rId2"/>
    <externalReference r:id="rId3"/>
  </externalReferences>
  <definedNames>
    <definedName name="\sa">#REF!</definedName>
    <definedName name="____eng21">#REF!</definedName>
    <definedName name="___eng21">#REF!</definedName>
    <definedName name="__eng21">#REF!</definedName>
    <definedName name="_8.1I" hidden="1">'[1]3.1.1-BJ1'!#REF!</definedName>
    <definedName name="_eng21">#REF!</definedName>
    <definedName name="_Fill" hidden="1">'[1]3.1.1-BJ1'!#REF!</definedName>
    <definedName name="a" hidden="1">'[1]3.1.1-BJ1'!#REF!</definedName>
    <definedName name="aaa" hidden="1">'[1]3.1.1-BJ1'!#REF!</definedName>
    <definedName name="ang">#REF!</definedName>
    <definedName name="as">#REF!</definedName>
    <definedName name="asas">#REF!</definedName>
    <definedName name="asasd">#REF!</definedName>
    <definedName name="asdas">#REF!</definedName>
    <definedName name="asdasdaf">#REF!</definedName>
    <definedName name="assdff" hidden="1">'[1]3.1.1-BJ1'!#REF!</definedName>
    <definedName name="DEPT">#REF!</definedName>
    <definedName name="Excel_BuiltIn__FilterDatabase_11">#REF!</definedName>
    <definedName name="Excel_BuiltIn__FilterDatabase_12">#REF!</definedName>
    <definedName name="f" hidden="1">'[1]3.1.1-BJ1'!#REF!</definedName>
    <definedName name="Henry" hidden="1">'[1]3.1.1-BJ1'!#REF!</definedName>
    <definedName name="i">#REF!</definedName>
    <definedName name="k" hidden="1">'[1]3.1.1-BJ1'!#REF!</definedName>
    <definedName name="kl">#REF!</definedName>
    <definedName name="l">#REF!</definedName>
    <definedName name="_xlnm.Print_Area" localSheetId="0">B81B!$A$1:$S$76</definedName>
    <definedName name="_xlnm.Print_Titles" localSheetId="0">B81B!$1:$4</definedName>
    <definedName name="sad">#REF!</definedName>
    <definedName name="trial">#REF!</definedName>
    <definedName name="trial_12">#REF!</definedName>
    <definedName name="trial_13">#REF!</definedName>
    <definedName name="trial_13_1">#REF!</definedName>
    <definedName name="trial_14">#REF!</definedName>
    <definedName name="trial_15">#REF!</definedName>
    <definedName name="trial_16">#REF!</definedName>
    <definedName name="trial_16_1">#REF!</definedName>
    <definedName name="trial_17">#REF!</definedName>
    <definedName name="trial_18">#REF!</definedName>
    <definedName name="trial_19">#REF!</definedName>
    <definedName name="trial_21">#REF!</definedName>
    <definedName name="trial_6">#REF!</definedName>
    <definedName name="trial_6_1">#REF!</definedName>
    <definedName name="trial_8">#REF!</definedName>
    <definedName name="trial_8_1">#REF!</definedName>
    <definedName name="TRIALBAL">#REF!</definedName>
    <definedName name="TRIALBAL_12">#REF!</definedName>
    <definedName name="TRIALBAL_13">#REF!</definedName>
    <definedName name="TRIALBAL_13_1">#REF!</definedName>
    <definedName name="TRIALBAL_14">#REF!</definedName>
    <definedName name="TRIALBAL_14_1">#REF!</definedName>
    <definedName name="TRIALBAL_15">#REF!</definedName>
    <definedName name="TRIALBAL_15_1">#REF!</definedName>
    <definedName name="TRIALBAL_16">#REF!</definedName>
    <definedName name="TRIALBAL_16_1">#REF!</definedName>
    <definedName name="TRIALBAL_17">#REF!</definedName>
    <definedName name="TRIALBAL_18">#REF!</definedName>
    <definedName name="TRIALBAL_19">#REF!</definedName>
    <definedName name="TRIALBAL_21">#REF!</definedName>
    <definedName name="TRIALBAL_6">#REF!</definedName>
    <definedName name="TRIALBAL_6_1">#REF!</definedName>
    <definedName name="TRIALBAL_8">#REF!</definedName>
    <definedName name="TRIALBAL_8_1">#REF!</definedName>
    <definedName name="u">#REF!</definedName>
    <definedName name="vdfvdf">#REF!</definedName>
    <definedName name="vsfvsdfv">#REF!</definedName>
    <definedName name="y" hidden="1">'[1]3.1.1-BJ1'!#REF!</definedName>
    <definedName name="yyyy" hidden="1">'[1]3.1.1-BJ1'!#REF!</definedName>
  </definedNames>
  <calcPr calcId="152511"/>
  <fileRecoveryPr repairLoad="1"/>
</workbook>
</file>

<file path=xl/calcChain.xml><?xml version="1.0" encoding="utf-8"?>
<calcChain xmlns="http://schemas.openxmlformats.org/spreadsheetml/2006/main">
  <c r="Q23" i="3" l="1"/>
  <c r="P65" i="3"/>
  <c r="P62" i="3"/>
  <c r="P61" i="3"/>
  <c r="P60" i="3"/>
  <c r="P59" i="3"/>
  <c r="P58" i="3"/>
  <c r="P57" i="3"/>
  <c r="P53" i="3"/>
  <c r="P52" i="3"/>
  <c r="P51" i="3"/>
  <c r="P50" i="3"/>
  <c r="P49" i="3"/>
  <c r="P48" i="3"/>
  <c r="P46" i="3"/>
  <c r="P45" i="3"/>
  <c r="P44" i="3"/>
  <c r="P43" i="3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P5" i="3"/>
  <c r="O23" i="3"/>
  <c r="N65" i="3"/>
  <c r="M65" i="3"/>
  <c r="L65" i="3"/>
  <c r="K65" i="3"/>
  <c r="J65" i="3"/>
  <c r="I65" i="3"/>
  <c r="H65" i="3"/>
  <c r="G65" i="3"/>
  <c r="F65" i="3"/>
  <c r="E65" i="3"/>
  <c r="D65" i="3"/>
  <c r="N62" i="3"/>
  <c r="M62" i="3"/>
  <c r="L62" i="3"/>
  <c r="K62" i="3"/>
  <c r="J62" i="3"/>
  <c r="I62" i="3"/>
  <c r="H62" i="3"/>
  <c r="G62" i="3"/>
  <c r="F62" i="3"/>
  <c r="E62" i="3"/>
  <c r="D62" i="3"/>
  <c r="N61" i="3"/>
  <c r="M61" i="3"/>
  <c r="L61" i="3"/>
  <c r="K61" i="3"/>
  <c r="J61" i="3"/>
  <c r="I61" i="3"/>
  <c r="H61" i="3"/>
  <c r="G61" i="3"/>
  <c r="F61" i="3"/>
  <c r="E61" i="3"/>
  <c r="D61" i="3"/>
  <c r="N60" i="3"/>
  <c r="M60" i="3"/>
  <c r="L60" i="3"/>
  <c r="K60" i="3"/>
  <c r="J60" i="3"/>
  <c r="I60" i="3"/>
  <c r="H60" i="3"/>
  <c r="G60" i="3"/>
  <c r="F60" i="3"/>
  <c r="E60" i="3"/>
  <c r="D60" i="3"/>
  <c r="N59" i="3"/>
  <c r="M59" i="3"/>
  <c r="L59" i="3"/>
  <c r="K59" i="3"/>
  <c r="J59" i="3"/>
  <c r="I59" i="3"/>
  <c r="H59" i="3"/>
  <c r="G59" i="3"/>
  <c r="F59" i="3"/>
  <c r="E59" i="3"/>
  <c r="D59" i="3"/>
  <c r="N58" i="3"/>
  <c r="M58" i="3"/>
  <c r="L58" i="3"/>
  <c r="K58" i="3"/>
  <c r="J58" i="3"/>
  <c r="I58" i="3"/>
  <c r="H58" i="3"/>
  <c r="G58" i="3"/>
  <c r="F58" i="3"/>
  <c r="E58" i="3"/>
  <c r="D58" i="3"/>
  <c r="N57" i="3"/>
  <c r="M57" i="3"/>
  <c r="L57" i="3"/>
  <c r="K57" i="3"/>
  <c r="J57" i="3"/>
  <c r="I57" i="3"/>
  <c r="H57" i="3"/>
  <c r="G57" i="3"/>
  <c r="F57" i="3"/>
  <c r="E57" i="3"/>
  <c r="D57" i="3"/>
  <c r="N53" i="3"/>
  <c r="M53" i="3"/>
  <c r="L53" i="3"/>
  <c r="K53" i="3"/>
  <c r="J53" i="3"/>
  <c r="I53" i="3"/>
  <c r="H53" i="3"/>
  <c r="G53" i="3"/>
  <c r="F53" i="3"/>
  <c r="E53" i="3"/>
  <c r="D53" i="3"/>
  <c r="N52" i="3"/>
  <c r="M52" i="3"/>
  <c r="L52" i="3"/>
  <c r="K52" i="3"/>
  <c r="J52" i="3"/>
  <c r="I52" i="3"/>
  <c r="H52" i="3"/>
  <c r="G52" i="3"/>
  <c r="F52" i="3"/>
  <c r="E52" i="3"/>
  <c r="D52" i="3"/>
  <c r="N51" i="3"/>
  <c r="M51" i="3"/>
  <c r="L51" i="3"/>
  <c r="K51" i="3"/>
  <c r="J51" i="3"/>
  <c r="I51" i="3"/>
  <c r="H51" i="3"/>
  <c r="G51" i="3"/>
  <c r="F51" i="3"/>
  <c r="E51" i="3"/>
  <c r="D51" i="3"/>
  <c r="N50" i="3"/>
  <c r="M50" i="3"/>
  <c r="L50" i="3"/>
  <c r="K50" i="3"/>
  <c r="J50" i="3"/>
  <c r="I50" i="3"/>
  <c r="H50" i="3"/>
  <c r="G50" i="3"/>
  <c r="F50" i="3"/>
  <c r="E50" i="3"/>
  <c r="D50" i="3"/>
  <c r="N49" i="3"/>
  <c r="M49" i="3"/>
  <c r="L49" i="3"/>
  <c r="K49" i="3"/>
  <c r="J49" i="3"/>
  <c r="I49" i="3"/>
  <c r="H49" i="3"/>
  <c r="G49" i="3"/>
  <c r="F49" i="3"/>
  <c r="E49" i="3"/>
  <c r="D49" i="3"/>
  <c r="N48" i="3"/>
  <c r="M48" i="3"/>
  <c r="L48" i="3"/>
  <c r="K48" i="3"/>
  <c r="J48" i="3"/>
  <c r="I48" i="3"/>
  <c r="H48" i="3"/>
  <c r="G48" i="3"/>
  <c r="F48" i="3"/>
  <c r="E48" i="3"/>
  <c r="D48" i="3"/>
  <c r="C65" i="3"/>
  <c r="C62" i="3"/>
  <c r="C61" i="3"/>
  <c r="C60" i="3"/>
  <c r="C59" i="3"/>
  <c r="C58" i="3"/>
  <c r="C57" i="3"/>
  <c r="N41" i="3"/>
  <c r="M41" i="3"/>
  <c r="L41" i="3"/>
  <c r="K41" i="3"/>
  <c r="J41" i="3"/>
  <c r="I41" i="3"/>
  <c r="H41" i="3"/>
  <c r="G41" i="3"/>
  <c r="F41" i="3"/>
  <c r="E41" i="3"/>
  <c r="D41" i="3"/>
  <c r="C41" i="3"/>
  <c r="C53" i="3"/>
  <c r="C52" i="3"/>
  <c r="C51" i="3"/>
  <c r="C50" i="3"/>
  <c r="C49" i="3"/>
  <c r="C48" i="3"/>
  <c r="N46" i="3"/>
  <c r="M46" i="3"/>
  <c r="L46" i="3"/>
  <c r="K46" i="3"/>
  <c r="J46" i="3"/>
  <c r="I46" i="3"/>
  <c r="H46" i="3"/>
  <c r="G46" i="3"/>
  <c r="F46" i="3"/>
  <c r="E46" i="3"/>
  <c r="D46" i="3"/>
  <c r="N45" i="3"/>
  <c r="M45" i="3"/>
  <c r="L45" i="3"/>
  <c r="K45" i="3"/>
  <c r="J45" i="3"/>
  <c r="I45" i="3"/>
  <c r="H45" i="3"/>
  <c r="G45" i="3"/>
  <c r="F45" i="3"/>
  <c r="E45" i="3"/>
  <c r="D45" i="3"/>
  <c r="N44" i="3"/>
  <c r="M44" i="3"/>
  <c r="L44" i="3"/>
  <c r="K44" i="3"/>
  <c r="J44" i="3"/>
  <c r="I44" i="3"/>
  <c r="H44" i="3"/>
  <c r="G44" i="3"/>
  <c r="F44" i="3"/>
  <c r="E44" i="3"/>
  <c r="D44" i="3"/>
  <c r="N43" i="3"/>
  <c r="M43" i="3"/>
  <c r="L43" i="3"/>
  <c r="K43" i="3"/>
  <c r="J43" i="3"/>
  <c r="I43" i="3"/>
  <c r="H43" i="3"/>
  <c r="G43" i="3"/>
  <c r="F43" i="3"/>
  <c r="E43" i="3"/>
  <c r="D43" i="3"/>
  <c r="N42" i="3"/>
  <c r="M42" i="3"/>
  <c r="L42" i="3"/>
  <c r="K42" i="3"/>
  <c r="J42" i="3"/>
  <c r="I42" i="3"/>
  <c r="H42" i="3"/>
  <c r="G42" i="3"/>
  <c r="F42" i="3"/>
  <c r="E42" i="3"/>
  <c r="D42" i="3"/>
  <c r="C46" i="3"/>
  <c r="C45" i="3"/>
  <c r="C44" i="3"/>
  <c r="C43" i="3"/>
  <c r="C42" i="3"/>
  <c r="N40" i="3"/>
  <c r="M40" i="3"/>
  <c r="L40" i="3"/>
  <c r="K40" i="3"/>
  <c r="J40" i="3"/>
  <c r="I40" i="3"/>
  <c r="H40" i="3"/>
  <c r="G40" i="3"/>
  <c r="F40" i="3"/>
  <c r="E40" i="3"/>
  <c r="D40" i="3"/>
  <c r="C40" i="3"/>
  <c r="O40" i="3" s="1"/>
  <c r="Q40" i="3" s="1"/>
  <c r="N39" i="3"/>
  <c r="M39" i="3"/>
  <c r="L39" i="3"/>
  <c r="K39" i="3"/>
  <c r="J39" i="3"/>
  <c r="I39" i="3"/>
  <c r="H39" i="3"/>
  <c r="G39" i="3"/>
  <c r="F39" i="3"/>
  <c r="E39" i="3"/>
  <c r="D39" i="3"/>
  <c r="C39" i="3"/>
  <c r="N38" i="3"/>
  <c r="M38" i="3"/>
  <c r="L38" i="3"/>
  <c r="K38" i="3"/>
  <c r="J38" i="3"/>
  <c r="I38" i="3"/>
  <c r="H38" i="3"/>
  <c r="G38" i="3"/>
  <c r="F38" i="3"/>
  <c r="E38" i="3"/>
  <c r="D38" i="3"/>
  <c r="C38" i="3"/>
  <c r="N37" i="3"/>
  <c r="M37" i="3"/>
  <c r="L37" i="3"/>
  <c r="K37" i="3"/>
  <c r="J37" i="3"/>
  <c r="I37" i="3"/>
  <c r="H37" i="3"/>
  <c r="G37" i="3"/>
  <c r="F37" i="3"/>
  <c r="E37" i="3"/>
  <c r="D37" i="3"/>
  <c r="C37" i="3"/>
  <c r="N36" i="3"/>
  <c r="M36" i="3"/>
  <c r="L36" i="3"/>
  <c r="K36" i="3"/>
  <c r="J36" i="3"/>
  <c r="I36" i="3"/>
  <c r="H36" i="3"/>
  <c r="G36" i="3"/>
  <c r="F36" i="3"/>
  <c r="E36" i="3"/>
  <c r="D36" i="3"/>
  <c r="C36" i="3"/>
  <c r="O36" i="3" s="1"/>
  <c r="Q36" i="3" s="1"/>
  <c r="N35" i="3"/>
  <c r="M35" i="3"/>
  <c r="L35" i="3"/>
  <c r="K35" i="3"/>
  <c r="J35" i="3"/>
  <c r="I35" i="3"/>
  <c r="H35" i="3"/>
  <c r="G35" i="3"/>
  <c r="F35" i="3"/>
  <c r="E35" i="3"/>
  <c r="D35" i="3"/>
  <c r="C35" i="3"/>
  <c r="N34" i="3"/>
  <c r="M34" i="3"/>
  <c r="L34" i="3"/>
  <c r="K34" i="3"/>
  <c r="J34" i="3"/>
  <c r="I34" i="3"/>
  <c r="H34" i="3"/>
  <c r="G34" i="3"/>
  <c r="F34" i="3"/>
  <c r="E34" i="3"/>
  <c r="D34" i="3"/>
  <c r="C34" i="3"/>
  <c r="N33" i="3"/>
  <c r="M33" i="3"/>
  <c r="L33" i="3"/>
  <c r="K33" i="3"/>
  <c r="J33" i="3"/>
  <c r="I33" i="3"/>
  <c r="H33" i="3"/>
  <c r="G33" i="3"/>
  <c r="F33" i="3"/>
  <c r="E33" i="3"/>
  <c r="D33" i="3"/>
  <c r="C33" i="3"/>
  <c r="N31" i="3"/>
  <c r="M31" i="3"/>
  <c r="L31" i="3"/>
  <c r="K31" i="3"/>
  <c r="J31" i="3"/>
  <c r="I31" i="3"/>
  <c r="H31" i="3"/>
  <c r="G31" i="3"/>
  <c r="F31" i="3"/>
  <c r="E31" i="3"/>
  <c r="D31" i="3"/>
  <c r="C31" i="3"/>
  <c r="N30" i="3"/>
  <c r="M30" i="3"/>
  <c r="L30" i="3"/>
  <c r="K30" i="3"/>
  <c r="J30" i="3"/>
  <c r="I30" i="3"/>
  <c r="H30" i="3"/>
  <c r="G30" i="3"/>
  <c r="F30" i="3"/>
  <c r="E30" i="3"/>
  <c r="D30" i="3"/>
  <c r="C30" i="3"/>
  <c r="N29" i="3"/>
  <c r="M29" i="3"/>
  <c r="L29" i="3"/>
  <c r="K29" i="3"/>
  <c r="J29" i="3"/>
  <c r="I29" i="3"/>
  <c r="H29" i="3"/>
  <c r="G29" i="3"/>
  <c r="F29" i="3"/>
  <c r="E29" i="3"/>
  <c r="D29" i="3"/>
  <c r="C29" i="3"/>
  <c r="N28" i="3"/>
  <c r="M28" i="3"/>
  <c r="L28" i="3"/>
  <c r="K28" i="3"/>
  <c r="J28" i="3"/>
  <c r="I28" i="3"/>
  <c r="H28" i="3"/>
  <c r="G28" i="3"/>
  <c r="F28" i="3"/>
  <c r="E28" i="3"/>
  <c r="D28" i="3"/>
  <c r="C28" i="3"/>
  <c r="N27" i="3"/>
  <c r="M27" i="3"/>
  <c r="L27" i="3"/>
  <c r="K27" i="3"/>
  <c r="J27" i="3"/>
  <c r="I27" i="3"/>
  <c r="H27" i="3"/>
  <c r="G27" i="3"/>
  <c r="F27" i="3"/>
  <c r="E27" i="3"/>
  <c r="D27" i="3"/>
  <c r="C27" i="3"/>
  <c r="N26" i="3"/>
  <c r="M26" i="3"/>
  <c r="L26" i="3"/>
  <c r="K26" i="3"/>
  <c r="J26" i="3"/>
  <c r="I26" i="3"/>
  <c r="H26" i="3"/>
  <c r="G26" i="3"/>
  <c r="F26" i="3"/>
  <c r="E26" i="3"/>
  <c r="D26" i="3"/>
  <c r="C26" i="3"/>
  <c r="N25" i="3"/>
  <c r="M25" i="3"/>
  <c r="L25" i="3"/>
  <c r="K25" i="3"/>
  <c r="J25" i="3"/>
  <c r="I25" i="3"/>
  <c r="H25" i="3"/>
  <c r="G25" i="3"/>
  <c r="F25" i="3"/>
  <c r="E25" i="3"/>
  <c r="D25" i="3"/>
  <c r="C25" i="3"/>
  <c r="N24" i="3"/>
  <c r="M24" i="3"/>
  <c r="L24" i="3"/>
  <c r="K24" i="3"/>
  <c r="J24" i="3"/>
  <c r="I24" i="3"/>
  <c r="H24" i="3"/>
  <c r="G24" i="3"/>
  <c r="F24" i="3"/>
  <c r="E24" i="3"/>
  <c r="D24" i="3"/>
  <c r="C24" i="3"/>
  <c r="N22" i="3"/>
  <c r="M22" i="3"/>
  <c r="L22" i="3"/>
  <c r="K22" i="3"/>
  <c r="J22" i="3"/>
  <c r="I22" i="3"/>
  <c r="H22" i="3"/>
  <c r="G22" i="3"/>
  <c r="F22" i="3"/>
  <c r="E22" i="3"/>
  <c r="D22" i="3"/>
  <c r="C22" i="3"/>
  <c r="N21" i="3"/>
  <c r="M21" i="3"/>
  <c r="L21" i="3"/>
  <c r="K21" i="3"/>
  <c r="J21" i="3"/>
  <c r="I21" i="3"/>
  <c r="H21" i="3"/>
  <c r="G21" i="3"/>
  <c r="F21" i="3"/>
  <c r="E21" i="3"/>
  <c r="D21" i="3"/>
  <c r="C21" i="3"/>
  <c r="N20" i="3"/>
  <c r="M20" i="3"/>
  <c r="L20" i="3"/>
  <c r="K20" i="3"/>
  <c r="J20" i="3"/>
  <c r="I20" i="3"/>
  <c r="H20" i="3"/>
  <c r="G20" i="3"/>
  <c r="F20" i="3"/>
  <c r="E20" i="3"/>
  <c r="D20" i="3"/>
  <c r="C20" i="3"/>
  <c r="N19" i="3"/>
  <c r="M19" i="3"/>
  <c r="L19" i="3"/>
  <c r="K19" i="3"/>
  <c r="J19" i="3"/>
  <c r="I19" i="3"/>
  <c r="H19" i="3"/>
  <c r="G19" i="3"/>
  <c r="F19" i="3"/>
  <c r="E19" i="3"/>
  <c r="D19" i="3"/>
  <c r="C19" i="3"/>
  <c r="N18" i="3"/>
  <c r="M18" i="3"/>
  <c r="L18" i="3"/>
  <c r="K18" i="3"/>
  <c r="J18" i="3"/>
  <c r="I18" i="3"/>
  <c r="H18" i="3"/>
  <c r="G18" i="3"/>
  <c r="F18" i="3"/>
  <c r="E18" i="3"/>
  <c r="D18" i="3"/>
  <c r="C18" i="3"/>
  <c r="N17" i="3"/>
  <c r="N32" i="3" s="1"/>
  <c r="M17" i="3"/>
  <c r="M32" i="3" s="1"/>
  <c r="L17" i="3"/>
  <c r="L32" i="3" s="1"/>
  <c r="K17" i="3"/>
  <c r="K32" i="3" s="1"/>
  <c r="J17" i="3"/>
  <c r="J32" i="3" s="1"/>
  <c r="I17" i="3"/>
  <c r="I32" i="3" s="1"/>
  <c r="H17" i="3"/>
  <c r="H32" i="3" s="1"/>
  <c r="G17" i="3"/>
  <c r="G32" i="3" s="1"/>
  <c r="F17" i="3"/>
  <c r="F32" i="3" s="1"/>
  <c r="E17" i="3"/>
  <c r="E32" i="3" s="1"/>
  <c r="D17" i="3"/>
  <c r="D32" i="3" s="1"/>
  <c r="C17" i="3"/>
  <c r="N15" i="3"/>
  <c r="M15" i="3"/>
  <c r="L15" i="3"/>
  <c r="K15" i="3"/>
  <c r="J15" i="3"/>
  <c r="I15" i="3"/>
  <c r="H15" i="3"/>
  <c r="G15" i="3"/>
  <c r="F15" i="3"/>
  <c r="E15" i="3"/>
  <c r="D15" i="3"/>
  <c r="C15" i="3"/>
  <c r="N14" i="3"/>
  <c r="M14" i="3"/>
  <c r="L14" i="3"/>
  <c r="K14" i="3"/>
  <c r="J14" i="3"/>
  <c r="I14" i="3"/>
  <c r="H14" i="3"/>
  <c r="G14" i="3"/>
  <c r="F14" i="3"/>
  <c r="E14" i="3"/>
  <c r="D14" i="3"/>
  <c r="C14" i="3"/>
  <c r="N13" i="3"/>
  <c r="M13" i="3"/>
  <c r="L13" i="3"/>
  <c r="K13" i="3"/>
  <c r="J13" i="3"/>
  <c r="I13" i="3"/>
  <c r="H13" i="3"/>
  <c r="G13" i="3"/>
  <c r="F13" i="3"/>
  <c r="E13" i="3"/>
  <c r="D13" i="3"/>
  <c r="C13" i="3"/>
  <c r="N12" i="3"/>
  <c r="N16" i="3" s="1"/>
  <c r="M12" i="3"/>
  <c r="M16" i="3" s="1"/>
  <c r="L12" i="3"/>
  <c r="L16" i="3" s="1"/>
  <c r="K12" i="3"/>
  <c r="K16" i="3" s="1"/>
  <c r="J12" i="3"/>
  <c r="J16" i="3" s="1"/>
  <c r="I12" i="3"/>
  <c r="I16" i="3" s="1"/>
  <c r="H12" i="3"/>
  <c r="H16" i="3" s="1"/>
  <c r="G12" i="3"/>
  <c r="G16" i="3" s="1"/>
  <c r="F12" i="3"/>
  <c r="F16" i="3" s="1"/>
  <c r="E12" i="3"/>
  <c r="E16" i="3" s="1"/>
  <c r="D12" i="3"/>
  <c r="D16" i="3" s="1"/>
  <c r="C12" i="3"/>
  <c r="C16" i="3" s="1"/>
  <c r="N9" i="3"/>
  <c r="M9" i="3"/>
  <c r="L9" i="3"/>
  <c r="K9" i="3"/>
  <c r="J9" i="3"/>
  <c r="I9" i="3"/>
  <c r="H9" i="3"/>
  <c r="G9" i="3"/>
  <c r="F9" i="3"/>
  <c r="E9" i="3"/>
  <c r="D9" i="3"/>
  <c r="C9" i="3"/>
  <c r="N8" i="3"/>
  <c r="N10" i="3" s="1"/>
  <c r="M8" i="3"/>
  <c r="M10" i="3" s="1"/>
  <c r="L8" i="3"/>
  <c r="L10" i="3" s="1"/>
  <c r="K8" i="3"/>
  <c r="K10" i="3" s="1"/>
  <c r="J8" i="3"/>
  <c r="J10" i="3" s="1"/>
  <c r="I8" i="3"/>
  <c r="I10" i="3" s="1"/>
  <c r="H8" i="3"/>
  <c r="H10" i="3" s="1"/>
  <c r="G8" i="3"/>
  <c r="G10" i="3" s="1"/>
  <c r="F8" i="3"/>
  <c r="F10" i="3" s="1"/>
  <c r="E8" i="3"/>
  <c r="E10" i="3" s="1"/>
  <c r="D8" i="3"/>
  <c r="D10" i="3" s="1"/>
  <c r="C8" i="3"/>
  <c r="N6" i="3"/>
  <c r="N71" i="3" s="1"/>
  <c r="M6" i="3"/>
  <c r="M71" i="3" s="1"/>
  <c r="L6" i="3"/>
  <c r="L71" i="3" s="1"/>
  <c r="K6" i="3"/>
  <c r="K71" i="3" s="1"/>
  <c r="J6" i="3"/>
  <c r="J71" i="3" s="1"/>
  <c r="I6" i="3"/>
  <c r="I71" i="3" s="1"/>
  <c r="H6" i="3"/>
  <c r="H71" i="3" s="1"/>
  <c r="G6" i="3"/>
  <c r="G71" i="3" s="1"/>
  <c r="F6" i="3"/>
  <c r="F71" i="3" s="1"/>
  <c r="E6" i="3"/>
  <c r="E71" i="3" s="1"/>
  <c r="D6" i="3"/>
  <c r="C6" i="3"/>
  <c r="N5" i="3"/>
  <c r="N70" i="3" s="1"/>
  <c r="M5" i="3"/>
  <c r="M70" i="3" s="1"/>
  <c r="L5" i="3"/>
  <c r="K5" i="3"/>
  <c r="K7" i="3" s="1"/>
  <c r="K11" i="3" s="1"/>
  <c r="K69" i="3" s="1"/>
  <c r="J5" i="3"/>
  <c r="J70" i="3" s="1"/>
  <c r="I5" i="3"/>
  <c r="I7" i="3" s="1"/>
  <c r="H5" i="3"/>
  <c r="G5" i="3"/>
  <c r="G7" i="3" s="1"/>
  <c r="G11" i="3" s="1"/>
  <c r="G69" i="3" s="1"/>
  <c r="F5" i="3"/>
  <c r="F70" i="3" s="1"/>
  <c r="E5" i="3"/>
  <c r="E70" i="3" s="1"/>
  <c r="D5" i="3"/>
  <c r="C5" i="3"/>
  <c r="C71" i="3" l="1"/>
  <c r="O49" i="3"/>
  <c r="Q49" i="3" s="1"/>
  <c r="O53" i="3"/>
  <c r="Q53" i="3" s="1"/>
  <c r="E47" i="3"/>
  <c r="I47" i="3"/>
  <c r="M47" i="3"/>
  <c r="O44" i="3"/>
  <c r="Q44" i="3" s="1"/>
  <c r="O50" i="3"/>
  <c r="Q50" i="3" s="1"/>
  <c r="O57" i="3"/>
  <c r="Q57" i="3" s="1"/>
  <c r="O61" i="3"/>
  <c r="Q61" i="3" s="1"/>
  <c r="P54" i="3"/>
  <c r="F54" i="3"/>
  <c r="J54" i="3"/>
  <c r="N54" i="3"/>
  <c r="P69" i="3"/>
  <c r="C47" i="3"/>
  <c r="C55" i="3" s="1"/>
  <c r="O35" i="3"/>
  <c r="Q35" i="3" s="1"/>
  <c r="O37" i="3"/>
  <c r="Q37" i="3" s="1"/>
  <c r="O39" i="3"/>
  <c r="Q39" i="3" s="1"/>
  <c r="C54" i="3"/>
  <c r="O52" i="3"/>
  <c r="Q52" i="3" s="1"/>
  <c r="O59" i="3"/>
  <c r="Q59" i="3" s="1"/>
  <c r="O65" i="3"/>
  <c r="Q65" i="3" s="1"/>
  <c r="F63" i="3"/>
  <c r="J63" i="3"/>
  <c r="N63" i="3"/>
  <c r="P71" i="3"/>
  <c r="O14" i="3"/>
  <c r="Q14" i="3" s="1"/>
  <c r="O18" i="3"/>
  <c r="Q18" i="3" s="1"/>
  <c r="O22" i="3"/>
  <c r="Q22" i="3" s="1"/>
  <c r="O24" i="3"/>
  <c r="Q24" i="3" s="1"/>
  <c r="O28" i="3"/>
  <c r="Q28" i="3" s="1"/>
  <c r="O34" i="3"/>
  <c r="Q34" i="3" s="1"/>
  <c r="O38" i="3"/>
  <c r="Q38" i="3" s="1"/>
  <c r="O43" i="3"/>
  <c r="Q43" i="3" s="1"/>
  <c r="O42" i="3"/>
  <c r="Q42" i="3" s="1"/>
  <c r="O46" i="3"/>
  <c r="Q46" i="3" s="1"/>
  <c r="O60" i="3"/>
  <c r="Q60" i="3" s="1"/>
  <c r="P72" i="3"/>
  <c r="G70" i="3"/>
  <c r="O45" i="3"/>
  <c r="Q45" i="3" s="1"/>
  <c r="G47" i="3"/>
  <c r="K47" i="3"/>
  <c r="O51" i="3"/>
  <c r="Q51" i="3" s="1"/>
  <c r="O58" i="3"/>
  <c r="Q58" i="3" s="1"/>
  <c r="O62" i="3"/>
  <c r="Q62" i="3" s="1"/>
  <c r="P70" i="3"/>
  <c r="K70" i="3"/>
  <c r="D70" i="3"/>
  <c r="D7" i="3"/>
  <c r="D11" i="3" s="1"/>
  <c r="D69" i="3" s="1"/>
  <c r="L70" i="3"/>
  <c r="L7" i="3"/>
  <c r="L11" i="3" s="1"/>
  <c r="L69" i="3" s="1"/>
  <c r="O6" i="3"/>
  <c r="D71" i="3"/>
  <c r="D72" i="3"/>
  <c r="L72" i="3"/>
  <c r="J7" i="3"/>
  <c r="J11" i="3" s="1"/>
  <c r="J69" i="3" s="1"/>
  <c r="I11" i="3"/>
  <c r="I69" i="3" s="1"/>
  <c r="I72" i="3"/>
  <c r="N7" i="3"/>
  <c r="N11" i="3" s="1"/>
  <c r="N69" i="3" s="1"/>
  <c r="H70" i="3"/>
  <c r="H7" i="3"/>
  <c r="H11" i="3" s="1"/>
  <c r="H69" i="3" s="1"/>
  <c r="J72" i="3"/>
  <c r="O8" i="3"/>
  <c r="Q8" i="3" s="1"/>
  <c r="O16" i="3"/>
  <c r="Q16" i="3" s="1"/>
  <c r="G72" i="3"/>
  <c r="K72" i="3"/>
  <c r="O20" i="3"/>
  <c r="Q20" i="3" s="1"/>
  <c r="O26" i="3"/>
  <c r="Q26" i="3" s="1"/>
  <c r="O30" i="3"/>
  <c r="Q30" i="3" s="1"/>
  <c r="F7" i="3"/>
  <c r="F11" i="3" s="1"/>
  <c r="F69" i="3" s="1"/>
  <c r="O48" i="3"/>
  <c r="Q48" i="3" s="1"/>
  <c r="C70" i="3"/>
  <c r="O5" i="3"/>
  <c r="O9" i="3"/>
  <c r="Q9" i="3" s="1"/>
  <c r="O13" i="3"/>
  <c r="Q13" i="3" s="1"/>
  <c r="O15" i="3"/>
  <c r="Q15" i="3" s="1"/>
  <c r="C32" i="3"/>
  <c r="O17" i="3"/>
  <c r="Q17" i="3" s="1"/>
  <c r="O19" i="3"/>
  <c r="Q19" i="3" s="1"/>
  <c r="O21" i="3"/>
  <c r="Q21" i="3" s="1"/>
  <c r="O25" i="3"/>
  <c r="Q25" i="3" s="1"/>
  <c r="O27" i="3"/>
  <c r="Q27" i="3" s="1"/>
  <c r="O29" i="3"/>
  <c r="Q29" i="3" s="1"/>
  <c r="O31" i="3"/>
  <c r="Q31" i="3" s="1"/>
  <c r="C7" i="3"/>
  <c r="C10" i="3"/>
  <c r="O10" i="3" s="1"/>
  <c r="Q10" i="3" s="1"/>
  <c r="D47" i="3"/>
  <c r="H47" i="3"/>
  <c r="L47" i="3"/>
  <c r="D54" i="3"/>
  <c r="H54" i="3"/>
  <c r="L54" i="3"/>
  <c r="O12" i="3"/>
  <c r="Q12" i="3" s="1"/>
  <c r="I70" i="3"/>
  <c r="E7" i="3"/>
  <c r="M7" i="3"/>
  <c r="F47" i="3"/>
  <c r="J47" i="3"/>
  <c r="J55" i="3" s="1"/>
  <c r="N47" i="3"/>
  <c r="N55" i="3" s="1"/>
  <c r="O41" i="3"/>
  <c r="Q41" i="3" s="1"/>
  <c r="D63" i="3"/>
  <c r="H63" i="3"/>
  <c r="L63" i="3"/>
  <c r="P47" i="3"/>
  <c r="P55" i="3" s="1"/>
  <c r="C63" i="3"/>
  <c r="O33" i="3"/>
  <c r="Q33" i="3" s="1"/>
  <c r="E54" i="3"/>
  <c r="I54" i="3"/>
  <c r="I55" i="3" s="1"/>
  <c r="M54" i="3"/>
  <c r="M55" i="3" s="1"/>
  <c r="G54" i="3"/>
  <c r="G55" i="3" s="1"/>
  <c r="K54" i="3"/>
  <c r="G63" i="3"/>
  <c r="K63" i="3"/>
  <c r="E63" i="3"/>
  <c r="I63" i="3"/>
  <c r="M63" i="3"/>
  <c r="P63" i="3"/>
  <c r="E55" i="3"/>
  <c r="A5" i="3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F55" i="3" l="1"/>
  <c r="H55" i="3"/>
  <c r="O54" i="3"/>
  <c r="Q54" i="3" s="1"/>
  <c r="K55" i="3"/>
  <c r="K56" i="3" s="1"/>
  <c r="G56" i="3"/>
  <c r="G73" i="3"/>
  <c r="I56" i="3"/>
  <c r="I73" i="3"/>
  <c r="E73" i="3"/>
  <c r="M73" i="3"/>
  <c r="P56" i="3"/>
  <c r="P74" i="3" s="1"/>
  <c r="P73" i="3"/>
  <c r="M11" i="3"/>
  <c r="M69" i="3" s="1"/>
  <c r="M72" i="3"/>
  <c r="H56" i="3"/>
  <c r="H73" i="3"/>
  <c r="E11" i="3"/>
  <c r="E69" i="3" s="1"/>
  <c r="E72" i="3"/>
  <c r="D55" i="3"/>
  <c r="N72" i="3"/>
  <c r="N56" i="3"/>
  <c r="N73" i="3"/>
  <c r="J56" i="3"/>
  <c r="J73" i="3"/>
  <c r="O47" i="3"/>
  <c r="Q47" i="3" s="1"/>
  <c r="Q6" i="3"/>
  <c r="O71" i="3"/>
  <c r="Q71" i="3" s="1"/>
  <c r="C73" i="3"/>
  <c r="O63" i="3"/>
  <c r="Q63" i="3" s="1"/>
  <c r="F56" i="3"/>
  <c r="F73" i="3"/>
  <c r="L55" i="3"/>
  <c r="O7" i="3"/>
  <c r="Q7" i="3" s="1"/>
  <c r="C11" i="3"/>
  <c r="C56" i="3" s="1"/>
  <c r="C72" i="3"/>
  <c r="O32" i="3"/>
  <c r="Q5" i="3"/>
  <c r="O70" i="3"/>
  <c r="Q70" i="3" s="1"/>
  <c r="F72" i="3"/>
  <c r="H72" i="3"/>
  <c r="A23" i="3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D68" i="3"/>
  <c r="K73" i="3" l="1"/>
  <c r="P64" i="3"/>
  <c r="C64" i="3"/>
  <c r="C74" i="3"/>
  <c r="Q32" i="3"/>
  <c r="O72" i="3"/>
  <c r="Q72" i="3" s="1"/>
  <c r="L56" i="3"/>
  <c r="L73" i="3"/>
  <c r="P66" i="3"/>
  <c r="P76" i="3" s="1"/>
  <c r="P75" i="3"/>
  <c r="J64" i="3"/>
  <c r="J74" i="3"/>
  <c r="D56" i="3"/>
  <c r="D73" i="3"/>
  <c r="H74" i="3"/>
  <c r="H64" i="3"/>
  <c r="E56" i="3"/>
  <c r="K64" i="3"/>
  <c r="K74" i="3"/>
  <c r="O11" i="3"/>
  <c r="C69" i="3"/>
  <c r="F64" i="3"/>
  <c r="F74" i="3"/>
  <c r="O55" i="3"/>
  <c r="N64" i="3"/>
  <c r="N74" i="3"/>
  <c r="M56" i="3"/>
  <c r="I64" i="3"/>
  <c r="I74" i="3"/>
  <c r="G64" i="3"/>
  <c r="G74" i="3"/>
  <c r="N66" i="3" l="1"/>
  <c r="N76" i="3" s="1"/>
  <c r="N75" i="3"/>
  <c r="E64" i="3"/>
  <c r="E74" i="3"/>
  <c r="D74" i="3"/>
  <c r="D64" i="3"/>
  <c r="I66" i="3"/>
  <c r="I76" i="3" s="1"/>
  <c r="I75" i="3"/>
  <c r="O73" i="3"/>
  <c r="Q73" i="3" s="1"/>
  <c r="Q55" i="3"/>
  <c r="O69" i="3"/>
  <c r="Q69" i="3" s="1"/>
  <c r="Q11" i="3"/>
  <c r="H66" i="3"/>
  <c r="H76" i="3" s="1"/>
  <c r="H75" i="3"/>
  <c r="O56" i="3"/>
  <c r="M64" i="3"/>
  <c r="M74" i="3"/>
  <c r="J66" i="3"/>
  <c r="J76" i="3" s="1"/>
  <c r="J75" i="3"/>
  <c r="L74" i="3"/>
  <c r="L64" i="3"/>
  <c r="G66" i="3"/>
  <c r="G76" i="3" s="1"/>
  <c r="G75" i="3"/>
  <c r="F66" i="3"/>
  <c r="F76" i="3" s="1"/>
  <c r="F75" i="3"/>
  <c r="K66" i="3"/>
  <c r="K76" i="3" s="1"/>
  <c r="K75" i="3"/>
  <c r="C66" i="3"/>
  <c r="C75" i="3"/>
  <c r="O64" i="3" l="1"/>
  <c r="O75" i="3"/>
  <c r="Q75" i="3" s="1"/>
  <c r="Q64" i="3"/>
  <c r="C76" i="3"/>
  <c r="M66" i="3"/>
  <c r="M76" i="3" s="1"/>
  <c r="M75" i="3"/>
  <c r="Q56" i="3"/>
  <c r="O74" i="3"/>
  <c r="Q74" i="3" s="1"/>
  <c r="E66" i="3"/>
  <c r="E76" i="3" s="1"/>
  <c r="E75" i="3"/>
  <c r="D66" i="3"/>
  <c r="D76" i="3" s="1"/>
  <c r="D75" i="3"/>
  <c r="L66" i="3"/>
  <c r="L76" i="3" s="1"/>
  <c r="L75" i="3"/>
  <c r="O66" i="3" l="1"/>
  <c r="Q66" i="3"/>
  <c r="O76" i="3"/>
  <c r="Q76" i="3" s="1"/>
</calcChain>
</file>

<file path=xl/sharedStrings.xml><?xml version="1.0" encoding="utf-8"?>
<sst xmlns="http://schemas.openxmlformats.org/spreadsheetml/2006/main" count="122" uniqueCount="100">
  <si>
    <t>CURR:</t>
  </si>
  <si>
    <t>In '000s</t>
  </si>
  <si>
    <t>2018/19F</t>
  </si>
  <si>
    <t>% Inc</t>
  </si>
  <si>
    <t>Forecast</t>
  </si>
  <si>
    <t>Total</t>
  </si>
  <si>
    <t>External Sales</t>
  </si>
  <si>
    <t>Interco Sales</t>
  </si>
  <si>
    <t>Total Sales</t>
  </si>
  <si>
    <t>Cost of External Sales</t>
  </si>
  <si>
    <t>Cost of Interco Sales</t>
  </si>
  <si>
    <t>Total Cost of Sales</t>
  </si>
  <si>
    <t>Gross Profit</t>
  </si>
  <si>
    <t>Commission Income/Mgt Fee</t>
  </si>
  <si>
    <t>Gain/(Loss) Disposal of FA</t>
  </si>
  <si>
    <t>Other Op Income</t>
  </si>
  <si>
    <t>Other Op Expense</t>
  </si>
  <si>
    <t>Total Other Op Income/ (Exp)</t>
  </si>
  <si>
    <t xml:space="preserve">Basic Salary </t>
  </si>
  <si>
    <t>Bonus</t>
  </si>
  <si>
    <t>Comms &amp; Incentives</t>
  </si>
  <si>
    <t>Overtime</t>
  </si>
  <si>
    <t>Other Personnel Related Cost</t>
  </si>
  <si>
    <t>Advertising/Promotion</t>
  </si>
  <si>
    <t>Overseas Travelling</t>
  </si>
  <si>
    <t>Entertainment</t>
  </si>
  <si>
    <t>Equipment Expenses</t>
  </si>
  <si>
    <t>Rental/Property Related</t>
  </si>
  <si>
    <t>Stationery/Printing/Telephone</t>
  </si>
  <si>
    <t xml:space="preserve">HO/Interco and Other S&amp;D </t>
  </si>
  <si>
    <t>Total S&amp;D Expenses</t>
  </si>
  <si>
    <t>Transportation</t>
  </si>
  <si>
    <t xml:space="preserve">Entertainment &amp; Donations </t>
  </si>
  <si>
    <t>Legal/Prof Fees/Insurance</t>
  </si>
  <si>
    <t>IT System Exps</t>
  </si>
  <si>
    <t>Purchasing Exps</t>
  </si>
  <si>
    <t xml:space="preserve">A&amp;G Direct Expenses </t>
  </si>
  <si>
    <t>Prov for Stock Obso/Pilferage</t>
  </si>
  <si>
    <t>Prov for Doubtful Debts</t>
  </si>
  <si>
    <t xml:space="preserve">Bad Debts Recovered </t>
  </si>
  <si>
    <t>Stocks Written Down/Written Off</t>
  </si>
  <si>
    <t>GST/VAT Expense</t>
  </si>
  <si>
    <t>HO / Interco Allocation</t>
  </si>
  <si>
    <t>Other A&amp;G Expenses</t>
  </si>
  <si>
    <t>Profit from Operations</t>
  </si>
  <si>
    <t>Interest Income</t>
  </si>
  <si>
    <t>Interest Expense</t>
  </si>
  <si>
    <t>Derivatives Gain/(Loss)</t>
  </si>
  <si>
    <t>Forex Gain/(Loss)</t>
  </si>
  <si>
    <t>Dividend Income</t>
  </si>
  <si>
    <t>Other Non-Op Income/(Exp)</t>
  </si>
  <si>
    <t>Total Non-Op Income/(Exp)</t>
  </si>
  <si>
    <t>Profit Before Taxation</t>
  </si>
  <si>
    <r>
      <t xml:space="preserve">Less: </t>
    </r>
    <r>
      <rPr>
        <sz val="8"/>
        <rFont val="Arial"/>
        <family val="2"/>
      </rPr>
      <t>Taxation</t>
    </r>
  </si>
  <si>
    <t>Profit After Taxation</t>
  </si>
  <si>
    <t>Dividend Declared</t>
  </si>
  <si>
    <t>B81 Profit and Loss Worksheet (Budget) by Coy/Div/Dept/Sect/Unit</t>
  </si>
  <si>
    <t>2019/20B</t>
  </si>
  <si>
    <t>Budget</t>
  </si>
  <si>
    <t>Performance Indicators</t>
  </si>
  <si>
    <t>2018F</t>
  </si>
  <si>
    <t>Var %</t>
  </si>
  <si>
    <t>Gross Profits Margin %</t>
  </si>
  <si>
    <t>- External Sales GP %</t>
  </si>
  <si>
    <t>- Interco Sales GP %</t>
  </si>
  <si>
    <t>Selling &amp; Dist Margin %</t>
  </si>
  <si>
    <t>A&amp;G Margin Total %</t>
  </si>
  <si>
    <t>Operating Profit Margin %</t>
  </si>
  <si>
    <t>Profit Before Taxation %</t>
  </si>
  <si>
    <t>Profit After Taxation %</t>
  </si>
  <si>
    <t>Assumptions</t>
  </si>
  <si>
    <t>Steven Tham</t>
  </si>
  <si>
    <t>Total A&amp;G Expenses
(Inc direct a&amp;g)</t>
  </si>
  <si>
    <t>FX:</t>
  </si>
  <si>
    <t>Carriage/Transportation Out</t>
  </si>
  <si>
    <t>Warehousing/Logistic</t>
  </si>
  <si>
    <t>Depn/Amort of Fixed/Int Assets</t>
  </si>
  <si>
    <t>Prov for Doubtful Debt</t>
  </si>
  <si>
    <t>COY:</t>
  </si>
  <si>
    <t>Equipment/Property Related</t>
  </si>
  <si>
    <t>Salary Increment</t>
  </si>
  <si>
    <t>Prov for Stock Obsolesence</t>
  </si>
  <si>
    <t>%</t>
  </si>
  <si>
    <t>Months</t>
  </si>
  <si>
    <t>of COGS</t>
  </si>
  <si>
    <t>of Ext Sales</t>
  </si>
  <si>
    <t>Salary Increment:</t>
  </si>
  <si>
    <t>Bonus:</t>
  </si>
  <si>
    <t>Prov for Stock Obsolesence:</t>
  </si>
  <si>
    <t>Prov for Doubtful Debt:</t>
  </si>
  <si>
    <t>Approved By:</t>
  </si>
  <si>
    <t>0.5% of COGS</t>
  </si>
  <si>
    <t>0.5% of External Sales</t>
  </si>
  <si>
    <t>2 Months</t>
  </si>
  <si>
    <t>MYR</t>
  </si>
  <si>
    <t>Leeden Hercules Sdn Bhd</t>
  </si>
  <si>
    <t>D1:</t>
  </si>
  <si>
    <t>D2:</t>
  </si>
  <si>
    <t>D3:</t>
  </si>
  <si>
    <t>D4: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</si>
</sst>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[&gt;-500]#,##0,;\(#,##0,\)"/>
    <numFmt numFmtId="165" formatCode="_(* #,##0_);_(* \(#,##0\);_(* \-??_);_(@_)"/>
    <numFmt numFmtId="166" formatCode="_(* #,##0.00_);_(* \(#,##0.00\);_(* \-??_);_(@_)"/>
    <numFmt numFmtId="167" formatCode="0.0%"/>
    <numFmt numFmtId="168" formatCode="#,###,;\(#,###,\);\-;"/>
    <numFmt numFmtId="169" formatCode="0.0000"/>
    <numFmt numFmtId="170" formatCode="#,###,;\(#,##0,\);\-;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1"/>
      <color theme="1"/>
      <name val="Calibri"/>
      <family val="2"/>
      <charset val="134"/>
      <scheme val="minor"/>
    </font>
    <font>
      <sz val="11"/>
      <color indexed="8"/>
      <name val="Calibri"/>
      <family val="2"/>
    </font>
    <font>
      <b/>
      <i/>
      <sz val="8"/>
      <name val="Arial"/>
      <family val="2"/>
    </font>
    <font>
      <b/>
      <sz val="8"/>
      <color indexed="10"/>
      <name val="Arial"/>
      <family val="2"/>
    </font>
    <font>
      <i/>
      <sz val="8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i/>
      <sz val="9"/>
      <name val="Arial"/>
      <family val="2"/>
    </font>
    <font>
      <sz val="9"/>
      <name val="Arial"/>
      <family val="2"/>
    </font>
    <font>
      <b/>
      <u/>
      <sz val="11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2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5" fillId="0" borderId="0"/>
    <xf numFmtId="43" fontId="6" fillId="0" borderId="0" applyFont="0" applyFill="0" applyBorder="0" applyAlignment="0" applyProtection="0"/>
    <xf numFmtId="0" fontId="2" fillId="0" borderId="0"/>
    <xf numFmtId="9" fontId="2" fillId="0" borderId="0" applyFill="0" applyBorder="0" applyAlignment="0" applyProtection="0"/>
    <xf numFmtId="166" fontId="2" fillId="0" borderId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  <xf numFmtId="0" fontId="11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6" fontId="2" fillId="0" borderId="0" applyFill="0" applyBorder="0" applyAlignment="0" applyProtection="0"/>
    <xf numFmtId="9" fontId="2" fillId="0" borderId="0" applyFill="0" applyBorder="0" applyAlignment="0" applyProtection="0"/>
    <xf numFmtId="166" fontId="2" fillId="0" borderId="0" applyFill="0" applyBorder="0" applyAlignment="0" applyProtection="0"/>
    <xf numFmtId="0" fontId="2" fillId="0" borderId="0"/>
    <xf numFmtId="0" fontId="6" fillId="0" borderId="0"/>
    <xf numFmtId="0" fontId="2" fillId="0" borderId="0"/>
  </cellStyleXfs>
  <cellXfs count="106">
    <xf numFmtId="0" fontId="0" fillId="0" borderId="0" xfId="0"/>
    <xf numFmtId="37" fontId="3" fillId="0" borderId="6" xfId="3" applyNumberFormat="1" applyFont="1" applyFill="1" applyBorder="1" applyAlignment="1">
      <alignment vertical="center"/>
    </xf>
    <xf numFmtId="37" fontId="4" fillId="0" borderId="11" xfId="3" applyNumberFormat="1" applyFont="1" applyFill="1" applyBorder="1" applyAlignment="1">
      <alignment vertical="center"/>
    </xf>
    <xf numFmtId="0" fontId="4" fillId="0" borderId="0" xfId="3" applyFont="1" applyFill="1" applyAlignment="1">
      <alignment vertical="center"/>
    </xf>
    <xf numFmtId="0" fontId="4" fillId="0" borderId="14" xfId="3" applyNumberFormat="1" applyFont="1" applyFill="1" applyBorder="1" applyAlignment="1">
      <alignment horizontal="center" vertical="center"/>
    </xf>
    <xf numFmtId="168" fontId="4" fillId="0" borderId="0" xfId="1" applyNumberFormat="1" applyFont="1" applyFill="1" applyBorder="1" applyAlignment="1" applyProtection="1">
      <alignment vertical="center"/>
      <protection locked="0"/>
    </xf>
    <xf numFmtId="168" fontId="3" fillId="0" borderId="5" xfId="1" applyNumberFormat="1" applyFont="1" applyFill="1" applyBorder="1" applyAlignment="1" applyProtection="1">
      <alignment vertical="center"/>
      <protection locked="0"/>
    </xf>
    <xf numFmtId="0" fontId="3" fillId="0" borderId="0" xfId="3" applyFont="1" applyFill="1" applyAlignment="1">
      <alignment vertical="center"/>
    </xf>
    <xf numFmtId="37" fontId="3" fillId="0" borderId="12" xfId="3" applyNumberFormat="1" applyFont="1" applyFill="1" applyBorder="1" applyAlignment="1">
      <alignment vertical="center"/>
    </xf>
    <xf numFmtId="168" fontId="3" fillId="0" borderId="13" xfId="1" applyNumberFormat="1" applyFont="1" applyFill="1" applyBorder="1" applyAlignment="1" applyProtection="1">
      <alignment vertical="center"/>
      <protection locked="0"/>
    </xf>
    <xf numFmtId="0" fontId="4" fillId="0" borderId="0" xfId="3" applyFont="1" applyFill="1" applyBorder="1" applyAlignment="1">
      <alignment vertical="center"/>
    </xf>
    <xf numFmtId="0" fontId="8" fillId="0" borderId="0" xfId="3" applyFont="1" applyFill="1" applyAlignment="1">
      <alignment vertical="center"/>
    </xf>
    <xf numFmtId="0" fontId="3" fillId="0" borderId="0" xfId="3" applyFont="1" applyFill="1" applyBorder="1" applyAlignment="1">
      <alignment vertical="center"/>
    </xf>
    <xf numFmtId="37" fontId="3" fillId="0" borderId="6" xfId="3" applyNumberFormat="1" applyFont="1" applyFill="1" applyBorder="1" applyAlignment="1">
      <alignment vertical="center" wrapText="1"/>
    </xf>
    <xf numFmtId="168" fontId="3" fillId="0" borderId="5" xfId="1" applyNumberFormat="1" applyFont="1" applyFill="1" applyBorder="1" applyAlignment="1" applyProtection="1">
      <alignment horizontal="right" vertical="center"/>
    </xf>
    <xf numFmtId="37" fontId="3" fillId="0" borderId="15" xfId="3" applyNumberFormat="1" applyFont="1" applyFill="1" applyBorder="1" applyAlignment="1">
      <alignment vertical="center"/>
    </xf>
    <xf numFmtId="168" fontId="3" fillId="0" borderId="16" xfId="1" applyNumberFormat="1" applyFont="1" applyFill="1" applyBorder="1" applyAlignment="1">
      <alignment vertical="center"/>
    </xf>
    <xf numFmtId="165" fontId="3" fillId="0" borderId="0" xfId="3" applyNumberFormat="1" applyFont="1" applyFill="1" applyBorder="1" applyAlignment="1">
      <alignment vertical="center"/>
    </xf>
    <xf numFmtId="37" fontId="4" fillId="0" borderId="17" xfId="3" applyNumberFormat="1" applyFont="1" applyFill="1" applyBorder="1" applyAlignment="1">
      <alignment vertical="center"/>
    </xf>
    <xf numFmtId="0" fontId="3" fillId="0" borderId="6" xfId="3" applyFont="1" applyFill="1" applyBorder="1" applyAlignment="1">
      <alignment vertical="center"/>
    </xf>
    <xf numFmtId="37" fontId="3" fillId="0" borderId="11" xfId="3" applyNumberFormat="1" applyFont="1" applyFill="1" applyBorder="1" applyAlignment="1">
      <alignment vertical="center"/>
    </xf>
    <xf numFmtId="168" fontId="3" fillId="0" borderId="4" xfId="1" applyNumberFormat="1" applyFont="1" applyFill="1" applyBorder="1" applyAlignment="1" applyProtection="1">
      <alignment vertical="center"/>
      <protection locked="0"/>
    </xf>
    <xf numFmtId="168" fontId="4" fillId="0" borderId="5" xfId="1" applyNumberFormat="1" applyFont="1" applyFill="1" applyBorder="1" applyAlignment="1" applyProtection="1">
      <alignment vertical="center"/>
      <protection locked="0"/>
    </xf>
    <xf numFmtId="0" fontId="3" fillId="0" borderId="12" xfId="3" applyFont="1" applyFill="1" applyBorder="1" applyAlignment="1">
      <alignment vertical="center"/>
    </xf>
    <xf numFmtId="43" fontId="3" fillId="0" borderId="0" xfId="5" applyFont="1" applyFill="1" applyAlignment="1">
      <alignment vertical="center"/>
    </xf>
    <xf numFmtId="0" fontId="4" fillId="0" borderId="0" xfId="3" applyFont="1" applyFill="1" applyAlignment="1">
      <alignment horizontal="center" vertical="center"/>
    </xf>
    <xf numFmtId="164" fontId="4" fillId="0" borderId="0" xfId="5" applyNumberFormat="1" applyFont="1" applyFill="1" applyBorder="1" applyAlignment="1">
      <alignment vertical="center"/>
    </xf>
    <xf numFmtId="37" fontId="3" fillId="0" borderId="0" xfId="3" applyNumberFormat="1" applyFont="1" applyFill="1" applyBorder="1" applyAlignment="1" applyProtection="1">
      <alignment vertical="center"/>
      <protection locked="0"/>
    </xf>
    <xf numFmtId="0" fontId="13" fillId="0" borderId="0" xfId="3" applyFont="1" applyFill="1" applyAlignment="1">
      <alignment vertical="center"/>
    </xf>
    <xf numFmtId="0" fontId="12" fillId="0" borderId="0" xfId="3" applyFont="1" applyFill="1" applyBorder="1" applyAlignment="1">
      <alignment horizontal="right" vertical="center"/>
    </xf>
    <xf numFmtId="0" fontId="12" fillId="0" borderId="0" xfId="3" quotePrefix="1" applyFont="1" applyFill="1" applyBorder="1" applyAlignment="1">
      <alignment vertical="center"/>
    </xf>
    <xf numFmtId="0" fontId="4" fillId="0" borderId="20" xfId="3" applyFont="1" applyFill="1" applyBorder="1" applyAlignment="1">
      <alignment horizontal="center" vertical="center"/>
    </xf>
    <xf numFmtId="17" fontId="3" fillId="0" borderId="20" xfId="3" applyNumberFormat="1" applyFont="1" applyFill="1" applyBorder="1" applyAlignment="1" applyProtection="1">
      <alignment horizontal="center" vertical="center"/>
    </xf>
    <xf numFmtId="0" fontId="9" fillId="0" borderId="20" xfId="3" applyFont="1" applyFill="1" applyBorder="1" applyAlignment="1">
      <alignment horizontal="center" vertical="center"/>
    </xf>
    <xf numFmtId="0" fontId="9" fillId="0" borderId="20" xfId="3" applyFont="1" applyFill="1" applyBorder="1" applyAlignment="1">
      <alignment vertical="center"/>
    </xf>
    <xf numFmtId="168" fontId="4" fillId="0" borderId="7" xfId="1" applyNumberFormat="1" applyFont="1" applyFill="1" applyBorder="1" applyAlignment="1" applyProtection="1">
      <alignment vertical="center"/>
      <protection locked="0"/>
    </xf>
    <xf numFmtId="168" fontId="4" fillId="0" borderId="21" xfId="1" applyNumberFormat="1" applyFont="1" applyFill="1" applyBorder="1" applyAlignment="1" applyProtection="1">
      <alignment vertical="center"/>
      <protection locked="0"/>
    </xf>
    <xf numFmtId="9" fontId="4" fillId="0" borderId="21" xfId="2" applyFont="1" applyFill="1" applyBorder="1" applyAlignment="1" applyProtection="1">
      <alignment vertical="center"/>
      <protection locked="0"/>
    </xf>
    <xf numFmtId="168" fontId="3" fillId="0" borderId="20" xfId="1" applyNumberFormat="1" applyFont="1" applyFill="1" applyBorder="1" applyAlignment="1" applyProtection="1">
      <alignment vertical="center"/>
      <protection locked="0"/>
    </xf>
    <xf numFmtId="9" fontId="3" fillId="0" borderId="20" xfId="2" applyFont="1" applyFill="1" applyBorder="1" applyAlignment="1" applyProtection="1">
      <alignment vertical="center"/>
      <protection locked="0"/>
    </xf>
    <xf numFmtId="168" fontId="3" fillId="0" borderId="22" xfId="1" applyNumberFormat="1" applyFont="1" applyFill="1" applyBorder="1" applyAlignment="1" applyProtection="1">
      <alignment vertical="center"/>
      <protection locked="0"/>
    </xf>
    <xf numFmtId="9" fontId="3" fillId="0" borderId="22" xfId="2" applyFont="1" applyFill="1" applyBorder="1" applyAlignment="1" applyProtection="1">
      <alignment vertical="center"/>
      <protection locked="0"/>
    </xf>
    <xf numFmtId="168" fontId="4" fillId="0" borderId="21" xfId="1" applyNumberFormat="1" applyFont="1" applyFill="1" applyBorder="1" applyAlignment="1" applyProtection="1">
      <alignment horizontal="right" vertical="center"/>
    </xf>
    <xf numFmtId="9" fontId="4" fillId="0" borderId="21" xfId="2" applyFont="1" applyFill="1" applyBorder="1" applyAlignment="1" applyProtection="1">
      <alignment horizontal="right" vertical="center"/>
    </xf>
    <xf numFmtId="168" fontId="3" fillId="0" borderId="20" xfId="1" applyNumberFormat="1" applyFont="1" applyFill="1" applyBorder="1" applyAlignment="1" applyProtection="1">
      <alignment horizontal="right" vertical="center"/>
    </xf>
    <xf numFmtId="9" fontId="3" fillId="0" borderId="20" xfId="2" applyFont="1" applyFill="1" applyBorder="1" applyAlignment="1" applyProtection="1">
      <alignment horizontal="right" vertical="center"/>
    </xf>
    <xf numFmtId="168" fontId="3" fillId="0" borderId="23" xfId="1" applyNumberFormat="1" applyFont="1" applyFill="1" applyBorder="1" applyAlignment="1">
      <alignment vertical="center"/>
    </xf>
    <xf numFmtId="168" fontId="3" fillId="0" borderId="23" xfId="1" applyNumberFormat="1" applyFont="1" applyFill="1" applyBorder="1" applyAlignment="1" applyProtection="1">
      <alignment vertical="center"/>
      <protection locked="0"/>
    </xf>
    <xf numFmtId="9" fontId="3" fillId="0" borderId="23" xfId="2" applyFont="1" applyFill="1" applyBorder="1" applyAlignment="1" applyProtection="1">
      <alignment vertical="center"/>
      <protection locked="0"/>
    </xf>
    <xf numFmtId="168" fontId="4" fillId="0" borderId="21" xfId="1" applyNumberFormat="1" applyFont="1" applyFill="1" applyBorder="1" applyAlignment="1">
      <alignment vertical="center"/>
    </xf>
    <xf numFmtId="168" fontId="3" fillId="0" borderId="7" xfId="1" applyNumberFormat="1" applyFont="1" applyFill="1" applyBorder="1" applyAlignment="1" applyProtection="1">
      <alignment vertical="center"/>
      <protection locked="0"/>
    </xf>
    <xf numFmtId="168" fontId="3" fillId="0" borderId="10" xfId="1" applyNumberFormat="1" applyFont="1" applyFill="1" applyBorder="1" applyAlignment="1" applyProtection="1">
      <alignment vertical="center"/>
      <protection locked="0"/>
    </xf>
    <xf numFmtId="9" fontId="3" fillId="0" borderId="10" xfId="2" applyFont="1" applyFill="1" applyBorder="1" applyAlignment="1" applyProtection="1">
      <alignment vertical="center"/>
      <protection locked="0"/>
    </xf>
    <xf numFmtId="168" fontId="4" fillId="0" borderId="20" xfId="1" applyNumberFormat="1" applyFont="1" applyFill="1" applyBorder="1" applyAlignment="1" applyProtection="1">
      <alignment vertical="center"/>
      <protection locked="0"/>
    </xf>
    <xf numFmtId="0" fontId="3" fillId="0" borderId="20" xfId="3" applyFont="1" applyFill="1" applyBorder="1" applyAlignment="1">
      <alignment horizontal="center" vertical="center"/>
    </xf>
    <xf numFmtId="0" fontId="3" fillId="0" borderId="20" xfId="3" applyFont="1" applyFill="1" applyBorder="1" applyAlignment="1">
      <alignment horizontal="left" vertical="center"/>
    </xf>
    <xf numFmtId="37" fontId="9" fillId="0" borderId="18" xfId="3" applyNumberFormat="1" applyFont="1" applyFill="1" applyBorder="1" applyAlignment="1">
      <alignment vertical="center"/>
    </xf>
    <xf numFmtId="168" fontId="9" fillId="0" borderId="19" xfId="1" applyNumberFormat="1" applyFont="1" applyFill="1" applyBorder="1" applyAlignment="1" applyProtection="1">
      <alignment vertical="center"/>
      <protection locked="0"/>
    </xf>
    <xf numFmtId="9" fontId="9" fillId="0" borderId="18" xfId="2" applyFont="1" applyFill="1" applyBorder="1" applyAlignment="1" applyProtection="1">
      <alignment vertical="center"/>
      <protection locked="0"/>
    </xf>
    <xf numFmtId="0" fontId="9" fillId="0" borderId="0" xfId="3" applyFont="1" applyFill="1" applyAlignment="1">
      <alignment vertical="center"/>
    </xf>
    <xf numFmtId="9" fontId="4" fillId="0" borderId="3" xfId="2" applyFont="1" applyFill="1" applyBorder="1" applyAlignment="1" applyProtection="1">
      <alignment vertical="center"/>
      <protection locked="0"/>
    </xf>
    <xf numFmtId="9" fontId="4" fillId="0" borderId="14" xfId="2" applyFont="1" applyFill="1" applyBorder="1" applyAlignment="1" applyProtection="1">
      <alignment vertical="center"/>
      <protection locked="0"/>
    </xf>
    <xf numFmtId="9" fontId="3" fillId="0" borderId="1" xfId="2" applyFont="1" applyFill="1" applyBorder="1" applyAlignment="1" applyProtection="1">
      <alignment vertical="center"/>
      <protection locked="0"/>
    </xf>
    <xf numFmtId="0" fontId="4" fillId="0" borderId="14" xfId="3" applyFont="1" applyFill="1" applyBorder="1" applyAlignment="1">
      <alignment horizontal="center" vertical="center"/>
    </xf>
    <xf numFmtId="0" fontId="3" fillId="0" borderId="14" xfId="3" applyFont="1" applyFill="1" applyBorder="1" applyAlignment="1">
      <alignment vertical="center"/>
    </xf>
    <xf numFmtId="0" fontId="7" fillId="0" borderId="14" xfId="3" applyNumberFormat="1" applyFont="1" applyFill="1" applyBorder="1" applyAlignment="1">
      <alignment horizontal="left"/>
    </xf>
    <xf numFmtId="0" fontId="3" fillId="0" borderId="11" xfId="3" applyFont="1" applyFill="1" applyBorder="1" applyAlignment="1"/>
    <xf numFmtId="17" fontId="3" fillId="0" borderId="11" xfId="3" applyNumberFormat="1" applyFont="1" applyFill="1" applyBorder="1" applyAlignment="1" applyProtection="1">
      <alignment horizontal="center"/>
    </xf>
    <xf numFmtId="17" fontId="3" fillId="0" borderId="21" xfId="3" applyNumberFormat="1" applyFont="1" applyFill="1" applyBorder="1" applyAlignment="1" applyProtection="1">
      <alignment horizontal="center"/>
    </xf>
    <xf numFmtId="17" fontId="3" fillId="0" borderId="21" xfId="6" applyNumberFormat="1" applyFont="1" applyFill="1" applyBorder="1" applyAlignment="1">
      <alignment horizontal="center"/>
    </xf>
    <xf numFmtId="0" fontId="3" fillId="0" borderId="14" xfId="6" applyNumberFormat="1" applyFont="1" applyFill="1" applyBorder="1" applyAlignment="1">
      <alignment horizontal="center"/>
    </xf>
    <xf numFmtId="0" fontId="3" fillId="0" borderId="7" xfId="6" applyNumberFormat="1" applyFont="1" applyFill="1" applyBorder="1" applyAlignment="1">
      <alignment horizontal="center"/>
    </xf>
    <xf numFmtId="0" fontId="4" fillId="0" borderId="8" xfId="3" applyNumberFormat="1" applyFont="1" applyFill="1" applyBorder="1" applyAlignment="1">
      <alignment horizontal="center"/>
    </xf>
    <xf numFmtId="0" fontId="3" fillId="0" borderId="9" xfId="3" applyFont="1" applyFill="1" applyBorder="1" applyAlignment="1"/>
    <xf numFmtId="17" fontId="7" fillId="0" borderId="10" xfId="6" applyNumberFormat="1" applyFont="1" applyFill="1" applyBorder="1" applyAlignment="1">
      <alignment horizontal="center"/>
    </xf>
    <xf numFmtId="0" fontId="7" fillId="0" borderId="8" xfId="6" applyNumberFormat="1" applyFont="1" applyFill="1" applyBorder="1" applyAlignment="1">
      <alignment horizontal="center"/>
    </xf>
    <xf numFmtId="0" fontId="3" fillId="0" borderId="10" xfId="6" applyNumberFormat="1" applyFont="1" applyFill="1" applyBorder="1" applyAlignment="1">
      <alignment horizontal="center"/>
    </xf>
    <xf numFmtId="0" fontId="4" fillId="0" borderId="0" xfId="3" applyFont="1" applyFill="1" applyBorder="1" applyAlignment="1">
      <alignment horizontal="left" vertical="center"/>
    </xf>
    <xf numFmtId="0" fontId="4" fillId="0" borderId="6" xfId="3" applyFont="1" applyFill="1" applyBorder="1" applyAlignment="1">
      <alignment vertical="center"/>
    </xf>
    <xf numFmtId="0" fontId="4" fillId="0" borderId="1" xfId="3" applyFont="1" applyFill="1" applyBorder="1" applyAlignment="1">
      <alignment vertical="center"/>
    </xf>
    <xf numFmtId="9" fontId="4" fillId="0" borderId="1" xfId="2" applyFont="1" applyFill="1" applyBorder="1" applyAlignment="1">
      <alignment vertical="center"/>
    </xf>
    <xf numFmtId="9" fontId="3" fillId="0" borderId="1" xfId="2" applyFont="1" applyFill="1" applyBorder="1" applyAlignment="1">
      <alignment vertical="center"/>
    </xf>
    <xf numFmtId="0" fontId="9" fillId="0" borderId="10" xfId="3" applyFont="1" applyFill="1" applyBorder="1" applyAlignment="1">
      <alignment vertical="center"/>
    </xf>
    <xf numFmtId="9" fontId="4" fillId="0" borderId="8" xfId="2" applyFont="1" applyFill="1" applyBorder="1" applyAlignment="1">
      <alignment vertical="center"/>
    </xf>
    <xf numFmtId="0" fontId="4" fillId="0" borderId="9" xfId="3" applyFont="1" applyFill="1" applyBorder="1" applyAlignment="1">
      <alignment vertical="center"/>
    </xf>
    <xf numFmtId="0" fontId="3" fillId="0" borderId="2" xfId="3" applyFont="1" applyFill="1" applyBorder="1" applyAlignment="1">
      <alignment vertical="center"/>
    </xf>
    <xf numFmtId="0" fontId="4" fillId="0" borderId="2" xfId="3" applyFont="1" applyFill="1" applyBorder="1" applyAlignment="1">
      <alignment vertical="center"/>
    </xf>
    <xf numFmtId="0" fontId="4" fillId="0" borderId="10" xfId="3" applyFont="1" applyFill="1" applyBorder="1" applyAlignment="1">
      <alignment vertical="center"/>
    </xf>
    <xf numFmtId="0" fontId="7" fillId="0" borderId="7" xfId="3" applyFont="1" applyFill="1" applyBorder="1" applyAlignment="1">
      <alignment vertical="center"/>
    </xf>
    <xf numFmtId="10" fontId="4" fillId="0" borderId="10" xfId="3" applyNumberFormat="1" applyFont="1" applyFill="1" applyBorder="1" applyAlignment="1">
      <alignment horizontal="left" vertical="center"/>
    </xf>
    <xf numFmtId="37" fontId="10" fillId="0" borderId="2" xfId="3" applyNumberFormat="1" applyFont="1" applyFill="1" applyBorder="1" applyAlignment="1" applyProtection="1">
      <alignment horizontal="center" vertical="center"/>
      <protection locked="0"/>
    </xf>
    <xf numFmtId="0" fontId="10" fillId="0" borderId="2" xfId="6" applyFont="1" applyFill="1" applyBorder="1" applyAlignment="1">
      <alignment horizontal="center" vertical="center"/>
    </xf>
    <xf numFmtId="0" fontId="12" fillId="0" borderId="2" xfId="6" applyFont="1" applyFill="1" applyBorder="1" applyAlignment="1">
      <alignment horizontal="center" vertical="center"/>
    </xf>
    <xf numFmtId="169" fontId="10" fillId="0" borderId="2" xfId="6" applyNumberFormat="1" applyFont="1" applyFill="1" applyBorder="1" applyAlignment="1">
      <alignment horizontal="center" vertical="center"/>
    </xf>
    <xf numFmtId="0" fontId="14" fillId="0" borderId="0" xfId="4" applyFont="1" applyFill="1" applyBorder="1" applyAlignment="1" applyProtection="1">
      <alignment vertical="center"/>
    </xf>
    <xf numFmtId="0" fontId="4" fillId="0" borderId="14" xfId="3" applyFont="1" applyFill="1" applyBorder="1" applyAlignment="1">
      <alignment vertical="center"/>
    </xf>
    <xf numFmtId="0" fontId="3" fillId="0" borderId="3" xfId="3" applyFont="1" applyFill="1" applyBorder="1" applyAlignment="1">
      <alignment vertical="center"/>
    </xf>
    <xf numFmtId="0" fontId="4" fillId="0" borderId="21" xfId="3" applyFont="1" applyFill="1" applyBorder="1" applyAlignment="1">
      <alignment vertical="center"/>
    </xf>
    <xf numFmtId="170" fontId="4" fillId="0" borderId="0" xfId="1" applyNumberFormat="1" applyFont="1" applyFill="1" applyBorder="1" applyAlignment="1" applyProtection="1">
      <alignment vertical="center"/>
      <protection locked="0"/>
    </xf>
    <xf numFmtId="167" fontId="9" fillId="0" borderId="1" xfId="3" applyNumberFormat="1" applyFont="1" applyFill="1" applyBorder="1" applyAlignment="1">
      <alignment vertical="center"/>
    </xf>
    <xf numFmtId="167" fontId="9" fillId="0" borderId="5" xfId="3" applyNumberFormat="1" applyFont="1" applyFill="1" applyBorder="1" applyAlignment="1">
      <alignment vertical="center"/>
    </xf>
    <xf numFmtId="167" fontId="9" fillId="0" borderId="5" xfId="5" applyNumberFormat="1" applyFont="1" applyFill="1" applyBorder="1" applyAlignment="1">
      <alignment vertical="center"/>
    </xf>
    <xf numFmtId="167" fontId="9" fillId="0" borderId="20" xfId="3" applyNumberFormat="1" applyFont="1" applyFill="1" applyBorder="1" applyAlignment="1">
      <alignment vertical="center"/>
    </xf>
    <xf numFmtId="0" fontId="3" fillId="0" borderId="20" xfId="3" applyFont="1" applyFill="1" applyBorder="1" applyAlignment="1">
      <alignment vertical="center"/>
    </xf>
    <xf numFmtId="37" fontId="10" fillId="2" borderId="2" xfId="3" applyNumberFormat="1" applyFont="1" applyFill="1" applyBorder="1" applyAlignment="1" applyProtection="1">
      <alignment horizontal="left" vertical="center"/>
      <protection locked="0"/>
    </xf>
    <xf numFmtId="0" fontId="4" fillId="0" borderId="20" xfId="3" applyFont="1" applyFill="1" applyBorder="1" applyAlignment="1">
      <alignment horizontal="center" vertical="center"/>
    </xf>
  </cellXfs>
  <cellStyles count="25">
    <cellStyle name="0,0_x000d__x000a_NA_x000d__x000a_ 10 2" xfId="6"/>
    <cellStyle name="0,0_x000d__x000a_NA_x000d__x000a_ 2" xfId="17"/>
    <cellStyle name="Comma" xfId="1" builtinId="3"/>
    <cellStyle name="Comma 10 2 2" xfId="16"/>
    <cellStyle name="Comma 10 2 3" xfId="21"/>
    <cellStyle name="Comma 10 3" xfId="8"/>
    <cellStyle name="Comma 2 2 2 2" xfId="19"/>
    <cellStyle name="Comma 3 2 3" xfId="10"/>
    <cellStyle name="Comma 9 3" xfId="5"/>
    <cellStyle name="Normal" xfId="0" builtinId="0"/>
    <cellStyle name="Normal - Style1" xfId="3"/>
    <cellStyle name="Normal - Style1 2" xfId="24"/>
    <cellStyle name="Normal 2" xfId="14"/>
    <cellStyle name="Normal 2 2" xfId="15"/>
    <cellStyle name="Normal 2 2 2" xfId="22"/>
    <cellStyle name="Normal 2 4 2 2" xfId="13"/>
    <cellStyle name="Normal 22" xfId="23"/>
    <cellStyle name="Normal 3 2" xfId="4"/>
    <cellStyle name="Normal 3 3" xfId="11"/>
    <cellStyle name="Normal 4 3" xfId="9"/>
    <cellStyle name="Percent" xfId="2" builtinId="5"/>
    <cellStyle name="Percent 2" xfId="18"/>
    <cellStyle name="Percent 2 2 2" xfId="20"/>
    <cellStyle name="Percent 2 3" xfId="12"/>
    <cellStyle name="Percent 2 4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edynamics\account\Documents%20and%20Settings\elisa.cerisola\Documenti\Documenti\Consolidati\Rev04\China\04RB%20P&amp;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dlnb61/Documents/Budget/Budget%20FY2019/Budget%20Submissions/LHM/2019-03-01%20Latest%20P&amp;L%20and%20slides%20from%20Ms%20Lim/Budget%20Submission%20Pack%20B%20-%202018-11-29%20revised2%202802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1.1-Manag.Report Sum Up"/>
      <sheetName val="1.2 - Manag.Report Details"/>
      <sheetName val="1.3-Sell-Outs Table"/>
      <sheetName val="1.4-CRM Table"/>
      <sheetName val="2-Turnover &amp; Oper.Res."/>
      <sheetName val="3-PL Total China"/>
      <sheetName val="cover Zegna retail"/>
      <sheetName val="3.1-PL Tot.Zegna Retail"/>
      <sheetName val="3.1.1-BJ1"/>
      <sheetName val="3.1.2-BJ2"/>
      <sheetName val="3.1.3-BJ3"/>
      <sheetName val="3.1.4-ZSBJ2"/>
      <sheetName val="3.1.5-L-BJ1"/>
      <sheetName val="3.1.6-L-BJ2"/>
      <sheetName val="3.1.7-SH3"/>
      <sheetName val="3.1.8-SH4"/>
      <sheetName val="3.1.9-SH5"/>
      <sheetName val="3.1.10-SH6"/>
      <sheetName val="3.1.11-SH7"/>
      <sheetName val="3.1.12-ZSSH2"/>
      <sheetName val="3.1.13-L-SH1"/>
      <sheetName val="3.1.14-L-SH2"/>
      <sheetName val="3.1.15-L-SH3"/>
      <sheetName val="3.1.16-GZ2"/>
      <sheetName val="3.1.17-GZ5"/>
      <sheetName val="3.1.18-GZ6"/>
      <sheetName val="3.1.19-SZ1"/>
      <sheetName val="3.1.20-SZ4"/>
      <sheetName val="3.1.21-DL1"/>
      <sheetName val="3.1.22-DL3"/>
      <sheetName val="3.1.23-CC2"/>
      <sheetName val="3.1.24-SY1"/>
      <sheetName val="3.1.25-SY2"/>
      <sheetName val="3.1.26-HRB1"/>
      <sheetName val="3.1.27-HRB2"/>
      <sheetName val="3.1.28-HZ1"/>
      <sheetName val="3.1.29-HZ2"/>
      <sheetName val="3.1.30-L-HZ1"/>
      <sheetName val="3.1.31-XA1"/>
      <sheetName val="3.1.32-CD1"/>
      <sheetName val="3.1.33-CD2"/>
      <sheetName val="3.1.34-CD3"/>
      <sheetName val="3.1.35-NB2"/>
      <sheetName val="3.1.36-L-NB"/>
      <sheetName val="3.1.37-WZ"/>
      <sheetName val="3.1.38-L-WZ"/>
      <sheetName val="3.1.39-WH1"/>
      <sheetName val="3.1.40-WH2"/>
      <sheetName val="3.1.41-ZZ"/>
      <sheetName val="3.1.42-XM"/>
      <sheetName val="3.1.43-CQ"/>
      <sheetName val="Cover Agn"/>
      <sheetName val="3.2-PL Tot.Agnona"/>
      <sheetName val="3.2.1-AgSH1"/>
      <sheetName val="Cover-par"/>
      <sheetName val="3.3 PL PAR"/>
      <sheetName val="3.3.1-PAR GZ"/>
      <sheetName val="3.3.2-PAR SH"/>
      <sheetName val="3.3.3-PAR BJ"/>
      <sheetName val="3.3.4-PAR SY"/>
      <sheetName val="3.4-PL Whole"/>
      <sheetName val="3.5-DFS"/>
      <sheetName val="3.6-FABRIC"/>
      <sheetName val="3.7-FAMILY"/>
      <sheetName val="4-Investments"/>
      <sheetName val="5.1-Financial Position"/>
      <sheetName val="5.2-Cash Flow"/>
      <sheetName val="6.1-BS Assets"/>
      <sheetName val="6.2-BS Liabilities"/>
      <sheetName val="7.1-Org.Chart"/>
      <sheetName val="North"/>
      <sheetName val="Northeast"/>
      <sheetName val="South"/>
      <sheetName val="SH&amp;Central"/>
      <sheetName val="End"/>
      <sheetName val="Tot_EZ"/>
      <sheetName val="ZSBJ"/>
      <sheetName val="SH2"/>
      <sheetName val="ZSSH1"/>
      <sheetName val="GZ4"/>
      <sheetName val="ZSGZ"/>
      <sheetName val="SZ2"/>
      <sheetName val="SZ3"/>
      <sheetName val="ZSSZ"/>
      <sheetName val="NB"/>
      <sheetName val="QD"/>
      <sheetName val="DL2"/>
      <sheetName val="XA2"/>
      <sheetName val="AGSH2"/>
      <sheetName val="3_1_1_BJ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Product Planning Sheet"/>
      <sheetName val="B71F Manu"/>
      <sheetName val="B71B Manu"/>
      <sheetName val="B41 CF"/>
      <sheetName val="B31 Capex"/>
      <sheetName val="B91 BS"/>
      <sheetName val="B81F"/>
      <sheetName val="B81B"/>
      <sheetName val="B81B by branch"/>
      <sheetName val="B82 P&amp;L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5">
          <cell r="C5">
            <v>3732820</v>
          </cell>
          <cell r="D5">
            <v>3552332</v>
          </cell>
          <cell r="E5">
            <v>2994460</v>
          </cell>
          <cell r="F5">
            <v>3650780</v>
          </cell>
          <cell r="G5">
            <v>3814860</v>
          </cell>
          <cell r="H5">
            <v>3724616.0000000005</v>
          </cell>
          <cell r="I5">
            <v>3753330</v>
          </cell>
          <cell r="J5">
            <v>3527719.9999999995</v>
          </cell>
          <cell r="K5">
            <v>3486700.0000000005</v>
          </cell>
          <cell r="L5">
            <v>2994460</v>
          </cell>
          <cell r="M5">
            <v>2284814</v>
          </cell>
          <cell r="N5">
            <v>3503108</v>
          </cell>
          <cell r="P5">
            <v>40017237.04999999</v>
          </cell>
        </row>
        <row r="6">
          <cell r="C6">
            <v>92479.96337177539</v>
          </cell>
          <cell r="D6">
            <v>92588.763328683359</v>
          </cell>
          <cell r="E6">
            <v>75071.970266500022</v>
          </cell>
          <cell r="F6">
            <v>95091.162337566697</v>
          </cell>
          <cell r="G6">
            <v>75199.962294474666</v>
          </cell>
          <cell r="H6">
            <v>75417.562208290605</v>
          </cell>
          <cell r="I6">
            <v>80204.760312241327</v>
          </cell>
          <cell r="J6">
            <v>83251.159105664541</v>
          </cell>
          <cell r="K6">
            <v>83230.44</v>
          </cell>
          <cell r="L6">
            <v>82708.686348543692</v>
          </cell>
          <cell r="M6">
            <v>60027.562431984043</v>
          </cell>
          <cell r="N6">
            <v>84728.01</v>
          </cell>
          <cell r="P6">
            <v>952762.95000000007</v>
          </cell>
        </row>
        <row r="7">
          <cell r="P7">
            <v>40970000</v>
          </cell>
        </row>
        <row r="8">
          <cell r="C8">
            <v>-2318533.5097064795</v>
          </cell>
          <cell r="D8">
            <v>-2205214.7977178986</v>
          </cell>
          <cell r="E8">
            <v>-1859688.0278793774</v>
          </cell>
          <cell r="F8">
            <v>-2266346.1419805447</v>
          </cell>
          <cell r="G8">
            <v>-2374608.1099919649</v>
          </cell>
          <cell r="H8">
            <v>-2317905.5060148034</v>
          </cell>
          <cell r="I8">
            <v>-2329660.28851726</v>
          </cell>
          <cell r="J8">
            <v>-2173383.668691</v>
          </cell>
          <cell r="K8">
            <v>-2156498.4334</v>
          </cell>
          <cell r="L8">
            <v>-1852664.29811764</v>
          </cell>
          <cell r="M8">
            <v>-1391549.6620028201</v>
          </cell>
          <cell r="N8">
            <v>-2161400.65735</v>
          </cell>
          <cell r="P8">
            <v>-23302999.325000007</v>
          </cell>
        </row>
        <row r="9">
          <cell r="C9">
            <v>-83231.967034597852</v>
          </cell>
          <cell r="D9">
            <v>-83329.886995815032</v>
          </cell>
          <cell r="E9">
            <v>-67564.773239850023</v>
          </cell>
          <cell r="F9">
            <v>-85582.046103810033</v>
          </cell>
          <cell r="G9">
            <v>-67679.966065027198</v>
          </cell>
          <cell r="H9">
            <v>-67875.805987461543</v>
          </cell>
          <cell r="I9">
            <v>-72184.284281017201</v>
          </cell>
          <cell r="J9">
            <v>-74926.043195098086</v>
          </cell>
          <cell r="K9">
            <v>-74907.396000000008</v>
          </cell>
          <cell r="L9">
            <v>-74437.817713689321</v>
          </cell>
          <cell r="M9">
            <v>-54024.806188785638</v>
          </cell>
          <cell r="N9">
            <v>-76255.209000000003</v>
          </cell>
          <cell r="P9">
            <v>-2479793.8800000004</v>
          </cell>
        </row>
        <row r="10">
          <cell r="P10">
            <v>-25782793.205000002</v>
          </cell>
        </row>
        <row r="11">
          <cell r="P11">
            <v>15187206.794999998</v>
          </cell>
        </row>
        <row r="12">
          <cell r="P12">
            <v>0</v>
          </cell>
        </row>
        <row r="13">
          <cell r="C13">
            <v>7200</v>
          </cell>
          <cell r="D13">
            <v>7200</v>
          </cell>
          <cell r="E13">
            <v>7200</v>
          </cell>
          <cell r="F13">
            <v>7200</v>
          </cell>
          <cell r="G13">
            <v>7200</v>
          </cell>
          <cell r="H13">
            <v>7200</v>
          </cell>
          <cell r="I13">
            <v>7200</v>
          </cell>
          <cell r="J13">
            <v>7200</v>
          </cell>
          <cell r="K13">
            <v>7200</v>
          </cell>
          <cell r="L13">
            <v>7200</v>
          </cell>
          <cell r="M13">
            <v>7200</v>
          </cell>
          <cell r="N13">
            <v>7200</v>
          </cell>
          <cell r="P13">
            <v>85784.72</v>
          </cell>
        </row>
        <row r="14">
          <cell r="P14">
            <v>107256.70000000001</v>
          </cell>
        </row>
        <row r="15">
          <cell r="P15">
            <v>0</v>
          </cell>
        </row>
        <row r="16">
          <cell r="P16">
            <v>193041.42</v>
          </cell>
        </row>
        <row r="17">
          <cell r="C17">
            <v>-317760.28125</v>
          </cell>
          <cell r="D17">
            <v>-317760.28125</v>
          </cell>
          <cell r="E17">
            <v>-317760.28125</v>
          </cell>
          <cell r="F17">
            <v>-333648.28999999998</v>
          </cell>
          <cell r="G17">
            <v>-333648.28999999998</v>
          </cell>
          <cell r="H17">
            <v>-333648.28999999998</v>
          </cell>
          <cell r="I17">
            <v>-333648.28999999998</v>
          </cell>
          <cell r="J17">
            <v>-333648.28999999998</v>
          </cell>
          <cell r="K17">
            <v>-333648.28999999998</v>
          </cell>
          <cell r="L17">
            <v>-333648.28999999998</v>
          </cell>
          <cell r="M17">
            <v>-333648.28999999998</v>
          </cell>
          <cell r="N17">
            <v>-333648.28999999998</v>
          </cell>
          <cell r="P17">
            <v>-3648123.3749999995</v>
          </cell>
        </row>
        <row r="18">
          <cell r="C18">
            <v>-40306.550000000003</v>
          </cell>
          <cell r="D18">
            <v>-40306.550000000003</v>
          </cell>
          <cell r="E18">
            <v>-40306.550000000003</v>
          </cell>
          <cell r="F18">
            <v>-41515</v>
          </cell>
          <cell r="G18">
            <v>-41515</v>
          </cell>
          <cell r="H18">
            <v>-41515</v>
          </cell>
          <cell r="I18">
            <v>-41515</v>
          </cell>
          <cell r="J18">
            <v>-41515</v>
          </cell>
          <cell r="K18">
            <v>-41515</v>
          </cell>
          <cell r="L18">
            <v>-41515</v>
          </cell>
          <cell r="M18">
            <v>-41515</v>
          </cell>
          <cell r="N18">
            <v>-41515</v>
          </cell>
          <cell r="P18">
            <v>-636180.34000000008</v>
          </cell>
        </row>
        <row r="19">
          <cell r="C19">
            <v>-83400</v>
          </cell>
          <cell r="D19">
            <v>-83400</v>
          </cell>
          <cell r="E19">
            <v>-50000</v>
          </cell>
          <cell r="F19">
            <v>-83400</v>
          </cell>
          <cell r="G19">
            <v>-82000</v>
          </cell>
          <cell r="H19">
            <v>-83400</v>
          </cell>
          <cell r="I19">
            <v>-83400</v>
          </cell>
          <cell r="J19">
            <v>-83400</v>
          </cell>
          <cell r="K19">
            <v>-60000</v>
          </cell>
          <cell r="L19">
            <v>-40000</v>
          </cell>
          <cell r="M19">
            <v>-25000</v>
          </cell>
          <cell r="N19">
            <v>-60000</v>
          </cell>
          <cell r="P19">
            <v>-1000779.20875</v>
          </cell>
        </row>
        <row r="20">
          <cell r="C20">
            <v>-18000</v>
          </cell>
          <cell r="D20">
            <v>-18000</v>
          </cell>
          <cell r="E20">
            <v>-10000</v>
          </cell>
          <cell r="F20">
            <v>-18000</v>
          </cell>
          <cell r="G20">
            <v>-18000</v>
          </cell>
          <cell r="H20">
            <v>-18000</v>
          </cell>
          <cell r="I20">
            <v>-18000</v>
          </cell>
          <cell r="J20">
            <v>-18000</v>
          </cell>
          <cell r="K20">
            <v>-18000</v>
          </cell>
          <cell r="L20">
            <v>-10000</v>
          </cell>
          <cell r="M20">
            <v>-5000</v>
          </cell>
          <cell r="N20">
            <v>-18000</v>
          </cell>
          <cell r="P20">
            <v>-211909.02</v>
          </cell>
        </row>
        <row r="21">
          <cell r="C21">
            <v>-137590.9887499999</v>
          </cell>
          <cell r="D21">
            <v>-122590.98875000002</v>
          </cell>
          <cell r="E21">
            <v>-82261.125</v>
          </cell>
          <cell r="F21">
            <v>-123208.61999999988</v>
          </cell>
          <cell r="G21">
            <v>-123208.61999999988</v>
          </cell>
          <cell r="H21">
            <v>-123208.61999999988</v>
          </cell>
          <cell r="I21">
            <v>-123208.61999999988</v>
          </cell>
          <cell r="J21">
            <v>-123208.61999999988</v>
          </cell>
          <cell r="K21">
            <v>-123208.61999999988</v>
          </cell>
          <cell r="L21">
            <v>-97516.125</v>
          </cell>
          <cell r="M21">
            <v>-61261.125</v>
          </cell>
          <cell r="N21">
            <v>-133728.61999999988</v>
          </cell>
          <cell r="P21">
            <v>-1384292.44875</v>
          </cell>
        </row>
        <row r="22">
          <cell r="C22">
            <v>-115060</v>
          </cell>
          <cell r="D22">
            <v>-93060</v>
          </cell>
          <cell r="E22">
            <v>-112500</v>
          </cell>
          <cell r="F22">
            <v>-115060</v>
          </cell>
          <cell r="G22">
            <v>-121500</v>
          </cell>
          <cell r="H22">
            <v>-106500</v>
          </cell>
          <cell r="I22">
            <v>-106500</v>
          </cell>
          <cell r="J22">
            <v>-53500</v>
          </cell>
          <cell r="K22">
            <v>-59500</v>
          </cell>
          <cell r="L22">
            <v>-24500</v>
          </cell>
          <cell r="M22">
            <v>-20900</v>
          </cell>
          <cell r="N22">
            <v>-95500</v>
          </cell>
          <cell r="P22">
            <v>-979629.35000000009</v>
          </cell>
        </row>
        <row r="23">
          <cell r="C23">
            <v>-11227</v>
          </cell>
          <cell r="D23">
            <v>-11227</v>
          </cell>
          <cell r="E23">
            <v>-11227</v>
          </cell>
          <cell r="F23">
            <v>-11227</v>
          </cell>
          <cell r="G23">
            <v>-11227</v>
          </cell>
          <cell r="H23">
            <v>-11227</v>
          </cell>
          <cell r="I23">
            <v>-11227</v>
          </cell>
          <cell r="J23">
            <v>-11227</v>
          </cell>
          <cell r="K23">
            <v>-11227</v>
          </cell>
          <cell r="L23">
            <v>-11227</v>
          </cell>
          <cell r="M23">
            <v>-8707</v>
          </cell>
          <cell r="N23">
            <v>-11227</v>
          </cell>
          <cell r="P23">
            <v>-130903.24</v>
          </cell>
        </row>
        <row r="24">
          <cell r="C24">
            <v>-4940</v>
          </cell>
          <cell r="D24">
            <v>-4940</v>
          </cell>
          <cell r="E24">
            <v>-4940</v>
          </cell>
          <cell r="F24">
            <v>-4940</v>
          </cell>
          <cell r="G24">
            <v>-4940</v>
          </cell>
          <cell r="H24">
            <v>-4940</v>
          </cell>
          <cell r="I24">
            <v>-4940</v>
          </cell>
          <cell r="J24">
            <v>-4940</v>
          </cell>
          <cell r="K24">
            <v>-4940</v>
          </cell>
          <cell r="L24">
            <v>-4940</v>
          </cell>
          <cell r="M24">
            <v>-4940</v>
          </cell>
          <cell r="N24">
            <v>-4940</v>
          </cell>
          <cell r="P24">
            <v>-59300</v>
          </cell>
        </row>
        <row r="25">
          <cell r="C25">
            <v>-671.35</v>
          </cell>
          <cell r="D25">
            <v>-671.35</v>
          </cell>
          <cell r="E25">
            <v>-671.35</v>
          </cell>
          <cell r="F25">
            <v>-671.35</v>
          </cell>
          <cell r="G25">
            <v>-671.35</v>
          </cell>
          <cell r="H25">
            <v>-671.35</v>
          </cell>
          <cell r="I25">
            <v>-671.35</v>
          </cell>
          <cell r="J25">
            <v>-671.35</v>
          </cell>
          <cell r="K25">
            <v>-671.35</v>
          </cell>
          <cell r="L25">
            <v>-671.35</v>
          </cell>
          <cell r="M25">
            <v>-671.35</v>
          </cell>
          <cell r="N25">
            <v>-671.35</v>
          </cell>
          <cell r="P25">
            <v>-7976.4600000000009</v>
          </cell>
        </row>
        <row r="26">
          <cell r="C26">
            <v>-23691.545833333334</v>
          </cell>
          <cell r="D26">
            <v>-19743.096666666668</v>
          </cell>
          <cell r="E26">
            <v>-16098.119166666667</v>
          </cell>
          <cell r="F26">
            <v>-23691.541666666668</v>
          </cell>
          <cell r="G26">
            <v>-23691.545833333334</v>
          </cell>
          <cell r="H26">
            <v>-23691.545833333334</v>
          </cell>
          <cell r="I26">
            <v>-23691.545833333334</v>
          </cell>
          <cell r="J26">
            <v>-19385.446666666667</v>
          </cell>
          <cell r="K26">
            <v>-23691.545833333334</v>
          </cell>
          <cell r="L26">
            <v>-13468.584999999999</v>
          </cell>
          <cell r="M26">
            <v>-13468.584999999999</v>
          </cell>
          <cell r="N26">
            <v>-14103.933333333334</v>
          </cell>
          <cell r="P26">
            <v>-284298.55</v>
          </cell>
        </row>
        <row r="27">
          <cell r="C27">
            <v>-138414.20000000001</v>
          </cell>
          <cell r="D27">
            <v>-109414.2</v>
          </cell>
          <cell r="E27">
            <v>-96960.3</v>
          </cell>
          <cell r="F27">
            <v>-120960.3</v>
          </cell>
          <cell r="G27">
            <v>-144414.20000000001</v>
          </cell>
          <cell r="H27">
            <v>-138414.20000000001</v>
          </cell>
          <cell r="I27">
            <v>-137960.29999999999</v>
          </cell>
          <cell r="J27">
            <v>-116960.3</v>
          </cell>
          <cell r="K27">
            <v>-119414.2</v>
          </cell>
          <cell r="L27">
            <v>-94414.2</v>
          </cell>
          <cell r="M27">
            <v>-91960.3</v>
          </cell>
          <cell r="N27">
            <v>-138414.20000000001</v>
          </cell>
          <cell r="P27">
            <v>-1454203.68</v>
          </cell>
        </row>
        <row r="28">
          <cell r="C28">
            <v>-46076.45</v>
          </cell>
          <cell r="D28">
            <v>-46076.45</v>
          </cell>
          <cell r="E28">
            <v>-47066.033333333333</v>
          </cell>
          <cell r="F28">
            <v>-52638.95</v>
          </cell>
          <cell r="G28">
            <v>-59357.7</v>
          </cell>
          <cell r="H28">
            <v>-69722.283333333326</v>
          </cell>
          <cell r="I28">
            <v>-80086.866666666654</v>
          </cell>
          <cell r="J28">
            <v>-90451.449999999983</v>
          </cell>
          <cell r="K28">
            <v>-100816.03333333331</v>
          </cell>
          <cell r="L28">
            <v>-111180.61666666664</v>
          </cell>
          <cell r="M28">
            <v>-121545.19999999997</v>
          </cell>
          <cell r="N28">
            <v>-131909.7833333333</v>
          </cell>
          <cell r="P28">
            <v>-558636.5</v>
          </cell>
        </row>
        <row r="29">
          <cell r="C29">
            <v>-22708.15</v>
          </cell>
          <cell r="D29">
            <v>-17509</v>
          </cell>
          <cell r="E29">
            <v>-14000</v>
          </cell>
          <cell r="F29">
            <v>-21559</v>
          </cell>
          <cell r="G29">
            <v>-21559</v>
          </cell>
          <cell r="H29">
            <v>-21559</v>
          </cell>
          <cell r="I29">
            <v>-19380</v>
          </cell>
          <cell r="J29">
            <v>-21559</v>
          </cell>
          <cell r="K29">
            <v>-21559</v>
          </cell>
          <cell r="L29">
            <v>-16830</v>
          </cell>
          <cell r="M29">
            <v>-12800</v>
          </cell>
          <cell r="N29">
            <v>-14330</v>
          </cell>
          <cell r="P29">
            <v>-256130.84</v>
          </cell>
        </row>
        <row r="30">
          <cell r="C30">
            <v>-1879</v>
          </cell>
          <cell r="D30">
            <v>-1879</v>
          </cell>
          <cell r="E30">
            <v>-1288</v>
          </cell>
          <cell r="F30">
            <v>-1879</v>
          </cell>
          <cell r="G30">
            <v>-1879</v>
          </cell>
          <cell r="H30">
            <v>-1879</v>
          </cell>
          <cell r="I30">
            <v>-1288</v>
          </cell>
          <cell r="J30">
            <v>-1879</v>
          </cell>
          <cell r="K30">
            <v>-1879</v>
          </cell>
          <cell r="L30">
            <v>-1288</v>
          </cell>
          <cell r="M30">
            <v>-988</v>
          </cell>
          <cell r="N30">
            <v>-1879</v>
          </cell>
          <cell r="P30">
            <v>-3642.6400000000003</v>
          </cell>
        </row>
        <row r="31">
          <cell r="P31">
            <v>-10616005.6525</v>
          </cell>
        </row>
        <row r="32">
          <cell r="C32">
            <v>-23813.8</v>
          </cell>
          <cell r="D32">
            <v>-23813.8</v>
          </cell>
          <cell r="E32">
            <v>-23813.8</v>
          </cell>
          <cell r="F32">
            <v>-25004.49</v>
          </cell>
          <cell r="G32">
            <v>-25004.49</v>
          </cell>
          <cell r="H32">
            <v>-25004.49</v>
          </cell>
          <cell r="I32">
            <v>-25004.49</v>
          </cell>
          <cell r="J32">
            <v>-25004.49</v>
          </cell>
          <cell r="K32">
            <v>-25004.49</v>
          </cell>
          <cell r="L32">
            <v>-25004.49</v>
          </cell>
          <cell r="M32">
            <v>-25004.49</v>
          </cell>
          <cell r="N32">
            <v>-25004.49</v>
          </cell>
          <cell r="P32">
            <v>-280264.99999999994</v>
          </cell>
        </row>
        <row r="33">
          <cell r="C33">
            <v>-3968</v>
          </cell>
          <cell r="D33">
            <v>-3968</v>
          </cell>
          <cell r="E33">
            <v>-3968</v>
          </cell>
          <cell r="F33">
            <v>-4167</v>
          </cell>
          <cell r="G33">
            <v>-4167</v>
          </cell>
          <cell r="H33">
            <v>-4167</v>
          </cell>
          <cell r="I33">
            <v>-4167</v>
          </cell>
          <cell r="J33">
            <v>-4167</v>
          </cell>
          <cell r="K33">
            <v>-4167</v>
          </cell>
          <cell r="L33">
            <v>-4167</v>
          </cell>
          <cell r="M33">
            <v>-4167</v>
          </cell>
          <cell r="N33">
            <v>-4167</v>
          </cell>
          <cell r="P33">
            <v>-48516.290000000015</v>
          </cell>
        </row>
        <row r="34">
          <cell r="P34">
            <v>0</v>
          </cell>
        </row>
        <row r="35">
          <cell r="C35">
            <v>-790</v>
          </cell>
          <cell r="D35">
            <v>-790</v>
          </cell>
          <cell r="E35">
            <v>-790</v>
          </cell>
          <cell r="F35">
            <v>-790</v>
          </cell>
          <cell r="G35">
            <v>-790</v>
          </cell>
          <cell r="H35">
            <v>-790</v>
          </cell>
          <cell r="I35">
            <v>-790</v>
          </cell>
          <cell r="J35">
            <v>-790</v>
          </cell>
          <cell r="K35">
            <v>-790</v>
          </cell>
          <cell r="L35">
            <v>-790</v>
          </cell>
          <cell r="M35">
            <v>-790</v>
          </cell>
          <cell r="N35">
            <v>-790</v>
          </cell>
          <cell r="P35">
            <v>-9442.4199999999964</v>
          </cell>
        </row>
        <row r="36">
          <cell r="C36">
            <v>-6027.6399999999994</v>
          </cell>
          <cell r="D36">
            <v>-6027.6399999999994</v>
          </cell>
          <cell r="E36">
            <v>-3965.14</v>
          </cell>
          <cell r="F36">
            <v>-6027.6399999999994</v>
          </cell>
          <cell r="G36">
            <v>-6027.6399999999994</v>
          </cell>
          <cell r="H36">
            <v>-6027.6399999999994</v>
          </cell>
          <cell r="I36">
            <v>-6027.6399999999994</v>
          </cell>
          <cell r="J36">
            <v>-6027.6399999999994</v>
          </cell>
          <cell r="K36">
            <v>-6027.6399999999994</v>
          </cell>
          <cell r="L36">
            <v>-3965.14</v>
          </cell>
          <cell r="M36">
            <v>-3965.14</v>
          </cell>
          <cell r="N36">
            <v>-6027.6399999999994</v>
          </cell>
          <cell r="P36">
            <v>-71426.28</v>
          </cell>
        </row>
        <row r="37">
          <cell r="P37">
            <v>0</v>
          </cell>
        </row>
        <row r="38">
          <cell r="P38">
            <v>0</v>
          </cell>
        </row>
        <row r="39">
          <cell r="P39">
            <v>0</v>
          </cell>
        </row>
        <row r="40">
          <cell r="P40">
            <v>-864.00000000000011</v>
          </cell>
        </row>
        <row r="41">
          <cell r="P41">
            <v>0</v>
          </cell>
        </row>
        <row r="42">
          <cell r="C42">
            <v>-18725.16</v>
          </cell>
          <cell r="D42">
            <v>-18725.16</v>
          </cell>
          <cell r="E42">
            <v>-18725.16</v>
          </cell>
          <cell r="F42">
            <v>-18725.16</v>
          </cell>
          <cell r="G42">
            <v>-18725.16</v>
          </cell>
          <cell r="H42">
            <v>-18725.16</v>
          </cell>
          <cell r="I42">
            <v>-18725.16</v>
          </cell>
          <cell r="J42">
            <v>-18725.16</v>
          </cell>
          <cell r="K42">
            <v>-18725.16</v>
          </cell>
          <cell r="L42">
            <v>-18725.16</v>
          </cell>
          <cell r="M42">
            <v>-18725.16</v>
          </cell>
          <cell r="N42">
            <v>-18725.16</v>
          </cell>
          <cell r="P42">
            <v>-219441.31</v>
          </cell>
        </row>
        <row r="43">
          <cell r="P43">
            <v>0</v>
          </cell>
        </row>
        <row r="44">
          <cell r="C44">
            <v>-75.5</v>
          </cell>
          <cell r="D44">
            <v>-75.5</v>
          </cell>
          <cell r="E44">
            <v>-75.5</v>
          </cell>
          <cell r="F44">
            <v>-75.5</v>
          </cell>
          <cell r="G44">
            <v>-75.5</v>
          </cell>
          <cell r="H44">
            <v>-75.5</v>
          </cell>
          <cell r="I44">
            <v>-75.5</v>
          </cell>
          <cell r="J44">
            <v>-75.5</v>
          </cell>
          <cell r="K44">
            <v>-75.5</v>
          </cell>
          <cell r="L44">
            <v>-75.5</v>
          </cell>
          <cell r="M44">
            <v>-75.5</v>
          </cell>
          <cell r="N44">
            <v>-75.5</v>
          </cell>
          <cell r="P44">
            <v>-905.6</v>
          </cell>
        </row>
        <row r="45">
          <cell r="C45">
            <v>-7000</v>
          </cell>
          <cell r="D45">
            <v>-7000</v>
          </cell>
          <cell r="E45">
            <v>-7000</v>
          </cell>
          <cell r="F45">
            <v>-7000</v>
          </cell>
          <cell r="G45">
            <v>-7000</v>
          </cell>
          <cell r="H45">
            <v>-7000</v>
          </cell>
          <cell r="I45">
            <v>-7000</v>
          </cell>
          <cell r="J45">
            <v>-7000</v>
          </cell>
          <cell r="K45">
            <v>-7000</v>
          </cell>
          <cell r="L45">
            <v>-6000</v>
          </cell>
          <cell r="M45">
            <v>-5415</v>
          </cell>
          <cell r="N45">
            <v>-6915</v>
          </cell>
          <cell r="P45">
            <v>-81302.040000000008</v>
          </cell>
        </row>
        <row r="46">
          <cell r="C46">
            <v>-3550</v>
          </cell>
          <cell r="D46">
            <v>-3550</v>
          </cell>
          <cell r="E46">
            <v>-3550</v>
          </cell>
          <cell r="F46">
            <v>-3550</v>
          </cell>
          <cell r="G46">
            <v>-3550</v>
          </cell>
          <cell r="H46">
            <v>-3550</v>
          </cell>
          <cell r="I46">
            <v>-3550</v>
          </cell>
          <cell r="J46">
            <v>-3550</v>
          </cell>
          <cell r="K46">
            <v>-3550</v>
          </cell>
          <cell r="L46">
            <v>-3550</v>
          </cell>
          <cell r="M46">
            <v>-3550</v>
          </cell>
          <cell r="N46">
            <v>-3550</v>
          </cell>
          <cell r="P46">
            <v>-100497.81</v>
          </cell>
        </row>
        <row r="47">
          <cell r="P47">
            <v>0</v>
          </cell>
        </row>
        <row r="49">
          <cell r="C49">
            <v>-16858</v>
          </cell>
          <cell r="D49">
            <v>-16858</v>
          </cell>
          <cell r="E49">
            <v>-13858</v>
          </cell>
          <cell r="F49">
            <v>-13858</v>
          </cell>
          <cell r="G49">
            <v>-16858</v>
          </cell>
          <cell r="H49">
            <v>-13858</v>
          </cell>
          <cell r="I49">
            <v>-13858</v>
          </cell>
          <cell r="J49">
            <v>-13858</v>
          </cell>
          <cell r="K49">
            <v>-13858</v>
          </cell>
          <cell r="L49">
            <v>-13858</v>
          </cell>
          <cell r="M49">
            <v>-5000</v>
          </cell>
          <cell r="N49">
            <v>-13858</v>
          </cell>
          <cell r="P49">
            <v>-166301.06</v>
          </cell>
        </row>
        <row r="50">
          <cell r="C50">
            <v>-1923</v>
          </cell>
          <cell r="D50">
            <v>-1923</v>
          </cell>
          <cell r="E50">
            <v>-1923</v>
          </cell>
          <cell r="F50">
            <v>-1923</v>
          </cell>
          <cell r="G50">
            <v>-1923</v>
          </cell>
          <cell r="H50">
            <v>-1923</v>
          </cell>
          <cell r="I50">
            <v>-1923</v>
          </cell>
          <cell r="J50">
            <v>-1923</v>
          </cell>
          <cell r="K50">
            <v>-1923</v>
          </cell>
          <cell r="L50">
            <v>-1923</v>
          </cell>
          <cell r="M50">
            <v>-1923</v>
          </cell>
          <cell r="N50">
            <v>-1923</v>
          </cell>
          <cell r="P50">
            <v>-23085.89</v>
          </cell>
        </row>
        <row r="51">
          <cell r="P51">
            <v>0</v>
          </cell>
        </row>
        <row r="52">
          <cell r="P52">
            <v>-14331.91</v>
          </cell>
        </row>
        <row r="53">
          <cell r="P53">
            <v>-2.2599999999999998</v>
          </cell>
        </row>
        <row r="54">
          <cell r="C54">
            <v>-23500</v>
          </cell>
          <cell r="D54">
            <v>-23500</v>
          </cell>
          <cell r="E54">
            <v>-23500</v>
          </cell>
          <cell r="F54">
            <v>-23500</v>
          </cell>
          <cell r="G54">
            <v>-23500</v>
          </cell>
          <cell r="H54">
            <v>-23500</v>
          </cell>
          <cell r="I54">
            <v>-23500</v>
          </cell>
          <cell r="J54">
            <v>-23500</v>
          </cell>
          <cell r="K54">
            <v>-23500</v>
          </cell>
          <cell r="L54">
            <v>-23500</v>
          </cell>
          <cell r="M54">
            <v>-23500</v>
          </cell>
          <cell r="N54">
            <v>-23500</v>
          </cell>
          <cell r="P54">
            <v>-281209.2</v>
          </cell>
        </row>
        <row r="58">
          <cell r="P58">
            <v>10046.189999999999</v>
          </cell>
        </row>
        <row r="59">
          <cell r="C59">
            <v>-31575.919999999998</v>
          </cell>
          <cell r="D59">
            <v>-31494.240000000002</v>
          </cell>
          <cell r="E59">
            <v>-31412.560000000001</v>
          </cell>
          <cell r="F59">
            <v>-32177.366486486488</v>
          </cell>
          <cell r="G59">
            <v>-32122.972972972973</v>
          </cell>
          <cell r="H59">
            <v>-33275.135135135133</v>
          </cell>
          <cell r="I59">
            <v>-33218.963963963964</v>
          </cell>
          <cell r="J59">
            <v>-33162.792792792796</v>
          </cell>
          <cell r="K59">
            <v>-33106.62162162162</v>
          </cell>
          <cell r="L59">
            <v>-33050.450450450451</v>
          </cell>
          <cell r="M59">
            <v>-32994.279279279282</v>
          </cell>
          <cell r="N59">
            <v>-32938.108108108107</v>
          </cell>
          <cell r="P59">
            <v>-388407.28999999992</v>
          </cell>
        </row>
        <row r="60">
          <cell r="P60">
            <v>0</v>
          </cell>
        </row>
        <row r="61">
          <cell r="P61">
            <v>-3241.6299999999997</v>
          </cell>
        </row>
        <row r="62">
          <cell r="P62">
            <v>1300000</v>
          </cell>
        </row>
        <row r="63">
          <cell r="P63">
            <v>0</v>
          </cell>
        </row>
        <row r="66">
          <cell r="C66">
            <v>-79488.468191367618</v>
          </cell>
          <cell r="D66">
            <v>-81425.477267592723</v>
          </cell>
          <cell r="E66">
            <v>-50836.620095345417</v>
          </cell>
          <cell r="F66">
            <v>-74866.983864014168</v>
          </cell>
          <cell r="G66">
            <v>-78627.940183482351</v>
          </cell>
          <cell r="H66">
            <v>-73243.208617013908</v>
          </cell>
          <cell r="I66">
            <v>-75728.030652000074</v>
          </cell>
          <cell r="J66">
            <v>-74815.777862425588</v>
          </cell>
          <cell r="K66">
            <v>-69102.51835481092</v>
          </cell>
          <cell r="L66">
            <v>-53150.07921602334</v>
          </cell>
          <cell r="M66">
            <v>-9348.641990663773</v>
          </cell>
          <cell r="N66">
            <v>-52809.376530054047</v>
          </cell>
          <cell r="P66">
            <v>-446336.46269999986</v>
          </cell>
        </row>
      </sheetData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6" tint="0.39997558519241921"/>
  </sheetPr>
  <dimension ref="A1:S84"/>
  <sheetViews>
    <sheetView tabSelected="1" zoomScaleNormal="100" zoomScaleSheetLayoutView="70" workbookViewId="0">
      <selection activeCell="S16" sqref="S16"/>
    </sheetView>
  </sheetViews>
  <sheetFormatPr defaultRowHeight="11.25"/>
  <cols>
    <col min="1" max="1" width="5" style="25" customWidth="1"/>
    <col min="2" max="2" width="25.42578125" style="10" customWidth="1"/>
    <col min="3" max="3" width="8.28515625" style="10" customWidth="1"/>
    <col min="4" max="6" width="8.28515625" style="3" customWidth="1"/>
    <col min="7" max="7" width="8.28515625" style="26" customWidth="1"/>
    <col min="8" max="17" width="8.28515625" style="3" customWidth="1"/>
    <col min="18" max="18" width="1.28515625" style="3" customWidth="1"/>
    <col min="19" max="19" width="20.28515625" style="3" customWidth="1"/>
    <col min="20" max="16384" width="9.140625" style="3"/>
  </cols>
  <sheetData>
    <row r="1" spans="1:19" ht="15" customHeight="1">
      <c r="A1" s="27"/>
      <c r="E1" s="94" t="s">
        <v>56</v>
      </c>
      <c r="F1" s="77"/>
      <c r="H1" s="10"/>
      <c r="I1" s="10"/>
      <c r="J1" s="10"/>
      <c r="K1" s="10"/>
      <c r="L1" s="10"/>
      <c r="M1" s="10"/>
      <c r="N1" s="10"/>
      <c r="P1" s="29" t="s">
        <v>0</v>
      </c>
      <c r="Q1" s="30" t="s">
        <v>94</v>
      </c>
    </row>
    <row r="2" spans="1:19" s="28" customFormat="1" ht="14.25" customHeight="1">
      <c r="A2" s="90" t="s">
        <v>78</v>
      </c>
      <c r="B2" s="104" t="s">
        <v>95</v>
      </c>
      <c r="C2" s="91" t="s">
        <v>96</v>
      </c>
      <c r="D2" s="91"/>
      <c r="E2" s="91"/>
      <c r="F2" s="91" t="s">
        <v>97</v>
      </c>
      <c r="G2" s="91"/>
      <c r="H2" s="91"/>
      <c r="I2" s="91"/>
      <c r="J2" s="91" t="s">
        <v>98</v>
      </c>
      <c r="K2" s="91"/>
      <c r="L2" s="91"/>
      <c r="M2" s="91" t="s">
        <v>99</v>
      </c>
      <c r="N2" s="91"/>
      <c r="O2" s="91"/>
      <c r="P2" s="92" t="s">
        <v>73</v>
      </c>
      <c r="Q2" s="93">
        <v>3</v>
      </c>
    </row>
    <row r="3" spans="1:19">
      <c r="A3" s="65" t="s">
        <v>1</v>
      </c>
      <c r="B3" s="66"/>
      <c r="C3" s="67">
        <v>43556</v>
      </c>
      <c r="D3" s="68">
        <v>43586</v>
      </c>
      <c r="E3" s="67">
        <v>43617</v>
      </c>
      <c r="F3" s="68">
        <v>43647</v>
      </c>
      <c r="G3" s="67">
        <v>43678</v>
      </c>
      <c r="H3" s="68">
        <v>43709</v>
      </c>
      <c r="I3" s="67">
        <v>43739</v>
      </c>
      <c r="J3" s="68">
        <v>43770</v>
      </c>
      <c r="K3" s="67">
        <v>43800</v>
      </c>
      <c r="L3" s="68">
        <v>43831</v>
      </c>
      <c r="M3" s="67">
        <v>43862</v>
      </c>
      <c r="N3" s="68">
        <v>43891</v>
      </c>
      <c r="O3" s="69" t="s">
        <v>57</v>
      </c>
      <c r="P3" s="70" t="s">
        <v>2</v>
      </c>
      <c r="Q3" s="71" t="s">
        <v>3</v>
      </c>
      <c r="S3" s="54" t="s">
        <v>70</v>
      </c>
    </row>
    <row r="4" spans="1:19">
      <c r="A4" s="72"/>
      <c r="B4" s="73"/>
      <c r="C4" s="74" t="s">
        <v>58</v>
      </c>
      <c r="D4" s="74" t="s">
        <v>58</v>
      </c>
      <c r="E4" s="74" t="s">
        <v>58</v>
      </c>
      <c r="F4" s="74" t="s">
        <v>58</v>
      </c>
      <c r="G4" s="74" t="s">
        <v>58</v>
      </c>
      <c r="H4" s="74" t="s">
        <v>58</v>
      </c>
      <c r="I4" s="74" t="s">
        <v>58</v>
      </c>
      <c r="J4" s="74" t="s">
        <v>58</v>
      </c>
      <c r="K4" s="74" t="s">
        <v>58</v>
      </c>
      <c r="L4" s="74" t="s">
        <v>58</v>
      </c>
      <c r="M4" s="74" t="s">
        <v>58</v>
      </c>
      <c r="N4" s="74" t="s">
        <v>58</v>
      </c>
      <c r="O4" s="74" t="s">
        <v>58</v>
      </c>
      <c r="P4" s="75" t="s">
        <v>4</v>
      </c>
      <c r="Q4" s="76"/>
      <c r="R4" s="10"/>
      <c r="S4" s="88" t="s">
        <v>86</v>
      </c>
    </row>
    <row r="5" spans="1:19" ht="10.5" customHeight="1">
      <c r="A5" s="4">
        <f>A4+1</f>
        <v>1</v>
      </c>
      <c r="B5" s="2" t="s">
        <v>6</v>
      </c>
      <c r="C5" s="5">
        <f>[2]B81B!C5</f>
        <v>3732820</v>
      </c>
      <c r="D5" s="5">
        <f>[2]B81B!D5</f>
        <v>3552332</v>
      </c>
      <c r="E5" s="5">
        <f>[2]B81B!E5</f>
        <v>2994460</v>
      </c>
      <c r="F5" s="5">
        <f>[2]B81B!F5</f>
        <v>3650780</v>
      </c>
      <c r="G5" s="5">
        <f>[2]B81B!G5</f>
        <v>3814860</v>
      </c>
      <c r="H5" s="5">
        <f>[2]B81B!H5</f>
        <v>3724616.0000000005</v>
      </c>
      <c r="I5" s="5">
        <f>[2]B81B!I5</f>
        <v>3753330</v>
      </c>
      <c r="J5" s="5">
        <f>[2]B81B!J5</f>
        <v>3527719.9999999995</v>
      </c>
      <c r="K5" s="5">
        <f>[2]B81B!K5</f>
        <v>3486700.0000000005</v>
      </c>
      <c r="L5" s="5">
        <f>[2]B81B!L5</f>
        <v>2994460</v>
      </c>
      <c r="M5" s="5">
        <f>[2]B81B!M5</f>
        <v>2284814</v>
      </c>
      <c r="N5" s="5">
        <f>[2]B81B!N5</f>
        <v>3503108</v>
      </c>
      <c r="O5" s="35">
        <f>SUM(C5:N5)</f>
        <v>41020000</v>
      </c>
      <c r="P5" s="35">
        <f>[2]B81B!P5</f>
        <v>40017237.04999999</v>
      </c>
      <c r="Q5" s="60">
        <f>IFERROR((O5-P5)/P5,"")</f>
        <v>2.5058275481315638E-2</v>
      </c>
      <c r="R5" s="63"/>
      <c r="S5" s="89">
        <v>0.05</v>
      </c>
    </row>
    <row r="6" spans="1:19" ht="10.5" customHeight="1">
      <c r="A6" s="4">
        <f t="shared" ref="A6:A67" si="0">A5+1</f>
        <v>2</v>
      </c>
      <c r="B6" s="2" t="s">
        <v>7</v>
      </c>
      <c r="C6" s="5">
        <f>[2]B81B!C6</f>
        <v>92479.96337177539</v>
      </c>
      <c r="D6" s="5">
        <f>[2]B81B!D6</f>
        <v>92588.763328683359</v>
      </c>
      <c r="E6" s="5">
        <f>[2]B81B!E6</f>
        <v>75071.970266500022</v>
      </c>
      <c r="F6" s="5">
        <f>[2]B81B!F6</f>
        <v>95091.162337566697</v>
      </c>
      <c r="G6" s="5">
        <f>[2]B81B!G6</f>
        <v>75199.962294474666</v>
      </c>
      <c r="H6" s="5">
        <f>[2]B81B!H6</f>
        <v>75417.562208290605</v>
      </c>
      <c r="I6" s="5">
        <f>[2]B81B!I6</f>
        <v>80204.760312241327</v>
      </c>
      <c r="J6" s="5">
        <f>[2]B81B!J6</f>
        <v>83251.159105664541</v>
      </c>
      <c r="K6" s="5">
        <f>[2]B81B!K6</f>
        <v>83230.44</v>
      </c>
      <c r="L6" s="5">
        <f>[2]B81B!L6</f>
        <v>82708.686348543692</v>
      </c>
      <c r="M6" s="5">
        <f>[2]B81B!M6</f>
        <v>60027.562431984043</v>
      </c>
      <c r="N6" s="5">
        <f>[2]B81B!N6</f>
        <v>84728.01</v>
      </c>
      <c r="O6" s="36">
        <f t="shared" ref="O6:O66" si="1">SUM(C6:N6)</f>
        <v>980000.00200572435</v>
      </c>
      <c r="P6" s="36">
        <f>[2]B81B!P6</f>
        <v>952762.95000000007</v>
      </c>
      <c r="Q6" s="61">
        <f t="shared" ref="Q6:Q66" si="2">IFERROR((O6-P6)/P6,"")</f>
        <v>2.8587438255994611E-2</v>
      </c>
      <c r="R6" s="63"/>
      <c r="S6" s="88" t="s">
        <v>87</v>
      </c>
    </row>
    <row r="7" spans="1:19" s="7" customFormat="1" ht="10.5" customHeight="1">
      <c r="A7" s="4">
        <f>A6+1</f>
        <v>3</v>
      </c>
      <c r="B7" s="1" t="s">
        <v>8</v>
      </c>
      <c r="C7" s="6">
        <f>SUM(C5:C6)</f>
        <v>3825299.9633717756</v>
      </c>
      <c r="D7" s="6">
        <f t="shared" ref="D7:N7" si="3">SUM(D5:D6)</f>
        <v>3644920.7633286836</v>
      </c>
      <c r="E7" s="6">
        <f t="shared" si="3"/>
        <v>3069531.9702665</v>
      </c>
      <c r="F7" s="6">
        <f t="shared" si="3"/>
        <v>3745871.1623375667</v>
      </c>
      <c r="G7" s="6">
        <f t="shared" si="3"/>
        <v>3890059.9622944747</v>
      </c>
      <c r="H7" s="6">
        <f t="shared" si="3"/>
        <v>3800033.5622082911</v>
      </c>
      <c r="I7" s="6">
        <f t="shared" si="3"/>
        <v>3833534.7603122415</v>
      </c>
      <c r="J7" s="6">
        <f t="shared" si="3"/>
        <v>3610971.1591056641</v>
      </c>
      <c r="K7" s="6">
        <f t="shared" si="3"/>
        <v>3569930.4400000004</v>
      </c>
      <c r="L7" s="6">
        <f t="shared" si="3"/>
        <v>3077168.6863485435</v>
      </c>
      <c r="M7" s="6">
        <f t="shared" si="3"/>
        <v>2344841.5624319841</v>
      </c>
      <c r="N7" s="6">
        <f t="shared" si="3"/>
        <v>3587836.01</v>
      </c>
      <c r="O7" s="38">
        <f t="shared" si="1"/>
        <v>42000000.002005726</v>
      </c>
      <c r="P7" s="38">
        <f>[2]B81B!P7</f>
        <v>40970000</v>
      </c>
      <c r="Q7" s="62">
        <f t="shared" si="2"/>
        <v>2.5140346644025532E-2</v>
      </c>
      <c r="R7" s="63"/>
      <c r="S7" s="87" t="s">
        <v>93</v>
      </c>
    </row>
    <row r="8" spans="1:19" ht="10.5" customHeight="1">
      <c r="A8" s="4">
        <f>A7+1</f>
        <v>4</v>
      </c>
      <c r="B8" s="2" t="s">
        <v>9</v>
      </c>
      <c r="C8" s="5">
        <f>[2]B81B!C8</f>
        <v>-2318533.5097064795</v>
      </c>
      <c r="D8" s="5">
        <f>[2]B81B!D8</f>
        <v>-2205214.7977178986</v>
      </c>
      <c r="E8" s="5">
        <f>[2]B81B!E8</f>
        <v>-1859688.0278793774</v>
      </c>
      <c r="F8" s="5">
        <f>[2]B81B!F8</f>
        <v>-2266346.1419805447</v>
      </c>
      <c r="G8" s="5">
        <f>[2]B81B!G8</f>
        <v>-2374608.1099919649</v>
      </c>
      <c r="H8" s="5">
        <f>[2]B81B!H8</f>
        <v>-2317905.5060148034</v>
      </c>
      <c r="I8" s="5">
        <f>[2]B81B!I8</f>
        <v>-2329660.28851726</v>
      </c>
      <c r="J8" s="5">
        <f>[2]B81B!J8</f>
        <v>-2173383.668691</v>
      </c>
      <c r="K8" s="5">
        <f>[2]B81B!K8</f>
        <v>-2156498.4334</v>
      </c>
      <c r="L8" s="5">
        <f>[2]B81B!L8</f>
        <v>-1852664.29811764</v>
      </c>
      <c r="M8" s="5">
        <f>[2]B81B!M8</f>
        <v>-1391549.6620028201</v>
      </c>
      <c r="N8" s="5">
        <f>[2]B81B!N8</f>
        <v>-2161400.65735</v>
      </c>
      <c r="O8" s="36">
        <f t="shared" si="1"/>
        <v>-25407453.101369791</v>
      </c>
      <c r="P8" s="36">
        <f>[2]B81B!P8</f>
        <v>-23302999.325000007</v>
      </c>
      <c r="Q8" s="61">
        <f t="shared" si="2"/>
        <v>9.030827950598086E-2</v>
      </c>
      <c r="R8" s="63"/>
      <c r="S8" s="88" t="s">
        <v>88</v>
      </c>
    </row>
    <row r="9" spans="1:19" ht="10.5" customHeight="1">
      <c r="A9" s="4">
        <f t="shared" si="0"/>
        <v>5</v>
      </c>
      <c r="B9" s="2" t="s">
        <v>10</v>
      </c>
      <c r="C9" s="5">
        <f>[2]B81B!C9</f>
        <v>-83231.967034597852</v>
      </c>
      <c r="D9" s="5">
        <f>[2]B81B!D9</f>
        <v>-83329.886995815032</v>
      </c>
      <c r="E9" s="5">
        <f>[2]B81B!E9</f>
        <v>-67564.773239850023</v>
      </c>
      <c r="F9" s="5">
        <f>[2]B81B!F9</f>
        <v>-85582.046103810033</v>
      </c>
      <c r="G9" s="5">
        <f>[2]B81B!G9</f>
        <v>-67679.966065027198</v>
      </c>
      <c r="H9" s="5">
        <f>[2]B81B!H9</f>
        <v>-67875.805987461543</v>
      </c>
      <c r="I9" s="5">
        <f>[2]B81B!I9</f>
        <v>-72184.284281017201</v>
      </c>
      <c r="J9" s="5">
        <f>[2]B81B!J9</f>
        <v>-74926.043195098086</v>
      </c>
      <c r="K9" s="5">
        <f>[2]B81B!K9</f>
        <v>-74907.396000000008</v>
      </c>
      <c r="L9" s="5">
        <f>[2]B81B!L9</f>
        <v>-74437.817713689321</v>
      </c>
      <c r="M9" s="5">
        <f>[2]B81B!M9</f>
        <v>-54024.806188785638</v>
      </c>
      <c r="N9" s="5">
        <f>[2]B81B!N9</f>
        <v>-76255.209000000003</v>
      </c>
      <c r="O9" s="36">
        <f t="shared" si="1"/>
        <v>-882000.00180515193</v>
      </c>
      <c r="P9" s="36">
        <f>[2]B81B!P9</f>
        <v>-2479793.8800000004</v>
      </c>
      <c r="Q9" s="61">
        <f t="shared" si="2"/>
        <v>-0.64432527682294638</v>
      </c>
      <c r="R9" s="63"/>
      <c r="S9" s="87" t="s">
        <v>91</v>
      </c>
    </row>
    <row r="10" spans="1:19" s="7" customFormat="1" ht="10.5" customHeight="1">
      <c r="A10" s="4">
        <f t="shared" si="0"/>
        <v>6</v>
      </c>
      <c r="B10" s="1" t="s">
        <v>11</v>
      </c>
      <c r="C10" s="6">
        <f t="shared" ref="C10:N10" si="4">SUM(C8:C9)</f>
        <v>-2401765.4767410774</v>
      </c>
      <c r="D10" s="6">
        <f t="shared" si="4"/>
        <v>-2288544.6847137138</v>
      </c>
      <c r="E10" s="6">
        <f t="shared" si="4"/>
        <v>-1927252.8011192274</v>
      </c>
      <c r="F10" s="6">
        <f t="shared" si="4"/>
        <v>-2351928.1880843546</v>
      </c>
      <c r="G10" s="6">
        <f t="shared" si="4"/>
        <v>-2442288.0760569922</v>
      </c>
      <c r="H10" s="6">
        <f t="shared" si="4"/>
        <v>-2385781.3120022649</v>
      </c>
      <c r="I10" s="6">
        <f t="shared" si="4"/>
        <v>-2401844.5727982773</v>
      </c>
      <c r="J10" s="6">
        <f t="shared" si="4"/>
        <v>-2248309.7118860981</v>
      </c>
      <c r="K10" s="6">
        <f t="shared" si="4"/>
        <v>-2231405.8294000002</v>
      </c>
      <c r="L10" s="6">
        <f t="shared" si="4"/>
        <v>-1927102.1158313293</v>
      </c>
      <c r="M10" s="6">
        <f t="shared" si="4"/>
        <v>-1445574.4681916058</v>
      </c>
      <c r="N10" s="6">
        <f t="shared" si="4"/>
        <v>-2237655.8663499998</v>
      </c>
      <c r="O10" s="38">
        <f t="shared" si="1"/>
        <v>-26289453.10317494</v>
      </c>
      <c r="P10" s="38">
        <f>[2]B81B!P10</f>
        <v>-25782793.205000002</v>
      </c>
      <c r="Q10" s="62">
        <f t="shared" si="2"/>
        <v>1.9651086449263472E-2</v>
      </c>
      <c r="R10" s="64"/>
      <c r="S10" s="88" t="s">
        <v>89</v>
      </c>
    </row>
    <row r="11" spans="1:19" s="7" customFormat="1" ht="10.5" customHeight="1" thickBot="1">
      <c r="A11" s="4">
        <f t="shared" si="0"/>
        <v>7</v>
      </c>
      <c r="B11" s="8" t="s">
        <v>12</v>
      </c>
      <c r="C11" s="9">
        <f>SUM(C7,C10)</f>
        <v>1423534.4866306982</v>
      </c>
      <c r="D11" s="9">
        <f t="shared" ref="D11:N11" si="5">SUM(D7,D10)</f>
        <v>1356376.0786149697</v>
      </c>
      <c r="E11" s="9">
        <f t="shared" si="5"/>
        <v>1142279.1691472726</v>
      </c>
      <c r="F11" s="9">
        <f t="shared" si="5"/>
        <v>1393942.9742532121</v>
      </c>
      <c r="G11" s="9">
        <f t="shared" si="5"/>
        <v>1447771.8862374825</v>
      </c>
      <c r="H11" s="9">
        <f t="shared" si="5"/>
        <v>1414252.2502060262</v>
      </c>
      <c r="I11" s="9">
        <f t="shared" si="5"/>
        <v>1431690.1875139643</v>
      </c>
      <c r="J11" s="9">
        <f t="shared" si="5"/>
        <v>1362661.447219566</v>
      </c>
      <c r="K11" s="9">
        <f t="shared" si="5"/>
        <v>1338524.6106000002</v>
      </c>
      <c r="L11" s="9">
        <f t="shared" si="5"/>
        <v>1150066.5705172142</v>
      </c>
      <c r="M11" s="9">
        <f t="shared" si="5"/>
        <v>899267.09424037836</v>
      </c>
      <c r="N11" s="9">
        <f t="shared" si="5"/>
        <v>1350180.14365</v>
      </c>
      <c r="O11" s="40">
        <f t="shared" si="1"/>
        <v>15710546.898830783</v>
      </c>
      <c r="P11" s="40">
        <f>[2]B81B!P11</f>
        <v>15187206.794999998</v>
      </c>
      <c r="Q11" s="41">
        <f t="shared" si="2"/>
        <v>3.445927291930212E-2</v>
      </c>
      <c r="S11" s="82" t="s">
        <v>92</v>
      </c>
    </row>
    <row r="12" spans="1:19" ht="10.5" customHeight="1" thickTop="1">
      <c r="A12" s="4">
        <f t="shared" si="0"/>
        <v>8</v>
      </c>
      <c r="B12" s="2" t="s">
        <v>13</v>
      </c>
      <c r="C12" s="5">
        <f>[2]B81B!C12</f>
        <v>0</v>
      </c>
      <c r="D12" s="5">
        <f>[2]B81B!D12</f>
        <v>0</v>
      </c>
      <c r="E12" s="5">
        <f>[2]B81B!E12</f>
        <v>0</v>
      </c>
      <c r="F12" s="5">
        <f>[2]B81B!F12</f>
        <v>0</v>
      </c>
      <c r="G12" s="5">
        <f>[2]B81B!G12</f>
        <v>0</v>
      </c>
      <c r="H12" s="5">
        <f>[2]B81B!H12</f>
        <v>0</v>
      </c>
      <c r="I12" s="5">
        <f>[2]B81B!I12</f>
        <v>0</v>
      </c>
      <c r="J12" s="5">
        <f>[2]B81B!J12</f>
        <v>0</v>
      </c>
      <c r="K12" s="5">
        <f>[2]B81B!K12</f>
        <v>0</v>
      </c>
      <c r="L12" s="5">
        <f>[2]B81B!L12</f>
        <v>0</v>
      </c>
      <c r="M12" s="5">
        <f>[2]B81B!M12</f>
        <v>0</v>
      </c>
      <c r="N12" s="5">
        <f>[2]B81B!N12</f>
        <v>0</v>
      </c>
      <c r="O12" s="36">
        <f t="shared" si="1"/>
        <v>0</v>
      </c>
      <c r="P12" s="36">
        <f>[2]B81B!P12</f>
        <v>0</v>
      </c>
      <c r="Q12" s="37" t="str">
        <f t="shared" si="2"/>
        <v/>
      </c>
    </row>
    <row r="13" spans="1:19" ht="10.5" customHeight="1">
      <c r="A13" s="4">
        <f t="shared" si="0"/>
        <v>9</v>
      </c>
      <c r="B13" s="2" t="s">
        <v>14</v>
      </c>
      <c r="C13" s="5">
        <f>[2]B81B!C13</f>
        <v>7200</v>
      </c>
      <c r="D13" s="5">
        <f>[2]B81B!D13</f>
        <v>7200</v>
      </c>
      <c r="E13" s="5">
        <f>[2]B81B!E13</f>
        <v>7200</v>
      </c>
      <c r="F13" s="5">
        <f>[2]B81B!F13</f>
        <v>7200</v>
      </c>
      <c r="G13" s="5">
        <f>[2]B81B!G13</f>
        <v>7200</v>
      </c>
      <c r="H13" s="5">
        <f>[2]B81B!H13</f>
        <v>7200</v>
      </c>
      <c r="I13" s="5">
        <f>[2]B81B!I13</f>
        <v>7200</v>
      </c>
      <c r="J13" s="5">
        <f>[2]B81B!J13</f>
        <v>7200</v>
      </c>
      <c r="K13" s="5">
        <f>[2]B81B!K13</f>
        <v>7200</v>
      </c>
      <c r="L13" s="5">
        <f>[2]B81B!L13</f>
        <v>7200</v>
      </c>
      <c r="M13" s="5">
        <f>[2]B81B!M13</f>
        <v>7200</v>
      </c>
      <c r="N13" s="5">
        <f>[2]B81B!N13</f>
        <v>7200</v>
      </c>
      <c r="O13" s="42">
        <f t="shared" si="1"/>
        <v>86400</v>
      </c>
      <c r="P13" s="42">
        <f>[2]B81B!P13</f>
        <v>85784.72</v>
      </c>
      <c r="Q13" s="43">
        <f t="shared" si="2"/>
        <v>7.1723728887848424E-3</v>
      </c>
      <c r="R13" s="10"/>
    </row>
    <row r="14" spans="1:19" ht="10.5" customHeight="1">
      <c r="A14" s="4">
        <f t="shared" si="0"/>
        <v>10</v>
      </c>
      <c r="B14" s="2" t="s">
        <v>15</v>
      </c>
      <c r="C14" s="5">
        <f>[2]B81B!C14</f>
        <v>0</v>
      </c>
      <c r="D14" s="5">
        <f>[2]B81B!D14</f>
        <v>0</v>
      </c>
      <c r="E14" s="5">
        <f>[2]B81B!E14</f>
        <v>0</v>
      </c>
      <c r="F14" s="5">
        <f>[2]B81B!F14</f>
        <v>0</v>
      </c>
      <c r="G14" s="5">
        <f>[2]B81B!G14</f>
        <v>0</v>
      </c>
      <c r="H14" s="5">
        <f>[2]B81B!H14</f>
        <v>0</v>
      </c>
      <c r="I14" s="5">
        <f>[2]B81B!I14</f>
        <v>0</v>
      </c>
      <c r="J14" s="5">
        <f>[2]B81B!J14</f>
        <v>0</v>
      </c>
      <c r="K14" s="5">
        <f>[2]B81B!K14</f>
        <v>0</v>
      </c>
      <c r="L14" s="5">
        <f>[2]B81B!L14</f>
        <v>0</v>
      </c>
      <c r="M14" s="5">
        <f>[2]B81B!M14</f>
        <v>0</v>
      </c>
      <c r="N14" s="5">
        <f>[2]B81B!N14</f>
        <v>0</v>
      </c>
      <c r="O14" s="36">
        <f t="shared" si="1"/>
        <v>0</v>
      </c>
      <c r="P14" s="36">
        <f>[2]B81B!P14</f>
        <v>107256.70000000001</v>
      </c>
      <c r="Q14" s="37">
        <f t="shared" si="2"/>
        <v>-1</v>
      </c>
    </row>
    <row r="15" spans="1:19" ht="10.5" customHeight="1">
      <c r="A15" s="4">
        <f t="shared" si="0"/>
        <v>11</v>
      </c>
      <c r="B15" s="2" t="s">
        <v>16</v>
      </c>
      <c r="C15" s="5">
        <f>[2]B81B!C15</f>
        <v>0</v>
      </c>
      <c r="D15" s="5">
        <f>[2]B81B!D15</f>
        <v>0</v>
      </c>
      <c r="E15" s="5">
        <f>[2]B81B!E15</f>
        <v>0</v>
      </c>
      <c r="F15" s="5">
        <f>[2]B81B!F15</f>
        <v>0</v>
      </c>
      <c r="G15" s="5">
        <f>[2]B81B!G15</f>
        <v>0</v>
      </c>
      <c r="H15" s="5">
        <f>[2]B81B!H15</f>
        <v>0</v>
      </c>
      <c r="I15" s="5">
        <f>[2]B81B!I15</f>
        <v>0</v>
      </c>
      <c r="J15" s="5">
        <f>[2]B81B!J15</f>
        <v>0</v>
      </c>
      <c r="K15" s="5">
        <f>[2]B81B!K15</f>
        <v>0</v>
      </c>
      <c r="L15" s="5">
        <f>[2]B81B!L15</f>
        <v>0</v>
      </c>
      <c r="M15" s="5">
        <f>[2]B81B!M15</f>
        <v>0</v>
      </c>
      <c r="N15" s="5">
        <f>[2]B81B!N15</f>
        <v>0</v>
      </c>
      <c r="O15" s="36">
        <f t="shared" si="1"/>
        <v>0</v>
      </c>
      <c r="P15" s="36">
        <f>[2]B81B!P15</f>
        <v>0</v>
      </c>
      <c r="Q15" s="37" t="str">
        <f t="shared" si="2"/>
        <v/>
      </c>
    </row>
    <row r="16" spans="1:19" s="7" customFormat="1" ht="10.5" customHeight="1">
      <c r="A16" s="4">
        <f t="shared" si="0"/>
        <v>12</v>
      </c>
      <c r="B16" s="1" t="s">
        <v>17</v>
      </c>
      <c r="C16" s="6">
        <f>SUM(C12:C15)</f>
        <v>7200</v>
      </c>
      <c r="D16" s="6">
        <f t="shared" ref="D16:N16" si="6">SUM(D12:D15)</f>
        <v>7200</v>
      </c>
      <c r="E16" s="6">
        <f t="shared" si="6"/>
        <v>7200</v>
      </c>
      <c r="F16" s="6">
        <f t="shared" si="6"/>
        <v>7200</v>
      </c>
      <c r="G16" s="6">
        <f t="shared" si="6"/>
        <v>7200</v>
      </c>
      <c r="H16" s="6">
        <f t="shared" si="6"/>
        <v>7200</v>
      </c>
      <c r="I16" s="6">
        <f t="shared" si="6"/>
        <v>7200</v>
      </c>
      <c r="J16" s="6">
        <f t="shared" si="6"/>
        <v>7200</v>
      </c>
      <c r="K16" s="6">
        <f t="shared" si="6"/>
        <v>7200</v>
      </c>
      <c r="L16" s="6">
        <f t="shared" si="6"/>
        <v>7200</v>
      </c>
      <c r="M16" s="6">
        <f t="shared" si="6"/>
        <v>7200</v>
      </c>
      <c r="N16" s="6">
        <f t="shared" si="6"/>
        <v>7200</v>
      </c>
      <c r="O16" s="38">
        <f t="shared" si="1"/>
        <v>86400</v>
      </c>
      <c r="P16" s="38">
        <f>[2]B81B!P16</f>
        <v>193041.42</v>
      </c>
      <c r="Q16" s="39">
        <f t="shared" si="2"/>
        <v>-0.55242766034356772</v>
      </c>
      <c r="R16" s="11"/>
    </row>
    <row r="17" spans="1:18" s="7" customFormat="1" ht="10.5" customHeight="1">
      <c r="A17" s="4">
        <f t="shared" si="0"/>
        <v>13</v>
      </c>
      <c r="B17" s="2" t="s">
        <v>18</v>
      </c>
      <c r="C17" s="5">
        <f>[2]B81B!C17</f>
        <v>-317760.28125</v>
      </c>
      <c r="D17" s="5">
        <f>[2]B81B!D17</f>
        <v>-317760.28125</v>
      </c>
      <c r="E17" s="5">
        <f>[2]B81B!E17</f>
        <v>-317760.28125</v>
      </c>
      <c r="F17" s="5">
        <f>[2]B81B!F17</f>
        <v>-333648.28999999998</v>
      </c>
      <c r="G17" s="5">
        <f>[2]B81B!G17</f>
        <v>-333648.28999999998</v>
      </c>
      <c r="H17" s="5">
        <f>[2]B81B!H17</f>
        <v>-333648.28999999998</v>
      </c>
      <c r="I17" s="5">
        <f>[2]B81B!I17</f>
        <v>-333648.28999999998</v>
      </c>
      <c r="J17" s="5">
        <f>[2]B81B!J17</f>
        <v>-333648.28999999998</v>
      </c>
      <c r="K17" s="5">
        <f>[2]B81B!K17</f>
        <v>-333648.28999999998</v>
      </c>
      <c r="L17" s="5">
        <f>[2]B81B!L17</f>
        <v>-333648.28999999998</v>
      </c>
      <c r="M17" s="5">
        <f>[2]B81B!M17</f>
        <v>-333648.28999999998</v>
      </c>
      <c r="N17" s="5">
        <f>[2]B81B!N17</f>
        <v>-333648.28999999998</v>
      </c>
      <c r="O17" s="36">
        <f t="shared" si="1"/>
        <v>-3956115.4537500003</v>
      </c>
      <c r="P17" s="36">
        <f>[2]B81B!P17</f>
        <v>-3648123.3749999995</v>
      </c>
      <c r="Q17" s="37">
        <f t="shared" si="2"/>
        <v>8.4424797927784123E-2</v>
      </c>
      <c r="R17" s="11"/>
    </row>
    <row r="18" spans="1:18" s="7" customFormat="1" ht="10.5" customHeight="1">
      <c r="A18" s="4">
        <f t="shared" si="0"/>
        <v>14</v>
      </c>
      <c r="B18" s="2" t="s">
        <v>19</v>
      </c>
      <c r="C18" s="5">
        <f>[2]B81B!C18</f>
        <v>-40306.550000000003</v>
      </c>
      <c r="D18" s="5">
        <f>[2]B81B!D18</f>
        <v>-40306.550000000003</v>
      </c>
      <c r="E18" s="5">
        <f>[2]B81B!E18</f>
        <v>-40306.550000000003</v>
      </c>
      <c r="F18" s="5">
        <f>[2]B81B!F18</f>
        <v>-41515</v>
      </c>
      <c r="G18" s="5">
        <f>[2]B81B!G18</f>
        <v>-41515</v>
      </c>
      <c r="H18" s="5">
        <f>[2]B81B!H18</f>
        <v>-41515</v>
      </c>
      <c r="I18" s="5">
        <f>[2]B81B!I18</f>
        <v>-41515</v>
      </c>
      <c r="J18" s="5">
        <f>[2]B81B!J18</f>
        <v>-41515</v>
      </c>
      <c r="K18" s="5">
        <f>[2]B81B!K18</f>
        <v>-41515</v>
      </c>
      <c r="L18" s="5">
        <f>[2]B81B!L18</f>
        <v>-41515</v>
      </c>
      <c r="M18" s="5">
        <f>[2]B81B!M18</f>
        <v>-41515</v>
      </c>
      <c r="N18" s="5">
        <f>[2]B81B!N18</f>
        <v>-41515</v>
      </c>
      <c r="O18" s="36">
        <f t="shared" si="1"/>
        <v>-494554.65</v>
      </c>
      <c r="P18" s="36">
        <f>[2]B81B!P18</f>
        <v>-636180.34000000008</v>
      </c>
      <c r="Q18" s="37">
        <f t="shared" si="2"/>
        <v>-0.22261877819110229</v>
      </c>
      <c r="R18" s="11"/>
    </row>
    <row r="19" spans="1:18" s="7" customFormat="1" ht="10.5" customHeight="1">
      <c r="A19" s="4">
        <f t="shared" si="0"/>
        <v>15</v>
      </c>
      <c r="B19" s="2" t="s">
        <v>20</v>
      </c>
      <c r="C19" s="5">
        <f>[2]B81B!C19</f>
        <v>-83400</v>
      </c>
      <c r="D19" s="5">
        <f>[2]B81B!D19</f>
        <v>-83400</v>
      </c>
      <c r="E19" s="5">
        <f>[2]B81B!E19</f>
        <v>-50000</v>
      </c>
      <c r="F19" s="5">
        <f>[2]B81B!F19</f>
        <v>-83400</v>
      </c>
      <c r="G19" s="5">
        <f>[2]B81B!G19</f>
        <v>-82000</v>
      </c>
      <c r="H19" s="5">
        <f>[2]B81B!H19</f>
        <v>-83400</v>
      </c>
      <c r="I19" s="5">
        <f>[2]B81B!I19</f>
        <v>-83400</v>
      </c>
      <c r="J19" s="5">
        <f>[2]B81B!J19</f>
        <v>-83400</v>
      </c>
      <c r="K19" s="5">
        <f>[2]B81B!K19</f>
        <v>-60000</v>
      </c>
      <c r="L19" s="5">
        <f>[2]B81B!L19</f>
        <v>-40000</v>
      </c>
      <c r="M19" s="5">
        <f>[2]B81B!M19</f>
        <v>-25000</v>
      </c>
      <c r="N19" s="5">
        <f>[2]B81B!N19</f>
        <v>-60000</v>
      </c>
      <c r="O19" s="36">
        <f t="shared" si="1"/>
        <v>-817400</v>
      </c>
      <c r="P19" s="36">
        <f>[2]B81B!P19</f>
        <v>-1000779.20875</v>
      </c>
      <c r="Q19" s="37">
        <f t="shared" si="2"/>
        <v>-0.18323642932095435</v>
      </c>
      <c r="R19" s="11"/>
    </row>
    <row r="20" spans="1:18" s="7" customFormat="1" ht="10.5" customHeight="1">
      <c r="A20" s="4">
        <f t="shared" si="0"/>
        <v>16</v>
      </c>
      <c r="B20" s="2" t="s">
        <v>21</v>
      </c>
      <c r="C20" s="5">
        <f>[2]B81B!C20</f>
        <v>-18000</v>
      </c>
      <c r="D20" s="5">
        <f>[2]B81B!D20</f>
        <v>-18000</v>
      </c>
      <c r="E20" s="5">
        <f>[2]B81B!E20</f>
        <v>-10000</v>
      </c>
      <c r="F20" s="5">
        <f>[2]B81B!F20</f>
        <v>-18000</v>
      </c>
      <c r="G20" s="5">
        <f>[2]B81B!G20</f>
        <v>-18000</v>
      </c>
      <c r="H20" s="5">
        <f>[2]B81B!H20</f>
        <v>-18000</v>
      </c>
      <c r="I20" s="5">
        <f>[2]B81B!I20</f>
        <v>-18000</v>
      </c>
      <c r="J20" s="5">
        <f>[2]B81B!J20</f>
        <v>-18000</v>
      </c>
      <c r="K20" s="5">
        <f>[2]B81B!K20</f>
        <v>-18000</v>
      </c>
      <c r="L20" s="5">
        <f>[2]B81B!L20</f>
        <v>-10000</v>
      </c>
      <c r="M20" s="5">
        <f>[2]B81B!M20</f>
        <v>-5000</v>
      </c>
      <c r="N20" s="5">
        <f>[2]B81B!N20</f>
        <v>-18000</v>
      </c>
      <c r="O20" s="36">
        <f t="shared" si="1"/>
        <v>-187000</v>
      </c>
      <c r="P20" s="36">
        <f>[2]B81B!P20</f>
        <v>-211909.02</v>
      </c>
      <c r="Q20" s="37">
        <f t="shared" si="2"/>
        <v>-0.11754582225900526</v>
      </c>
      <c r="R20" s="11"/>
    </row>
    <row r="21" spans="1:18" ht="10.5" customHeight="1">
      <c r="A21" s="4">
        <f t="shared" si="0"/>
        <v>17</v>
      </c>
      <c r="B21" s="2" t="s">
        <v>22</v>
      </c>
      <c r="C21" s="5">
        <f>[2]B81B!C21</f>
        <v>-137590.9887499999</v>
      </c>
      <c r="D21" s="5">
        <f>[2]B81B!D21</f>
        <v>-122590.98875000002</v>
      </c>
      <c r="E21" s="5">
        <f>[2]B81B!E21</f>
        <v>-82261.125</v>
      </c>
      <c r="F21" s="5">
        <f>[2]B81B!F21</f>
        <v>-123208.61999999988</v>
      </c>
      <c r="G21" s="5">
        <f>[2]B81B!G21</f>
        <v>-123208.61999999988</v>
      </c>
      <c r="H21" s="5">
        <f>[2]B81B!H21</f>
        <v>-123208.61999999988</v>
      </c>
      <c r="I21" s="5">
        <f>[2]B81B!I21</f>
        <v>-123208.61999999988</v>
      </c>
      <c r="J21" s="5">
        <f>[2]B81B!J21</f>
        <v>-123208.61999999988</v>
      </c>
      <c r="K21" s="5">
        <f>[2]B81B!K21</f>
        <v>-123208.61999999988</v>
      </c>
      <c r="L21" s="5">
        <f>[2]B81B!L21</f>
        <v>-97516.125</v>
      </c>
      <c r="M21" s="5">
        <f>[2]B81B!M21</f>
        <v>-61261.125</v>
      </c>
      <c r="N21" s="5">
        <f>[2]B81B!N21</f>
        <v>-133728.61999999988</v>
      </c>
      <c r="O21" s="42">
        <f t="shared" si="1"/>
        <v>-1374200.6924999992</v>
      </c>
      <c r="P21" s="42">
        <f>[2]B81B!P21</f>
        <v>-1384292.44875</v>
      </c>
      <c r="Q21" s="43">
        <f t="shared" si="2"/>
        <v>-7.2901909268619719E-3</v>
      </c>
    </row>
    <row r="22" spans="1:18" ht="10.5" customHeight="1">
      <c r="A22" s="4">
        <f t="shared" si="0"/>
        <v>18</v>
      </c>
      <c r="B22" s="2" t="s">
        <v>74</v>
      </c>
      <c r="C22" s="5">
        <f>[2]B81B!C22</f>
        <v>-115060</v>
      </c>
      <c r="D22" s="5">
        <f>[2]B81B!D22</f>
        <v>-93060</v>
      </c>
      <c r="E22" s="5">
        <f>[2]B81B!E22</f>
        <v>-112500</v>
      </c>
      <c r="F22" s="5">
        <f>[2]B81B!F22</f>
        <v>-115060</v>
      </c>
      <c r="G22" s="5">
        <f>[2]B81B!G22</f>
        <v>-121500</v>
      </c>
      <c r="H22" s="5">
        <f>[2]B81B!H22</f>
        <v>-106500</v>
      </c>
      <c r="I22" s="5">
        <f>[2]B81B!I22</f>
        <v>-106500</v>
      </c>
      <c r="J22" s="5">
        <f>[2]B81B!J22</f>
        <v>-53500</v>
      </c>
      <c r="K22" s="5">
        <f>[2]B81B!K22</f>
        <v>-59500</v>
      </c>
      <c r="L22" s="5">
        <f>[2]B81B!L22</f>
        <v>-24500</v>
      </c>
      <c r="M22" s="5">
        <f>[2]B81B!M22</f>
        <v>-20900</v>
      </c>
      <c r="N22" s="5">
        <f>[2]B81B!N22</f>
        <v>-95500</v>
      </c>
      <c r="O22" s="42">
        <f t="shared" si="1"/>
        <v>-1024080</v>
      </c>
      <c r="P22" s="42">
        <f>[2]B81B!P22</f>
        <v>-979629.35000000009</v>
      </c>
      <c r="Q22" s="43">
        <f t="shared" si="2"/>
        <v>4.5374967583402745E-2</v>
      </c>
    </row>
    <row r="23" spans="1:18" ht="10.5" customHeight="1">
      <c r="A23" s="4">
        <f t="shared" si="0"/>
        <v>19</v>
      </c>
      <c r="B23" s="2" t="s">
        <v>75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42">
        <f t="shared" si="1"/>
        <v>0</v>
      </c>
      <c r="P23" s="42"/>
      <c r="Q23" s="43" t="str">
        <f t="shared" si="2"/>
        <v/>
      </c>
    </row>
    <row r="24" spans="1:18" ht="10.5" customHeight="1">
      <c r="A24" s="4">
        <f t="shared" si="0"/>
        <v>20</v>
      </c>
      <c r="B24" s="2" t="s">
        <v>23</v>
      </c>
      <c r="C24" s="5">
        <f>[2]B81B!C23</f>
        <v>-11227</v>
      </c>
      <c r="D24" s="5">
        <f>[2]B81B!D23</f>
        <v>-11227</v>
      </c>
      <c r="E24" s="5">
        <f>[2]B81B!E23</f>
        <v>-11227</v>
      </c>
      <c r="F24" s="5">
        <f>[2]B81B!F23</f>
        <v>-11227</v>
      </c>
      <c r="G24" s="5">
        <f>[2]B81B!G23</f>
        <v>-11227</v>
      </c>
      <c r="H24" s="5">
        <f>[2]B81B!H23</f>
        <v>-11227</v>
      </c>
      <c r="I24" s="5">
        <f>[2]B81B!I23</f>
        <v>-11227</v>
      </c>
      <c r="J24" s="5">
        <f>[2]B81B!J23</f>
        <v>-11227</v>
      </c>
      <c r="K24" s="5">
        <f>[2]B81B!K23</f>
        <v>-11227</v>
      </c>
      <c r="L24" s="5">
        <f>[2]B81B!L23</f>
        <v>-11227</v>
      </c>
      <c r="M24" s="5">
        <f>[2]B81B!M23</f>
        <v>-8707</v>
      </c>
      <c r="N24" s="5">
        <f>[2]B81B!N23</f>
        <v>-11227</v>
      </c>
      <c r="O24" s="42">
        <f t="shared" si="1"/>
        <v>-132204</v>
      </c>
      <c r="P24" s="42">
        <f>[2]B81B!P23</f>
        <v>-130903.24</v>
      </c>
      <c r="Q24" s="43">
        <f t="shared" si="2"/>
        <v>9.9368052311004269E-3</v>
      </c>
    </row>
    <row r="25" spans="1:18" ht="10.5" customHeight="1">
      <c r="A25" s="4">
        <f t="shared" si="0"/>
        <v>21</v>
      </c>
      <c r="B25" s="2" t="s">
        <v>24</v>
      </c>
      <c r="C25" s="5">
        <f>[2]B81B!C24</f>
        <v>-4940</v>
      </c>
      <c r="D25" s="5">
        <f>[2]B81B!D24</f>
        <v>-4940</v>
      </c>
      <c r="E25" s="5">
        <f>[2]B81B!E24</f>
        <v>-4940</v>
      </c>
      <c r="F25" s="5">
        <f>[2]B81B!F24</f>
        <v>-4940</v>
      </c>
      <c r="G25" s="5">
        <f>[2]B81B!G24</f>
        <v>-4940</v>
      </c>
      <c r="H25" s="5">
        <f>[2]B81B!H24</f>
        <v>-4940</v>
      </c>
      <c r="I25" s="5">
        <f>[2]B81B!I24</f>
        <v>-4940</v>
      </c>
      <c r="J25" s="5">
        <f>[2]B81B!J24</f>
        <v>-4940</v>
      </c>
      <c r="K25" s="5">
        <f>[2]B81B!K24</f>
        <v>-4940</v>
      </c>
      <c r="L25" s="5">
        <f>[2]B81B!L24</f>
        <v>-4940</v>
      </c>
      <c r="M25" s="5">
        <f>[2]B81B!M24</f>
        <v>-4940</v>
      </c>
      <c r="N25" s="5">
        <f>[2]B81B!N24</f>
        <v>-4940</v>
      </c>
      <c r="O25" s="42">
        <f t="shared" si="1"/>
        <v>-59280</v>
      </c>
      <c r="P25" s="42">
        <f>[2]B81B!P24</f>
        <v>-59300</v>
      </c>
      <c r="Q25" s="43">
        <f t="shared" si="2"/>
        <v>-3.3726812816188871E-4</v>
      </c>
    </row>
    <row r="26" spans="1:18" ht="10.5" customHeight="1">
      <c r="A26" s="4">
        <f t="shared" si="0"/>
        <v>22</v>
      </c>
      <c r="B26" s="2" t="s">
        <v>25</v>
      </c>
      <c r="C26" s="5">
        <f>[2]B81B!C25</f>
        <v>-671.35</v>
      </c>
      <c r="D26" s="5">
        <f>[2]B81B!D25</f>
        <v>-671.35</v>
      </c>
      <c r="E26" s="5">
        <f>[2]B81B!E25</f>
        <v>-671.35</v>
      </c>
      <c r="F26" s="5">
        <f>[2]B81B!F25</f>
        <v>-671.35</v>
      </c>
      <c r="G26" s="5">
        <f>[2]B81B!G25</f>
        <v>-671.35</v>
      </c>
      <c r="H26" s="5">
        <f>[2]B81B!H25</f>
        <v>-671.35</v>
      </c>
      <c r="I26" s="5">
        <f>[2]B81B!I25</f>
        <v>-671.35</v>
      </c>
      <c r="J26" s="5">
        <f>[2]B81B!J25</f>
        <v>-671.35</v>
      </c>
      <c r="K26" s="5">
        <f>[2]B81B!K25</f>
        <v>-671.35</v>
      </c>
      <c r="L26" s="5">
        <f>[2]B81B!L25</f>
        <v>-671.35</v>
      </c>
      <c r="M26" s="5">
        <f>[2]B81B!M25</f>
        <v>-671.35</v>
      </c>
      <c r="N26" s="5">
        <f>[2]B81B!N25</f>
        <v>-671.35</v>
      </c>
      <c r="O26" s="42">
        <f t="shared" si="1"/>
        <v>-8056.2000000000016</v>
      </c>
      <c r="P26" s="42">
        <f>[2]B81B!P25</f>
        <v>-7976.4600000000009</v>
      </c>
      <c r="Q26" s="43">
        <f t="shared" si="2"/>
        <v>9.99691592510972E-3</v>
      </c>
      <c r="R26" s="10"/>
    </row>
    <row r="27" spans="1:18" ht="10.5" customHeight="1">
      <c r="A27" s="4">
        <f t="shared" si="0"/>
        <v>23</v>
      </c>
      <c r="B27" s="2" t="s">
        <v>26</v>
      </c>
      <c r="C27" s="5">
        <f>[2]B81B!C26</f>
        <v>-23691.545833333334</v>
      </c>
      <c r="D27" s="5">
        <f>[2]B81B!D26</f>
        <v>-19743.096666666668</v>
      </c>
      <c r="E27" s="5">
        <f>[2]B81B!E26</f>
        <v>-16098.119166666667</v>
      </c>
      <c r="F27" s="5">
        <f>[2]B81B!F26</f>
        <v>-23691.541666666668</v>
      </c>
      <c r="G27" s="5">
        <f>[2]B81B!G26</f>
        <v>-23691.545833333334</v>
      </c>
      <c r="H27" s="5">
        <f>[2]B81B!H26</f>
        <v>-23691.545833333334</v>
      </c>
      <c r="I27" s="5">
        <f>[2]B81B!I26</f>
        <v>-23691.545833333334</v>
      </c>
      <c r="J27" s="5">
        <f>[2]B81B!J26</f>
        <v>-19385.446666666667</v>
      </c>
      <c r="K27" s="5">
        <f>[2]B81B!K26</f>
        <v>-23691.545833333334</v>
      </c>
      <c r="L27" s="5">
        <f>[2]B81B!L26</f>
        <v>-13468.584999999999</v>
      </c>
      <c r="M27" s="5">
        <f>[2]B81B!M26</f>
        <v>-13468.584999999999</v>
      </c>
      <c r="N27" s="5">
        <f>[2]B81B!N26</f>
        <v>-14103.933333333334</v>
      </c>
      <c r="O27" s="42">
        <f t="shared" si="1"/>
        <v>-238417.03666666668</v>
      </c>
      <c r="P27" s="42">
        <f>[2]B81B!P26</f>
        <v>-284298.55</v>
      </c>
      <c r="Q27" s="43">
        <f t="shared" si="2"/>
        <v>-0.1613849713033475</v>
      </c>
      <c r="R27" s="10"/>
    </row>
    <row r="28" spans="1:18" ht="10.5" customHeight="1">
      <c r="A28" s="4">
        <f t="shared" si="0"/>
        <v>24</v>
      </c>
      <c r="B28" s="2" t="s">
        <v>27</v>
      </c>
      <c r="C28" s="5">
        <f>[2]B81B!C27</f>
        <v>-138414.20000000001</v>
      </c>
      <c r="D28" s="5">
        <f>[2]B81B!D27</f>
        <v>-109414.2</v>
      </c>
      <c r="E28" s="5">
        <f>[2]B81B!E27</f>
        <v>-96960.3</v>
      </c>
      <c r="F28" s="5">
        <f>[2]B81B!F27</f>
        <v>-120960.3</v>
      </c>
      <c r="G28" s="5">
        <f>[2]B81B!G27</f>
        <v>-144414.20000000001</v>
      </c>
      <c r="H28" s="5">
        <f>[2]B81B!H27</f>
        <v>-138414.20000000001</v>
      </c>
      <c r="I28" s="5">
        <f>[2]B81B!I27</f>
        <v>-137960.29999999999</v>
      </c>
      <c r="J28" s="5">
        <f>[2]B81B!J27</f>
        <v>-116960.3</v>
      </c>
      <c r="K28" s="5">
        <f>[2]B81B!K27</f>
        <v>-119414.2</v>
      </c>
      <c r="L28" s="5">
        <f>[2]B81B!L27</f>
        <v>-94414.2</v>
      </c>
      <c r="M28" s="5">
        <f>[2]B81B!M27</f>
        <v>-91960.3</v>
      </c>
      <c r="N28" s="5">
        <f>[2]B81B!N27</f>
        <v>-138414.20000000001</v>
      </c>
      <c r="O28" s="42">
        <f t="shared" si="1"/>
        <v>-1447700.9</v>
      </c>
      <c r="P28" s="42">
        <f>[2]B81B!P27</f>
        <v>-1454203.68</v>
      </c>
      <c r="Q28" s="43">
        <f t="shared" si="2"/>
        <v>-4.4717119681611786E-3</v>
      </c>
    </row>
    <row r="29" spans="1:18" ht="10.5" customHeight="1">
      <c r="A29" s="4">
        <f t="shared" si="0"/>
        <v>25</v>
      </c>
      <c r="B29" s="2" t="s">
        <v>76</v>
      </c>
      <c r="C29" s="5">
        <f>[2]B81B!C28</f>
        <v>-46076.45</v>
      </c>
      <c r="D29" s="5">
        <f>[2]B81B!D28</f>
        <v>-46076.45</v>
      </c>
      <c r="E29" s="5">
        <f>[2]B81B!E28</f>
        <v>-47066.033333333333</v>
      </c>
      <c r="F29" s="5">
        <f>[2]B81B!F28</f>
        <v>-52638.95</v>
      </c>
      <c r="G29" s="5">
        <f>[2]B81B!G28</f>
        <v>-59357.7</v>
      </c>
      <c r="H29" s="5">
        <f>[2]B81B!H28</f>
        <v>-69722.283333333326</v>
      </c>
      <c r="I29" s="5">
        <f>[2]B81B!I28</f>
        <v>-80086.866666666654</v>
      </c>
      <c r="J29" s="5">
        <f>[2]B81B!J28</f>
        <v>-90451.449999999983</v>
      </c>
      <c r="K29" s="5">
        <f>[2]B81B!K28</f>
        <v>-100816.03333333331</v>
      </c>
      <c r="L29" s="5">
        <f>[2]B81B!L28</f>
        <v>-111180.61666666664</v>
      </c>
      <c r="M29" s="5">
        <f>[2]B81B!M28</f>
        <v>-121545.19999999997</v>
      </c>
      <c r="N29" s="5">
        <f>[2]B81B!N28</f>
        <v>-131909.7833333333</v>
      </c>
      <c r="O29" s="42">
        <f t="shared" si="1"/>
        <v>-956927.81666666653</v>
      </c>
      <c r="P29" s="42">
        <f>[2]B81B!P28</f>
        <v>-558636.5</v>
      </c>
      <c r="Q29" s="43">
        <f t="shared" si="2"/>
        <v>0.71297044977667323</v>
      </c>
      <c r="R29" s="10"/>
    </row>
    <row r="30" spans="1:18" ht="10.5" customHeight="1">
      <c r="A30" s="4">
        <f t="shared" si="0"/>
        <v>26</v>
      </c>
      <c r="B30" s="2" t="s">
        <v>28</v>
      </c>
      <c r="C30" s="5">
        <f>[2]B81B!C29</f>
        <v>-22708.15</v>
      </c>
      <c r="D30" s="5">
        <f>[2]B81B!D29</f>
        <v>-17509</v>
      </c>
      <c r="E30" s="5">
        <f>[2]B81B!E29</f>
        <v>-14000</v>
      </c>
      <c r="F30" s="5">
        <f>[2]B81B!F29</f>
        <v>-21559</v>
      </c>
      <c r="G30" s="5">
        <f>[2]B81B!G29</f>
        <v>-21559</v>
      </c>
      <c r="H30" s="5">
        <f>[2]B81B!H29</f>
        <v>-21559</v>
      </c>
      <c r="I30" s="5">
        <f>[2]B81B!I29</f>
        <v>-19380</v>
      </c>
      <c r="J30" s="5">
        <f>[2]B81B!J29</f>
        <v>-21559</v>
      </c>
      <c r="K30" s="5">
        <f>[2]B81B!K29</f>
        <v>-21559</v>
      </c>
      <c r="L30" s="5">
        <f>[2]B81B!L29</f>
        <v>-16830</v>
      </c>
      <c r="M30" s="5">
        <f>[2]B81B!M29</f>
        <v>-12800</v>
      </c>
      <c r="N30" s="5">
        <f>[2]B81B!N29</f>
        <v>-14330</v>
      </c>
      <c r="O30" s="42">
        <f t="shared" si="1"/>
        <v>-225352.15</v>
      </c>
      <c r="P30" s="42">
        <f>[2]B81B!P29</f>
        <v>-256130.84</v>
      </c>
      <c r="Q30" s="43">
        <f t="shared" si="2"/>
        <v>-0.12016784078012629</v>
      </c>
      <c r="R30" s="10"/>
    </row>
    <row r="31" spans="1:18" ht="10.5" customHeight="1">
      <c r="A31" s="4">
        <f t="shared" si="0"/>
        <v>27</v>
      </c>
      <c r="B31" s="2" t="s">
        <v>29</v>
      </c>
      <c r="C31" s="5">
        <f>[2]B81B!C30</f>
        <v>-1879</v>
      </c>
      <c r="D31" s="5">
        <f>[2]B81B!D30</f>
        <v>-1879</v>
      </c>
      <c r="E31" s="5">
        <f>[2]B81B!E30</f>
        <v>-1288</v>
      </c>
      <c r="F31" s="5">
        <f>[2]B81B!F30</f>
        <v>-1879</v>
      </c>
      <c r="G31" s="5">
        <f>[2]B81B!G30</f>
        <v>-1879</v>
      </c>
      <c r="H31" s="5">
        <f>[2]B81B!H30</f>
        <v>-1879</v>
      </c>
      <c r="I31" s="5">
        <f>[2]B81B!I30</f>
        <v>-1288</v>
      </c>
      <c r="J31" s="5">
        <f>[2]B81B!J30</f>
        <v>-1879</v>
      </c>
      <c r="K31" s="5">
        <f>[2]B81B!K30</f>
        <v>-1879</v>
      </c>
      <c r="L31" s="5">
        <f>[2]B81B!L30</f>
        <v>-1288</v>
      </c>
      <c r="M31" s="5">
        <f>[2]B81B!M30</f>
        <v>-988</v>
      </c>
      <c r="N31" s="5">
        <f>[2]B81B!N30</f>
        <v>-1879</v>
      </c>
      <c r="O31" s="42">
        <f t="shared" si="1"/>
        <v>-19884</v>
      </c>
      <c r="P31" s="42">
        <f>[2]B81B!P30</f>
        <v>-3642.6400000000003</v>
      </c>
      <c r="Q31" s="43">
        <f t="shared" si="2"/>
        <v>4.4586783212175778</v>
      </c>
      <c r="R31" s="10"/>
    </row>
    <row r="32" spans="1:18" s="7" customFormat="1" ht="10.5" customHeight="1">
      <c r="A32" s="4">
        <f t="shared" si="0"/>
        <v>28</v>
      </c>
      <c r="B32" s="1" t="s">
        <v>30</v>
      </c>
      <c r="C32" s="6">
        <f>SUM(C17:C31)</f>
        <v>-961725.51583333302</v>
      </c>
      <c r="D32" s="6">
        <f t="shared" ref="D32:N32" si="7">SUM(D17:D31)</f>
        <v>-886577.91666666663</v>
      </c>
      <c r="E32" s="6">
        <f t="shared" si="7"/>
        <v>-805078.75875000004</v>
      </c>
      <c r="F32" s="6">
        <f t="shared" si="7"/>
        <v>-952399.05166666652</v>
      </c>
      <c r="G32" s="6">
        <f t="shared" si="7"/>
        <v>-987611.70583333308</v>
      </c>
      <c r="H32" s="6">
        <f t="shared" si="7"/>
        <v>-978376.28916666645</v>
      </c>
      <c r="I32" s="6">
        <f t="shared" si="7"/>
        <v>-985516.97249999992</v>
      </c>
      <c r="J32" s="6">
        <f t="shared" si="7"/>
        <v>-920345.45666666655</v>
      </c>
      <c r="K32" s="6">
        <f t="shared" si="7"/>
        <v>-920070.03916666645</v>
      </c>
      <c r="L32" s="6">
        <f t="shared" si="7"/>
        <v>-801199.16666666651</v>
      </c>
      <c r="M32" s="6">
        <f t="shared" si="7"/>
        <v>-742404.85</v>
      </c>
      <c r="N32" s="6">
        <f t="shared" si="7"/>
        <v>-999867.17666666664</v>
      </c>
      <c r="O32" s="38">
        <f t="shared" si="1"/>
        <v>-10941172.89958333</v>
      </c>
      <c r="P32" s="38">
        <f>[2]B81B!P31</f>
        <v>-10616005.6525</v>
      </c>
      <c r="Q32" s="39">
        <f t="shared" si="2"/>
        <v>3.062990523245961E-2</v>
      </c>
      <c r="R32" s="12"/>
    </row>
    <row r="33" spans="1:18" s="7" customFormat="1" ht="10.5" customHeight="1">
      <c r="A33" s="4">
        <f t="shared" si="0"/>
        <v>29</v>
      </c>
      <c r="B33" s="2" t="s">
        <v>18</v>
      </c>
      <c r="C33" s="5">
        <f>[2]B81B!C32</f>
        <v>-23813.8</v>
      </c>
      <c r="D33" s="5">
        <f>[2]B81B!D32</f>
        <v>-23813.8</v>
      </c>
      <c r="E33" s="5">
        <f>[2]B81B!E32</f>
        <v>-23813.8</v>
      </c>
      <c r="F33" s="5">
        <f>[2]B81B!F32</f>
        <v>-25004.49</v>
      </c>
      <c r="G33" s="5">
        <f>[2]B81B!G32</f>
        <v>-25004.49</v>
      </c>
      <c r="H33" s="5">
        <f>[2]B81B!H32</f>
        <v>-25004.49</v>
      </c>
      <c r="I33" s="5">
        <f>[2]B81B!I32</f>
        <v>-25004.49</v>
      </c>
      <c r="J33" s="5">
        <f>[2]B81B!J32</f>
        <v>-25004.49</v>
      </c>
      <c r="K33" s="5">
        <f>[2]B81B!K32</f>
        <v>-25004.49</v>
      </c>
      <c r="L33" s="5">
        <f>[2]B81B!L32</f>
        <v>-25004.49</v>
      </c>
      <c r="M33" s="5">
        <f>[2]B81B!M32</f>
        <v>-25004.49</v>
      </c>
      <c r="N33" s="5">
        <f>[2]B81B!N32</f>
        <v>-25004.49</v>
      </c>
      <c r="O33" s="36">
        <f t="shared" si="1"/>
        <v>-296481.80999999994</v>
      </c>
      <c r="P33" s="36">
        <f>[2]B81B!P32</f>
        <v>-280264.99999999994</v>
      </c>
      <c r="Q33" s="37">
        <f t="shared" si="2"/>
        <v>5.7862415927782636E-2</v>
      </c>
      <c r="R33" s="11"/>
    </row>
    <row r="34" spans="1:18" s="7" customFormat="1" ht="10.5" customHeight="1">
      <c r="A34" s="4">
        <f t="shared" si="0"/>
        <v>30</v>
      </c>
      <c r="B34" s="2" t="s">
        <v>19</v>
      </c>
      <c r="C34" s="5">
        <f>[2]B81B!C33</f>
        <v>-3968</v>
      </c>
      <c r="D34" s="5">
        <f>[2]B81B!D33</f>
        <v>-3968</v>
      </c>
      <c r="E34" s="5">
        <f>[2]B81B!E33</f>
        <v>-3968</v>
      </c>
      <c r="F34" s="5">
        <f>[2]B81B!F33</f>
        <v>-4167</v>
      </c>
      <c r="G34" s="5">
        <f>[2]B81B!G33</f>
        <v>-4167</v>
      </c>
      <c r="H34" s="5">
        <f>[2]B81B!H33</f>
        <v>-4167</v>
      </c>
      <c r="I34" s="5">
        <f>[2]B81B!I33</f>
        <v>-4167</v>
      </c>
      <c r="J34" s="5">
        <f>[2]B81B!J33</f>
        <v>-4167</v>
      </c>
      <c r="K34" s="5">
        <f>[2]B81B!K33</f>
        <v>-4167</v>
      </c>
      <c r="L34" s="5">
        <f>[2]B81B!L33</f>
        <v>-4167</v>
      </c>
      <c r="M34" s="5">
        <f>[2]B81B!M33</f>
        <v>-4167</v>
      </c>
      <c r="N34" s="5">
        <f>[2]B81B!N33</f>
        <v>-4167</v>
      </c>
      <c r="O34" s="36">
        <f t="shared" si="1"/>
        <v>-49407</v>
      </c>
      <c r="P34" s="36">
        <f>[2]B81B!P33</f>
        <v>-48516.290000000015</v>
      </c>
      <c r="Q34" s="37">
        <f t="shared" si="2"/>
        <v>1.8358988290324431E-2</v>
      </c>
      <c r="R34" s="11"/>
    </row>
    <row r="35" spans="1:18" s="7" customFormat="1" ht="10.5" customHeight="1">
      <c r="A35" s="4">
        <f t="shared" si="0"/>
        <v>31</v>
      </c>
      <c r="B35" s="2" t="s">
        <v>20</v>
      </c>
      <c r="C35" s="5">
        <f>[2]B81B!C34</f>
        <v>0</v>
      </c>
      <c r="D35" s="5">
        <f>[2]B81B!D34</f>
        <v>0</v>
      </c>
      <c r="E35" s="5">
        <f>[2]B81B!E34</f>
        <v>0</v>
      </c>
      <c r="F35" s="5">
        <f>[2]B81B!F34</f>
        <v>0</v>
      </c>
      <c r="G35" s="5">
        <f>[2]B81B!G34</f>
        <v>0</v>
      </c>
      <c r="H35" s="5">
        <f>[2]B81B!H34</f>
        <v>0</v>
      </c>
      <c r="I35" s="5">
        <f>[2]B81B!I34</f>
        <v>0</v>
      </c>
      <c r="J35" s="5">
        <f>[2]B81B!J34</f>
        <v>0</v>
      </c>
      <c r="K35" s="5">
        <f>[2]B81B!K34</f>
        <v>0</v>
      </c>
      <c r="L35" s="5">
        <f>[2]B81B!L34</f>
        <v>0</v>
      </c>
      <c r="M35" s="5">
        <f>[2]B81B!M34</f>
        <v>0</v>
      </c>
      <c r="N35" s="5">
        <f>[2]B81B!N34</f>
        <v>0</v>
      </c>
      <c r="O35" s="36">
        <f t="shared" si="1"/>
        <v>0</v>
      </c>
      <c r="P35" s="36">
        <f>[2]B81B!P34</f>
        <v>0</v>
      </c>
      <c r="Q35" s="37" t="str">
        <f t="shared" si="2"/>
        <v/>
      </c>
      <c r="R35" s="11"/>
    </row>
    <row r="36" spans="1:18" s="7" customFormat="1" ht="10.5" customHeight="1">
      <c r="A36" s="4">
        <f t="shared" si="0"/>
        <v>32</v>
      </c>
      <c r="B36" s="2" t="s">
        <v>21</v>
      </c>
      <c r="C36" s="5">
        <f>[2]B81B!C35</f>
        <v>-790</v>
      </c>
      <c r="D36" s="5">
        <f>[2]B81B!D35</f>
        <v>-790</v>
      </c>
      <c r="E36" s="5">
        <f>[2]B81B!E35</f>
        <v>-790</v>
      </c>
      <c r="F36" s="5">
        <f>[2]B81B!F35</f>
        <v>-790</v>
      </c>
      <c r="G36" s="5">
        <f>[2]B81B!G35</f>
        <v>-790</v>
      </c>
      <c r="H36" s="5">
        <f>[2]B81B!H35</f>
        <v>-790</v>
      </c>
      <c r="I36" s="5">
        <f>[2]B81B!I35</f>
        <v>-790</v>
      </c>
      <c r="J36" s="5">
        <f>[2]B81B!J35</f>
        <v>-790</v>
      </c>
      <c r="K36" s="5">
        <f>[2]B81B!K35</f>
        <v>-790</v>
      </c>
      <c r="L36" s="5">
        <f>[2]B81B!L35</f>
        <v>-790</v>
      </c>
      <c r="M36" s="5">
        <f>[2]B81B!M35</f>
        <v>-790</v>
      </c>
      <c r="N36" s="5">
        <f>[2]B81B!N35</f>
        <v>-790</v>
      </c>
      <c r="O36" s="36">
        <f t="shared" si="1"/>
        <v>-9480</v>
      </c>
      <c r="P36" s="36">
        <f>[2]B81B!P35</f>
        <v>-9442.4199999999964</v>
      </c>
      <c r="Q36" s="37">
        <f t="shared" si="2"/>
        <v>3.9799119293574721E-3</v>
      </c>
      <c r="R36" s="11"/>
    </row>
    <row r="37" spans="1:18" ht="10.5" customHeight="1">
      <c r="A37" s="4">
        <f t="shared" si="0"/>
        <v>33</v>
      </c>
      <c r="B37" s="2" t="s">
        <v>22</v>
      </c>
      <c r="C37" s="5">
        <f>[2]B81B!C36</f>
        <v>-6027.6399999999994</v>
      </c>
      <c r="D37" s="5">
        <f>[2]B81B!D36</f>
        <v>-6027.6399999999994</v>
      </c>
      <c r="E37" s="5">
        <f>[2]B81B!E36</f>
        <v>-3965.14</v>
      </c>
      <c r="F37" s="5">
        <f>[2]B81B!F36</f>
        <v>-6027.6399999999994</v>
      </c>
      <c r="G37" s="5">
        <f>[2]B81B!G36</f>
        <v>-6027.6399999999994</v>
      </c>
      <c r="H37" s="5">
        <f>[2]B81B!H36</f>
        <v>-6027.6399999999994</v>
      </c>
      <c r="I37" s="5">
        <f>[2]B81B!I36</f>
        <v>-6027.6399999999994</v>
      </c>
      <c r="J37" s="5">
        <f>[2]B81B!J36</f>
        <v>-6027.6399999999994</v>
      </c>
      <c r="K37" s="5">
        <f>[2]B81B!K36</f>
        <v>-6027.6399999999994</v>
      </c>
      <c r="L37" s="5">
        <f>[2]B81B!L36</f>
        <v>-3965.14</v>
      </c>
      <c r="M37" s="5">
        <f>[2]B81B!M36</f>
        <v>-3965.14</v>
      </c>
      <c r="N37" s="5">
        <f>[2]B81B!N36</f>
        <v>-6027.6399999999994</v>
      </c>
      <c r="O37" s="42">
        <f t="shared" si="1"/>
        <v>-66144.179999999993</v>
      </c>
      <c r="P37" s="42">
        <f>[2]B81B!P36</f>
        <v>-71426.28</v>
      </c>
      <c r="Q37" s="43">
        <f t="shared" si="2"/>
        <v>-7.3951772372857799E-2</v>
      </c>
    </row>
    <row r="38" spans="1:18" ht="10.5" customHeight="1">
      <c r="A38" s="4">
        <f t="shared" si="0"/>
        <v>34</v>
      </c>
      <c r="B38" s="2" t="s">
        <v>24</v>
      </c>
      <c r="C38" s="5">
        <f>[2]B81B!C37</f>
        <v>0</v>
      </c>
      <c r="D38" s="5">
        <f>[2]B81B!D37</f>
        <v>0</v>
      </c>
      <c r="E38" s="5">
        <f>[2]B81B!E37</f>
        <v>0</v>
      </c>
      <c r="F38" s="5">
        <f>[2]B81B!F37</f>
        <v>0</v>
      </c>
      <c r="G38" s="5">
        <f>[2]B81B!G37</f>
        <v>0</v>
      </c>
      <c r="H38" s="5">
        <f>[2]B81B!H37</f>
        <v>0</v>
      </c>
      <c r="I38" s="5">
        <f>[2]B81B!I37</f>
        <v>0</v>
      </c>
      <c r="J38" s="5">
        <f>[2]B81B!J37</f>
        <v>0</v>
      </c>
      <c r="K38" s="5">
        <f>[2]B81B!K37</f>
        <v>0</v>
      </c>
      <c r="L38" s="5">
        <f>[2]B81B!L37</f>
        <v>0</v>
      </c>
      <c r="M38" s="5">
        <f>[2]B81B!M37</f>
        <v>0</v>
      </c>
      <c r="N38" s="5">
        <f>[2]B81B!N37</f>
        <v>0</v>
      </c>
      <c r="O38" s="36">
        <f t="shared" si="1"/>
        <v>0</v>
      </c>
      <c r="P38" s="36">
        <f>[2]B81B!P37</f>
        <v>0</v>
      </c>
      <c r="Q38" s="37" t="str">
        <f t="shared" si="2"/>
        <v/>
      </c>
      <c r="R38" s="10"/>
    </row>
    <row r="39" spans="1:18" ht="10.5" customHeight="1">
      <c r="A39" s="4">
        <f t="shared" si="0"/>
        <v>35</v>
      </c>
      <c r="B39" s="2" t="s">
        <v>31</v>
      </c>
      <c r="C39" s="5">
        <f>[2]B81B!C38</f>
        <v>0</v>
      </c>
      <c r="D39" s="5">
        <f>[2]B81B!D38</f>
        <v>0</v>
      </c>
      <c r="E39" s="5">
        <f>[2]B81B!E38</f>
        <v>0</v>
      </c>
      <c r="F39" s="5">
        <f>[2]B81B!F38</f>
        <v>0</v>
      </c>
      <c r="G39" s="5">
        <f>[2]B81B!G38</f>
        <v>0</v>
      </c>
      <c r="H39" s="5">
        <f>[2]B81B!H38</f>
        <v>0</v>
      </c>
      <c r="I39" s="5">
        <f>[2]B81B!I38</f>
        <v>0</v>
      </c>
      <c r="J39" s="5">
        <f>[2]B81B!J38</f>
        <v>0</v>
      </c>
      <c r="K39" s="5">
        <f>[2]B81B!K38</f>
        <v>0</v>
      </c>
      <c r="L39" s="5">
        <f>[2]B81B!L38</f>
        <v>0</v>
      </c>
      <c r="M39" s="5">
        <f>[2]B81B!M38</f>
        <v>0</v>
      </c>
      <c r="N39" s="5">
        <f>[2]B81B!N38</f>
        <v>0</v>
      </c>
      <c r="O39" s="36">
        <f t="shared" si="1"/>
        <v>0</v>
      </c>
      <c r="P39" s="36">
        <f>[2]B81B!P38</f>
        <v>0</v>
      </c>
      <c r="Q39" s="37" t="str">
        <f t="shared" si="2"/>
        <v/>
      </c>
      <c r="R39" s="10"/>
    </row>
    <row r="40" spans="1:18" ht="10.5" customHeight="1">
      <c r="A40" s="4">
        <f t="shared" si="0"/>
        <v>36</v>
      </c>
      <c r="B40" s="2" t="s">
        <v>32</v>
      </c>
      <c r="C40" s="5">
        <f>[2]B81B!C39</f>
        <v>0</v>
      </c>
      <c r="D40" s="5">
        <f>[2]B81B!D39</f>
        <v>0</v>
      </c>
      <c r="E40" s="5">
        <f>[2]B81B!E39</f>
        <v>0</v>
      </c>
      <c r="F40" s="5">
        <f>[2]B81B!F39</f>
        <v>0</v>
      </c>
      <c r="G40" s="5">
        <f>[2]B81B!G39</f>
        <v>0</v>
      </c>
      <c r="H40" s="5">
        <f>[2]B81B!H39</f>
        <v>0</v>
      </c>
      <c r="I40" s="5">
        <f>[2]B81B!I39</f>
        <v>0</v>
      </c>
      <c r="J40" s="5">
        <f>[2]B81B!J39</f>
        <v>0</v>
      </c>
      <c r="K40" s="5">
        <f>[2]B81B!K39</f>
        <v>0</v>
      </c>
      <c r="L40" s="5">
        <f>[2]B81B!L39</f>
        <v>0</v>
      </c>
      <c r="M40" s="5">
        <f>[2]B81B!M39</f>
        <v>0</v>
      </c>
      <c r="N40" s="5">
        <f>[2]B81B!N39</f>
        <v>0</v>
      </c>
      <c r="O40" s="36">
        <f t="shared" si="1"/>
        <v>0</v>
      </c>
      <c r="P40" s="36">
        <f>[2]B81B!P39</f>
        <v>0</v>
      </c>
      <c r="Q40" s="37" t="str">
        <f t="shared" si="2"/>
        <v/>
      </c>
      <c r="R40" s="10"/>
    </row>
    <row r="41" spans="1:18" ht="10.5" customHeight="1">
      <c r="A41" s="4">
        <f t="shared" si="0"/>
        <v>37</v>
      </c>
      <c r="B41" s="2" t="s">
        <v>79</v>
      </c>
      <c r="C41" s="5">
        <f>SUM([2]B81B!C40:C41)</f>
        <v>0</v>
      </c>
      <c r="D41" s="5">
        <f>SUM([2]B81B!D40:D41)</f>
        <v>0</v>
      </c>
      <c r="E41" s="5">
        <f>SUM([2]B81B!E40:E41)</f>
        <v>0</v>
      </c>
      <c r="F41" s="5">
        <f>SUM([2]B81B!F40:F41)</f>
        <v>0</v>
      </c>
      <c r="G41" s="5">
        <f>SUM([2]B81B!G40:G41)</f>
        <v>0</v>
      </c>
      <c r="H41" s="5">
        <f>SUM([2]B81B!H40:H41)</f>
        <v>0</v>
      </c>
      <c r="I41" s="5">
        <f>SUM([2]B81B!I40:I41)</f>
        <v>0</v>
      </c>
      <c r="J41" s="5">
        <f>SUM([2]B81B!J40:J41)</f>
        <v>0</v>
      </c>
      <c r="K41" s="5">
        <f>SUM([2]B81B!K40:K41)</f>
        <v>0</v>
      </c>
      <c r="L41" s="5">
        <f>SUM([2]B81B!L40:L41)</f>
        <v>0</v>
      </c>
      <c r="M41" s="5">
        <f>SUM([2]B81B!M40:M41)</f>
        <v>0</v>
      </c>
      <c r="N41" s="5">
        <f>SUM([2]B81B!N40:N41)</f>
        <v>0</v>
      </c>
      <c r="O41" s="36">
        <f t="shared" si="1"/>
        <v>0</v>
      </c>
      <c r="P41" s="36">
        <f>SUM([2]B81B!P40:P41)</f>
        <v>-864.00000000000011</v>
      </c>
      <c r="Q41" s="37">
        <f t="shared" si="2"/>
        <v>-1</v>
      </c>
      <c r="R41" s="10"/>
    </row>
    <row r="42" spans="1:18" ht="10.5" customHeight="1">
      <c r="A42" s="4">
        <f t="shared" si="0"/>
        <v>38</v>
      </c>
      <c r="B42" s="2" t="s">
        <v>76</v>
      </c>
      <c r="C42" s="98">
        <f>SUM([2]B81B!C42:C43)</f>
        <v>-18725.16</v>
      </c>
      <c r="D42" s="5">
        <f>SUM([2]B81B!D42:D43)</f>
        <v>-18725.16</v>
      </c>
      <c r="E42" s="5">
        <f>SUM([2]B81B!E42:E43)</f>
        <v>-18725.16</v>
      </c>
      <c r="F42" s="5">
        <f>SUM([2]B81B!F42:F43)</f>
        <v>-18725.16</v>
      </c>
      <c r="G42" s="5">
        <f>SUM([2]B81B!G42:G43)</f>
        <v>-18725.16</v>
      </c>
      <c r="H42" s="5">
        <f>SUM([2]B81B!H42:H43)</f>
        <v>-18725.16</v>
      </c>
      <c r="I42" s="5">
        <f>SUM([2]B81B!I42:I43)</f>
        <v>-18725.16</v>
      </c>
      <c r="J42" s="5">
        <f>SUM([2]B81B!J42:J43)</f>
        <v>-18725.16</v>
      </c>
      <c r="K42" s="5">
        <f>SUM([2]B81B!K42:K43)</f>
        <v>-18725.16</v>
      </c>
      <c r="L42" s="5">
        <f>SUM([2]B81B!L42:L43)</f>
        <v>-18725.16</v>
      </c>
      <c r="M42" s="5">
        <f>SUM([2]B81B!M42:M43)</f>
        <v>-18725.16</v>
      </c>
      <c r="N42" s="5">
        <f>SUM([2]B81B!N42:N43)</f>
        <v>-18725.16</v>
      </c>
      <c r="O42" s="36">
        <f t="shared" si="1"/>
        <v>-224701.92</v>
      </c>
      <c r="P42" s="36">
        <f>SUM([2]B81B!P42:P43)</f>
        <v>-219441.31</v>
      </c>
      <c r="Q42" s="37">
        <f t="shared" si="2"/>
        <v>2.3972742415728446E-2</v>
      </c>
      <c r="R42" s="10"/>
    </row>
    <row r="43" spans="1:18" ht="10.5" customHeight="1">
      <c r="A43" s="4">
        <f t="shared" si="0"/>
        <v>39</v>
      </c>
      <c r="B43" s="2" t="s">
        <v>28</v>
      </c>
      <c r="C43" s="98">
        <f>[2]B81B!C44</f>
        <v>-75.5</v>
      </c>
      <c r="D43" s="98">
        <f>[2]B81B!D44</f>
        <v>-75.5</v>
      </c>
      <c r="E43" s="98">
        <f>[2]B81B!E44</f>
        <v>-75.5</v>
      </c>
      <c r="F43" s="98">
        <f>[2]B81B!F44</f>
        <v>-75.5</v>
      </c>
      <c r="G43" s="98">
        <f>[2]B81B!G44</f>
        <v>-75.5</v>
      </c>
      <c r="H43" s="98">
        <f>[2]B81B!H44</f>
        <v>-75.5</v>
      </c>
      <c r="I43" s="98">
        <f>[2]B81B!I44</f>
        <v>-75.5</v>
      </c>
      <c r="J43" s="98">
        <f>[2]B81B!J44</f>
        <v>-75.5</v>
      </c>
      <c r="K43" s="98">
        <f>[2]B81B!K44</f>
        <v>-75.5</v>
      </c>
      <c r="L43" s="98">
        <f>[2]B81B!L44</f>
        <v>-75.5</v>
      </c>
      <c r="M43" s="98">
        <f>[2]B81B!M44</f>
        <v>-75.5</v>
      </c>
      <c r="N43" s="98">
        <f>[2]B81B!N44</f>
        <v>-75.5</v>
      </c>
      <c r="O43" s="36">
        <f t="shared" si="1"/>
        <v>-906</v>
      </c>
      <c r="P43" s="36">
        <f>[2]B81B!P44</f>
        <v>-905.6</v>
      </c>
      <c r="Q43" s="37">
        <f t="shared" si="2"/>
        <v>4.4169611307417984E-4</v>
      </c>
      <c r="R43" s="10"/>
    </row>
    <row r="44" spans="1:18" ht="10.5" customHeight="1">
      <c r="A44" s="4">
        <f t="shared" si="0"/>
        <v>40</v>
      </c>
      <c r="B44" s="2" t="s">
        <v>33</v>
      </c>
      <c r="C44" s="5">
        <f>[2]B81B!C45</f>
        <v>-7000</v>
      </c>
      <c r="D44" s="5">
        <f>[2]B81B!D45</f>
        <v>-7000</v>
      </c>
      <c r="E44" s="5">
        <f>[2]B81B!E45</f>
        <v>-7000</v>
      </c>
      <c r="F44" s="5">
        <f>[2]B81B!F45</f>
        <v>-7000</v>
      </c>
      <c r="G44" s="5">
        <f>[2]B81B!G45</f>
        <v>-7000</v>
      </c>
      <c r="H44" s="5">
        <f>[2]B81B!H45</f>
        <v>-7000</v>
      </c>
      <c r="I44" s="5">
        <f>[2]B81B!I45</f>
        <v>-7000</v>
      </c>
      <c r="J44" s="5">
        <f>[2]B81B!J45</f>
        <v>-7000</v>
      </c>
      <c r="K44" s="5">
        <f>[2]B81B!K45</f>
        <v>-7000</v>
      </c>
      <c r="L44" s="5">
        <f>[2]B81B!L45</f>
        <v>-6000</v>
      </c>
      <c r="M44" s="5">
        <f>[2]B81B!M45</f>
        <v>-5415</v>
      </c>
      <c r="N44" s="5">
        <f>[2]B81B!N45</f>
        <v>-6915</v>
      </c>
      <c r="O44" s="36">
        <f t="shared" si="1"/>
        <v>-81330</v>
      </c>
      <c r="P44" s="36">
        <f>[2]B81B!P45</f>
        <v>-81302.040000000008</v>
      </c>
      <c r="Q44" s="37">
        <f t="shared" si="2"/>
        <v>3.4390280981869397E-4</v>
      </c>
      <c r="R44" s="10"/>
    </row>
    <row r="45" spans="1:18" ht="10.5" customHeight="1">
      <c r="A45" s="4">
        <f t="shared" si="0"/>
        <v>41</v>
      </c>
      <c r="B45" s="2" t="s">
        <v>34</v>
      </c>
      <c r="C45" s="5">
        <f>[2]B81B!C46</f>
        <v>-3550</v>
      </c>
      <c r="D45" s="5">
        <f>[2]B81B!D46</f>
        <v>-3550</v>
      </c>
      <c r="E45" s="5">
        <f>[2]B81B!E46</f>
        <v>-3550</v>
      </c>
      <c r="F45" s="5">
        <f>[2]B81B!F46</f>
        <v>-3550</v>
      </c>
      <c r="G45" s="5">
        <f>[2]B81B!G46</f>
        <v>-3550</v>
      </c>
      <c r="H45" s="5">
        <f>[2]B81B!H46</f>
        <v>-3550</v>
      </c>
      <c r="I45" s="5">
        <f>[2]B81B!I46</f>
        <v>-3550</v>
      </c>
      <c r="J45" s="5">
        <f>[2]B81B!J46</f>
        <v>-3550</v>
      </c>
      <c r="K45" s="5">
        <f>[2]B81B!K46</f>
        <v>-3550</v>
      </c>
      <c r="L45" s="5">
        <f>[2]B81B!L46</f>
        <v>-3550</v>
      </c>
      <c r="M45" s="5">
        <f>[2]B81B!M46</f>
        <v>-3550</v>
      </c>
      <c r="N45" s="5">
        <f>[2]B81B!N46</f>
        <v>-3550</v>
      </c>
      <c r="O45" s="42">
        <f t="shared" si="1"/>
        <v>-42600</v>
      </c>
      <c r="P45" s="42">
        <f>[2]B81B!P46</f>
        <v>-100497.81</v>
      </c>
      <c r="Q45" s="43">
        <f t="shared" si="2"/>
        <v>-0.57611016598272136</v>
      </c>
      <c r="R45" s="10"/>
    </row>
    <row r="46" spans="1:18" ht="10.5" customHeight="1">
      <c r="A46" s="4">
        <f t="shared" si="0"/>
        <v>42</v>
      </c>
      <c r="B46" s="2" t="s">
        <v>35</v>
      </c>
      <c r="C46" s="5">
        <f>[2]B81B!C47</f>
        <v>0</v>
      </c>
      <c r="D46" s="5">
        <f>[2]B81B!D47</f>
        <v>0</v>
      </c>
      <c r="E46" s="5">
        <f>[2]B81B!E47</f>
        <v>0</v>
      </c>
      <c r="F46" s="5">
        <f>[2]B81B!F47</f>
        <v>0</v>
      </c>
      <c r="G46" s="5">
        <f>[2]B81B!G47</f>
        <v>0</v>
      </c>
      <c r="H46" s="5">
        <f>[2]B81B!H47</f>
        <v>0</v>
      </c>
      <c r="I46" s="5">
        <f>[2]B81B!I47</f>
        <v>0</v>
      </c>
      <c r="J46" s="5">
        <f>[2]B81B!J47</f>
        <v>0</v>
      </c>
      <c r="K46" s="5">
        <f>[2]B81B!K47</f>
        <v>0</v>
      </c>
      <c r="L46" s="5">
        <f>[2]B81B!L47</f>
        <v>0</v>
      </c>
      <c r="M46" s="5">
        <f>[2]B81B!M47</f>
        <v>0</v>
      </c>
      <c r="N46" s="5">
        <f>[2]B81B!N47</f>
        <v>0</v>
      </c>
      <c r="O46" s="42">
        <f t="shared" si="1"/>
        <v>0</v>
      </c>
      <c r="P46" s="42">
        <f>[2]B81B!P47</f>
        <v>0</v>
      </c>
      <c r="Q46" s="43" t="str">
        <f t="shared" si="2"/>
        <v/>
      </c>
      <c r="R46" s="10"/>
    </row>
    <row r="47" spans="1:18" s="7" customFormat="1" ht="10.5" customHeight="1">
      <c r="A47" s="4">
        <f t="shared" si="0"/>
        <v>43</v>
      </c>
      <c r="B47" s="1" t="s">
        <v>36</v>
      </c>
      <c r="C47" s="6">
        <f>SUM(C33:C46)</f>
        <v>-63950.100000000006</v>
      </c>
      <c r="D47" s="6">
        <f t="shared" ref="D47:P47" si="8">SUM(D33:D46)</f>
        <v>-63950.100000000006</v>
      </c>
      <c r="E47" s="6">
        <f t="shared" si="8"/>
        <v>-61887.6</v>
      </c>
      <c r="F47" s="6">
        <f t="shared" si="8"/>
        <v>-65339.790000000008</v>
      </c>
      <c r="G47" s="6">
        <f t="shared" si="8"/>
        <v>-65339.790000000008</v>
      </c>
      <c r="H47" s="6">
        <f t="shared" si="8"/>
        <v>-65339.790000000008</v>
      </c>
      <c r="I47" s="6">
        <f t="shared" si="8"/>
        <v>-65339.790000000008</v>
      </c>
      <c r="J47" s="6">
        <f t="shared" si="8"/>
        <v>-65339.790000000008</v>
      </c>
      <c r="K47" s="6">
        <f t="shared" si="8"/>
        <v>-65339.790000000008</v>
      </c>
      <c r="L47" s="6">
        <f t="shared" si="8"/>
        <v>-62277.290000000008</v>
      </c>
      <c r="M47" s="6">
        <f t="shared" si="8"/>
        <v>-61692.290000000008</v>
      </c>
      <c r="N47" s="6">
        <f t="shared" si="8"/>
        <v>-65254.790000000008</v>
      </c>
      <c r="O47" s="38">
        <f t="shared" si="1"/>
        <v>-771050.91000000027</v>
      </c>
      <c r="P47" s="38">
        <f t="shared" si="8"/>
        <v>-812660.75</v>
      </c>
      <c r="Q47" s="39">
        <f t="shared" si="2"/>
        <v>-5.1201980654288687E-2</v>
      </c>
      <c r="R47" s="12"/>
    </row>
    <row r="48" spans="1:18" s="7" customFormat="1" ht="10.5" customHeight="1">
      <c r="A48" s="4">
        <f t="shared" si="0"/>
        <v>44</v>
      </c>
      <c r="B48" s="2" t="s">
        <v>37</v>
      </c>
      <c r="C48" s="5">
        <f>[2]B81B!C49</f>
        <v>-16858</v>
      </c>
      <c r="D48" s="5">
        <f>[2]B81B!D49</f>
        <v>-16858</v>
      </c>
      <c r="E48" s="5">
        <f>[2]B81B!E49</f>
        <v>-13858</v>
      </c>
      <c r="F48" s="5">
        <f>[2]B81B!F49</f>
        <v>-13858</v>
      </c>
      <c r="G48" s="5">
        <f>[2]B81B!G49</f>
        <v>-16858</v>
      </c>
      <c r="H48" s="5">
        <f>[2]B81B!H49</f>
        <v>-13858</v>
      </c>
      <c r="I48" s="5">
        <f>[2]B81B!I49</f>
        <v>-13858</v>
      </c>
      <c r="J48" s="5">
        <f>[2]B81B!J49</f>
        <v>-13858</v>
      </c>
      <c r="K48" s="5">
        <f>[2]B81B!K49</f>
        <v>-13858</v>
      </c>
      <c r="L48" s="5">
        <f>[2]B81B!L49</f>
        <v>-13858</v>
      </c>
      <c r="M48" s="5">
        <f>[2]B81B!M49</f>
        <v>-5000</v>
      </c>
      <c r="N48" s="5">
        <f>[2]B81B!N49</f>
        <v>-13858</v>
      </c>
      <c r="O48" s="36">
        <f t="shared" si="1"/>
        <v>-166438</v>
      </c>
      <c r="P48" s="36">
        <f>[2]B81B!P49</f>
        <v>-166301.06</v>
      </c>
      <c r="Q48" s="37">
        <f t="shared" si="2"/>
        <v>8.2344634483990861E-4</v>
      </c>
      <c r="R48" s="12"/>
    </row>
    <row r="49" spans="1:18" s="7" customFormat="1" ht="10.5" customHeight="1">
      <c r="A49" s="4">
        <f t="shared" si="0"/>
        <v>45</v>
      </c>
      <c r="B49" s="2" t="s">
        <v>38</v>
      </c>
      <c r="C49" s="5">
        <f>[2]B81B!C50</f>
        <v>-1923</v>
      </c>
      <c r="D49" s="5">
        <f>[2]B81B!D50</f>
        <v>-1923</v>
      </c>
      <c r="E49" s="5">
        <f>[2]B81B!E50</f>
        <v>-1923</v>
      </c>
      <c r="F49" s="5">
        <f>[2]B81B!F50</f>
        <v>-1923</v>
      </c>
      <c r="G49" s="5">
        <f>[2]B81B!G50</f>
        <v>-1923</v>
      </c>
      <c r="H49" s="5">
        <f>[2]B81B!H50</f>
        <v>-1923</v>
      </c>
      <c r="I49" s="5">
        <f>[2]B81B!I50</f>
        <v>-1923</v>
      </c>
      <c r="J49" s="5">
        <f>[2]B81B!J50</f>
        <v>-1923</v>
      </c>
      <c r="K49" s="5">
        <f>[2]B81B!K50</f>
        <v>-1923</v>
      </c>
      <c r="L49" s="5">
        <f>[2]B81B!L50</f>
        <v>-1923</v>
      </c>
      <c r="M49" s="5">
        <f>[2]B81B!M50</f>
        <v>-1923</v>
      </c>
      <c r="N49" s="5">
        <f>[2]B81B!N50</f>
        <v>-1923</v>
      </c>
      <c r="O49" s="36">
        <f t="shared" si="1"/>
        <v>-23076</v>
      </c>
      <c r="P49" s="36">
        <f>[2]B81B!P50</f>
        <v>-23085.89</v>
      </c>
      <c r="Q49" s="37">
        <f t="shared" si="2"/>
        <v>-4.2840020462713019E-4</v>
      </c>
      <c r="R49" s="12"/>
    </row>
    <row r="50" spans="1:18" s="7" customFormat="1" ht="10.5" customHeight="1">
      <c r="A50" s="4">
        <f t="shared" si="0"/>
        <v>46</v>
      </c>
      <c r="B50" s="2" t="s">
        <v>39</v>
      </c>
      <c r="C50" s="5">
        <f>[2]B81B!C51</f>
        <v>0</v>
      </c>
      <c r="D50" s="5">
        <f>[2]B81B!D51</f>
        <v>0</v>
      </c>
      <c r="E50" s="5">
        <f>[2]B81B!E51</f>
        <v>0</v>
      </c>
      <c r="F50" s="5">
        <f>[2]B81B!F51</f>
        <v>0</v>
      </c>
      <c r="G50" s="5">
        <f>[2]B81B!G51</f>
        <v>0</v>
      </c>
      <c r="H50" s="5">
        <f>[2]B81B!H51</f>
        <v>0</v>
      </c>
      <c r="I50" s="5">
        <f>[2]B81B!I51</f>
        <v>0</v>
      </c>
      <c r="J50" s="5">
        <f>[2]B81B!J51</f>
        <v>0</v>
      </c>
      <c r="K50" s="5">
        <f>[2]B81B!K51</f>
        <v>0</v>
      </c>
      <c r="L50" s="5">
        <f>[2]B81B!L51</f>
        <v>0</v>
      </c>
      <c r="M50" s="5">
        <f>[2]B81B!M51</f>
        <v>0</v>
      </c>
      <c r="N50" s="5">
        <f>[2]B81B!N51</f>
        <v>0</v>
      </c>
      <c r="O50" s="36">
        <f t="shared" si="1"/>
        <v>0</v>
      </c>
      <c r="P50" s="36">
        <f>[2]B81B!P51</f>
        <v>0</v>
      </c>
      <c r="Q50" s="37" t="str">
        <f t="shared" si="2"/>
        <v/>
      </c>
      <c r="R50" s="12"/>
    </row>
    <row r="51" spans="1:18" s="7" customFormat="1" ht="10.5" customHeight="1">
      <c r="A51" s="4">
        <f t="shared" si="0"/>
        <v>47</v>
      </c>
      <c r="B51" s="2" t="s">
        <v>40</v>
      </c>
      <c r="C51" s="5">
        <f>[2]B81B!C52</f>
        <v>0</v>
      </c>
      <c r="D51" s="5">
        <f>[2]B81B!D52</f>
        <v>0</v>
      </c>
      <c r="E51" s="5">
        <f>[2]B81B!E52</f>
        <v>0</v>
      </c>
      <c r="F51" s="5">
        <f>[2]B81B!F52</f>
        <v>0</v>
      </c>
      <c r="G51" s="5">
        <f>[2]B81B!G52</f>
        <v>0</v>
      </c>
      <c r="H51" s="5">
        <f>[2]B81B!H52</f>
        <v>0</v>
      </c>
      <c r="I51" s="5">
        <f>[2]B81B!I52</f>
        <v>0</v>
      </c>
      <c r="J51" s="5">
        <f>[2]B81B!J52</f>
        <v>0</v>
      </c>
      <c r="K51" s="5">
        <f>[2]B81B!K52</f>
        <v>0</v>
      </c>
      <c r="L51" s="5">
        <f>[2]B81B!L52</f>
        <v>0</v>
      </c>
      <c r="M51" s="5">
        <f>[2]B81B!M52</f>
        <v>0</v>
      </c>
      <c r="N51" s="5">
        <f>[2]B81B!N52</f>
        <v>0</v>
      </c>
      <c r="O51" s="36">
        <f t="shared" si="1"/>
        <v>0</v>
      </c>
      <c r="P51" s="36">
        <f>[2]B81B!P52</f>
        <v>-14331.91</v>
      </c>
      <c r="Q51" s="37">
        <f t="shared" si="2"/>
        <v>-1</v>
      </c>
      <c r="R51" s="12"/>
    </row>
    <row r="52" spans="1:18" s="7" customFormat="1" ht="10.5" customHeight="1">
      <c r="A52" s="4">
        <f t="shared" si="0"/>
        <v>48</v>
      </c>
      <c r="B52" s="2" t="s">
        <v>41</v>
      </c>
      <c r="C52" s="5">
        <f>[2]B81B!C53</f>
        <v>0</v>
      </c>
      <c r="D52" s="5">
        <f>[2]B81B!D53</f>
        <v>0</v>
      </c>
      <c r="E52" s="5">
        <f>[2]B81B!E53</f>
        <v>0</v>
      </c>
      <c r="F52" s="5">
        <f>[2]B81B!F53</f>
        <v>0</v>
      </c>
      <c r="G52" s="5">
        <f>[2]B81B!G53</f>
        <v>0</v>
      </c>
      <c r="H52" s="5">
        <f>[2]B81B!H53</f>
        <v>0</v>
      </c>
      <c r="I52" s="5">
        <f>[2]B81B!I53</f>
        <v>0</v>
      </c>
      <c r="J52" s="5">
        <f>[2]B81B!J53</f>
        <v>0</v>
      </c>
      <c r="K52" s="5">
        <f>[2]B81B!K53</f>
        <v>0</v>
      </c>
      <c r="L52" s="5">
        <f>[2]B81B!L53</f>
        <v>0</v>
      </c>
      <c r="M52" s="5">
        <f>[2]B81B!M53</f>
        <v>0</v>
      </c>
      <c r="N52" s="5">
        <f>[2]B81B!N53</f>
        <v>0</v>
      </c>
      <c r="O52" s="36">
        <f t="shared" si="1"/>
        <v>0</v>
      </c>
      <c r="P52" s="36">
        <f>[2]B81B!P53</f>
        <v>-2.2599999999999998</v>
      </c>
      <c r="Q52" s="37">
        <f t="shared" si="2"/>
        <v>-1</v>
      </c>
      <c r="R52" s="12"/>
    </row>
    <row r="53" spans="1:18" s="7" customFormat="1" ht="10.5" customHeight="1">
      <c r="A53" s="4">
        <f t="shared" si="0"/>
        <v>49</v>
      </c>
      <c r="B53" s="2" t="s">
        <v>42</v>
      </c>
      <c r="C53" s="5">
        <f>[2]B81B!C54</f>
        <v>-23500</v>
      </c>
      <c r="D53" s="5">
        <f>[2]B81B!D54</f>
        <v>-23500</v>
      </c>
      <c r="E53" s="5">
        <f>[2]B81B!E54</f>
        <v>-23500</v>
      </c>
      <c r="F53" s="5">
        <f>[2]B81B!F54</f>
        <v>-23500</v>
      </c>
      <c r="G53" s="5">
        <f>[2]B81B!G54</f>
        <v>-23500</v>
      </c>
      <c r="H53" s="5">
        <f>[2]B81B!H54</f>
        <v>-23500</v>
      </c>
      <c r="I53" s="5">
        <f>[2]B81B!I54</f>
        <v>-23500</v>
      </c>
      <c r="J53" s="5">
        <f>[2]B81B!J54</f>
        <v>-23500</v>
      </c>
      <c r="K53" s="5">
        <f>[2]B81B!K54</f>
        <v>-23500</v>
      </c>
      <c r="L53" s="5">
        <f>[2]B81B!L54</f>
        <v>-23500</v>
      </c>
      <c r="M53" s="5">
        <f>[2]B81B!M54</f>
        <v>-23500</v>
      </c>
      <c r="N53" s="5">
        <f>[2]B81B!N54</f>
        <v>-23500</v>
      </c>
      <c r="O53" s="36">
        <f t="shared" si="1"/>
        <v>-282000</v>
      </c>
      <c r="P53" s="36">
        <f>[2]B81B!P54</f>
        <v>-281209.2</v>
      </c>
      <c r="Q53" s="37">
        <f t="shared" si="2"/>
        <v>2.8121412812951649E-3</v>
      </c>
      <c r="R53" s="12"/>
    </row>
    <row r="54" spans="1:18" s="7" customFormat="1" ht="10.5" customHeight="1">
      <c r="A54" s="4">
        <f t="shared" si="0"/>
        <v>50</v>
      </c>
      <c r="B54" s="1" t="s">
        <v>43</v>
      </c>
      <c r="C54" s="6">
        <f>SUM(C48:C53)</f>
        <v>-42281</v>
      </c>
      <c r="D54" s="6">
        <f t="shared" ref="D54:P54" si="9">SUM(D48:D53)</f>
        <v>-42281</v>
      </c>
      <c r="E54" s="6">
        <f t="shared" si="9"/>
        <v>-39281</v>
      </c>
      <c r="F54" s="6">
        <f t="shared" si="9"/>
        <v>-39281</v>
      </c>
      <c r="G54" s="6">
        <f t="shared" si="9"/>
        <v>-42281</v>
      </c>
      <c r="H54" s="6">
        <f t="shared" si="9"/>
        <v>-39281</v>
      </c>
      <c r="I54" s="6">
        <f t="shared" si="9"/>
        <v>-39281</v>
      </c>
      <c r="J54" s="6">
        <f t="shared" si="9"/>
        <v>-39281</v>
      </c>
      <c r="K54" s="6">
        <f t="shared" si="9"/>
        <v>-39281</v>
      </c>
      <c r="L54" s="6">
        <f t="shared" si="9"/>
        <v>-39281</v>
      </c>
      <c r="M54" s="6">
        <f t="shared" si="9"/>
        <v>-30423</v>
      </c>
      <c r="N54" s="6">
        <f t="shared" si="9"/>
        <v>-39281</v>
      </c>
      <c r="O54" s="38">
        <f t="shared" si="1"/>
        <v>-471514</v>
      </c>
      <c r="P54" s="38">
        <f t="shared" si="9"/>
        <v>-484930.32000000007</v>
      </c>
      <c r="Q54" s="39">
        <f t="shared" si="2"/>
        <v>-2.7666490311432916E-2</v>
      </c>
      <c r="R54" s="12"/>
    </row>
    <row r="55" spans="1:18" s="7" customFormat="1" ht="10.5" customHeight="1">
      <c r="A55" s="4">
        <f t="shared" si="0"/>
        <v>51</v>
      </c>
      <c r="B55" s="13" t="s">
        <v>72</v>
      </c>
      <c r="C55" s="14">
        <f>SUM(C47,C54)</f>
        <v>-106231.1</v>
      </c>
      <c r="D55" s="14">
        <f t="shared" ref="D55:P55" si="10">SUM(D47,D54)</f>
        <v>-106231.1</v>
      </c>
      <c r="E55" s="14">
        <f t="shared" si="10"/>
        <v>-101168.6</v>
      </c>
      <c r="F55" s="14">
        <f t="shared" si="10"/>
        <v>-104620.79000000001</v>
      </c>
      <c r="G55" s="14">
        <f t="shared" si="10"/>
        <v>-107620.79000000001</v>
      </c>
      <c r="H55" s="14">
        <f t="shared" si="10"/>
        <v>-104620.79000000001</v>
      </c>
      <c r="I55" s="14">
        <f t="shared" si="10"/>
        <v>-104620.79000000001</v>
      </c>
      <c r="J55" s="14">
        <f t="shared" si="10"/>
        <v>-104620.79000000001</v>
      </c>
      <c r="K55" s="14">
        <f t="shared" si="10"/>
        <v>-104620.79000000001</v>
      </c>
      <c r="L55" s="14">
        <f t="shared" si="10"/>
        <v>-101558.29000000001</v>
      </c>
      <c r="M55" s="14">
        <f t="shared" si="10"/>
        <v>-92115.290000000008</v>
      </c>
      <c r="N55" s="14">
        <f t="shared" si="10"/>
        <v>-104535.79000000001</v>
      </c>
      <c r="O55" s="44">
        <f t="shared" si="1"/>
        <v>-1242564.9100000004</v>
      </c>
      <c r="P55" s="44">
        <f t="shared" si="10"/>
        <v>-1297591.07</v>
      </c>
      <c r="Q55" s="45">
        <f t="shared" si="2"/>
        <v>-4.2406395413926268E-2</v>
      </c>
      <c r="R55" s="12"/>
    </row>
    <row r="56" spans="1:18" s="7" customFormat="1" ht="10.5" customHeight="1" thickBot="1">
      <c r="A56" s="4">
        <f t="shared" si="0"/>
        <v>52</v>
      </c>
      <c r="B56" s="15" t="s">
        <v>44</v>
      </c>
      <c r="C56" s="16">
        <f>SUM(C11,C16,C32,C55)</f>
        <v>362777.87079736521</v>
      </c>
      <c r="D56" s="16">
        <f t="shared" ref="D56:P56" si="11">SUM(D11,D16,D32,D55)</f>
        <v>370767.06194830313</v>
      </c>
      <c r="E56" s="16">
        <f t="shared" si="11"/>
        <v>243231.81039727255</v>
      </c>
      <c r="F56" s="16">
        <f t="shared" si="11"/>
        <v>344123.13258654554</v>
      </c>
      <c r="G56" s="16">
        <f t="shared" si="11"/>
        <v>359739.39040414942</v>
      </c>
      <c r="H56" s="16">
        <f t="shared" si="11"/>
        <v>338455.17103935976</v>
      </c>
      <c r="I56" s="16">
        <f t="shared" si="11"/>
        <v>348752.4250139643</v>
      </c>
      <c r="J56" s="16">
        <f t="shared" si="11"/>
        <v>344895.20055289939</v>
      </c>
      <c r="K56" s="16">
        <f t="shared" si="11"/>
        <v>321033.78143333376</v>
      </c>
      <c r="L56" s="16">
        <f t="shared" si="11"/>
        <v>254509.11385054773</v>
      </c>
      <c r="M56" s="16">
        <f t="shared" si="11"/>
        <v>71946.954240378371</v>
      </c>
      <c r="N56" s="16">
        <f t="shared" si="11"/>
        <v>252977.17698333334</v>
      </c>
      <c r="O56" s="46">
        <f t="shared" si="1"/>
        <v>3613209.0892474526</v>
      </c>
      <c r="P56" s="47">
        <f t="shared" si="11"/>
        <v>3466651.4924999978</v>
      </c>
      <c r="Q56" s="48">
        <f t="shared" si="2"/>
        <v>4.2276414881775089E-2</v>
      </c>
      <c r="R56" s="17"/>
    </row>
    <row r="57" spans="1:18" s="7" customFormat="1" ht="10.5" customHeight="1" thickTop="1">
      <c r="A57" s="4">
        <f t="shared" si="0"/>
        <v>53</v>
      </c>
      <c r="B57" s="18" t="s">
        <v>45</v>
      </c>
      <c r="C57" s="5">
        <f>[2]B81B!C58</f>
        <v>0</v>
      </c>
      <c r="D57" s="5">
        <f>[2]B81B!D58</f>
        <v>0</v>
      </c>
      <c r="E57" s="5">
        <f>[2]B81B!E58</f>
        <v>0</v>
      </c>
      <c r="F57" s="5">
        <f>[2]B81B!F58</f>
        <v>0</v>
      </c>
      <c r="G57" s="5">
        <f>[2]B81B!G58</f>
        <v>0</v>
      </c>
      <c r="H57" s="5">
        <f>[2]B81B!H58</f>
        <v>0</v>
      </c>
      <c r="I57" s="5">
        <f>[2]B81B!I58</f>
        <v>0</v>
      </c>
      <c r="J57" s="5">
        <f>[2]B81B!J58</f>
        <v>0</v>
      </c>
      <c r="K57" s="5">
        <f>[2]B81B!K58</f>
        <v>0</v>
      </c>
      <c r="L57" s="5">
        <f>[2]B81B!L58</f>
        <v>0</v>
      </c>
      <c r="M57" s="5">
        <f>[2]B81B!M58</f>
        <v>0</v>
      </c>
      <c r="N57" s="5">
        <f>[2]B81B!N58</f>
        <v>0</v>
      </c>
      <c r="O57" s="49">
        <f t="shared" si="1"/>
        <v>0</v>
      </c>
      <c r="P57" s="36">
        <f>[2]B81B!P58</f>
        <v>10046.189999999999</v>
      </c>
      <c r="Q57" s="37">
        <f t="shared" si="2"/>
        <v>-1</v>
      </c>
      <c r="R57" s="12"/>
    </row>
    <row r="58" spans="1:18" ht="10.5" customHeight="1">
      <c r="A58" s="4">
        <f t="shared" si="0"/>
        <v>54</v>
      </c>
      <c r="B58" s="2" t="s">
        <v>46</v>
      </c>
      <c r="C58" s="5">
        <f>[2]B81B!C59</f>
        <v>-31575.919999999998</v>
      </c>
      <c r="D58" s="5">
        <f>[2]B81B!D59</f>
        <v>-31494.240000000002</v>
      </c>
      <c r="E58" s="5">
        <f>[2]B81B!E59</f>
        <v>-31412.560000000001</v>
      </c>
      <c r="F58" s="5">
        <f>[2]B81B!F59</f>
        <v>-32177.366486486488</v>
      </c>
      <c r="G58" s="5">
        <f>[2]B81B!G59</f>
        <v>-32122.972972972973</v>
      </c>
      <c r="H58" s="5">
        <f>[2]B81B!H59</f>
        <v>-33275.135135135133</v>
      </c>
      <c r="I58" s="5">
        <f>[2]B81B!I59</f>
        <v>-33218.963963963964</v>
      </c>
      <c r="J58" s="5">
        <f>[2]B81B!J59</f>
        <v>-33162.792792792796</v>
      </c>
      <c r="K58" s="5">
        <f>[2]B81B!K59</f>
        <v>-33106.62162162162</v>
      </c>
      <c r="L58" s="5">
        <f>[2]B81B!L59</f>
        <v>-33050.450450450451</v>
      </c>
      <c r="M58" s="5">
        <f>[2]B81B!M59</f>
        <v>-32994.279279279282</v>
      </c>
      <c r="N58" s="5">
        <f>[2]B81B!N59</f>
        <v>-32938.108108108107</v>
      </c>
      <c r="O58" s="36">
        <f t="shared" si="1"/>
        <v>-390529.4108108108</v>
      </c>
      <c r="P58" s="36">
        <f>[2]B81B!P59</f>
        <v>-388407.28999999992</v>
      </c>
      <c r="Q58" s="37">
        <f t="shared" si="2"/>
        <v>5.4636482513262929E-3</v>
      </c>
      <c r="R58" s="10"/>
    </row>
    <row r="59" spans="1:18" ht="10.5" customHeight="1">
      <c r="A59" s="4">
        <f t="shared" si="0"/>
        <v>55</v>
      </c>
      <c r="B59" s="2" t="s">
        <v>47</v>
      </c>
      <c r="C59" s="5">
        <f>[2]B81B!C60</f>
        <v>0</v>
      </c>
      <c r="D59" s="5">
        <f>[2]B81B!D60</f>
        <v>0</v>
      </c>
      <c r="E59" s="5">
        <f>[2]B81B!E60</f>
        <v>0</v>
      </c>
      <c r="F59" s="5">
        <f>[2]B81B!F60</f>
        <v>0</v>
      </c>
      <c r="G59" s="5">
        <f>[2]B81B!G60</f>
        <v>0</v>
      </c>
      <c r="H59" s="5">
        <f>[2]B81B!H60</f>
        <v>0</v>
      </c>
      <c r="I59" s="5">
        <f>[2]B81B!I60</f>
        <v>0</v>
      </c>
      <c r="J59" s="5">
        <f>[2]B81B!J60</f>
        <v>0</v>
      </c>
      <c r="K59" s="5">
        <f>[2]B81B!K60</f>
        <v>0</v>
      </c>
      <c r="L59" s="5">
        <f>[2]B81B!L60</f>
        <v>0</v>
      </c>
      <c r="M59" s="5">
        <f>[2]B81B!M60</f>
        <v>0</v>
      </c>
      <c r="N59" s="5">
        <f>[2]B81B!N60</f>
        <v>0</v>
      </c>
      <c r="O59" s="36">
        <f t="shared" si="1"/>
        <v>0</v>
      </c>
      <c r="P59" s="36">
        <f>[2]B81B!P60</f>
        <v>0</v>
      </c>
      <c r="Q59" s="37" t="str">
        <f t="shared" si="2"/>
        <v/>
      </c>
      <c r="R59" s="10"/>
    </row>
    <row r="60" spans="1:18" ht="10.5" customHeight="1">
      <c r="A60" s="4">
        <f t="shared" si="0"/>
        <v>56</v>
      </c>
      <c r="B60" s="2" t="s">
        <v>48</v>
      </c>
      <c r="C60" s="5">
        <f>[2]B81B!C61</f>
        <v>0</v>
      </c>
      <c r="D60" s="5">
        <f>[2]B81B!D61</f>
        <v>0</v>
      </c>
      <c r="E60" s="5">
        <f>[2]B81B!E61</f>
        <v>0</v>
      </c>
      <c r="F60" s="5">
        <f>[2]B81B!F61</f>
        <v>0</v>
      </c>
      <c r="G60" s="5">
        <f>[2]B81B!G61</f>
        <v>0</v>
      </c>
      <c r="H60" s="5">
        <f>[2]B81B!H61</f>
        <v>0</v>
      </c>
      <c r="I60" s="5">
        <f>[2]B81B!I61</f>
        <v>0</v>
      </c>
      <c r="J60" s="5">
        <f>[2]B81B!J61</f>
        <v>0</v>
      </c>
      <c r="K60" s="5">
        <f>[2]B81B!K61</f>
        <v>0</v>
      </c>
      <c r="L60" s="5">
        <f>[2]B81B!L61</f>
        <v>0</v>
      </c>
      <c r="M60" s="5">
        <f>[2]B81B!M61</f>
        <v>0</v>
      </c>
      <c r="N60" s="5">
        <f>[2]B81B!N61</f>
        <v>0</v>
      </c>
      <c r="O60" s="36">
        <f t="shared" si="1"/>
        <v>0</v>
      </c>
      <c r="P60" s="36">
        <f>[2]B81B!P61</f>
        <v>-3241.6299999999997</v>
      </c>
      <c r="Q60" s="37">
        <f t="shared" si="2"/>
        <v>-1</v>
      </c>
      <c r="R60" s="10"/>
    </row>
    <row r="61" spans="1:18" ht="10.5" customHeight="1">
      <c r="A61" s="4">
        <f t="shared" si="0"/>
        <v>57</v>
      </c>
      <c r="B61" s="2" t="s">
        <v>49</v>
      </c>
      <c r="C61" s="5">
        <f>[2]B81B!C62</f>
        <v>0</v>
      </c>
      <c r="D61" s="5">
        <f>[2]B81B!D62</f>
        <v>0</v>
      </c>
      <c r="E61" s="5">
        <f>[2]B81B!E62</f>
        <v>0</v>
      </c>
      <c r="F61" s="5">
        <f>[2]B81B!F62</f>
        <v>0</v>
      </c>
      <c r="G61" s="5">
        <f>[2]B81B!G62</f>
        <v>0</v>
      </c>
      <c r="H61" s="5">
        <f>[2]B81B!H62</f>
        <v>0</v>
      </c>
      <c r="I61" s="5">
        <f>[2]B81B!I62</f>
        <v>0</v>
      </c>
      <c r="J61" s="5">
        <f>[2]B81B!J62</f>
        <v>0</v>
      </c>
      <c r="K61" s="5">
        <f>[2]B81B!K62</f>
        <v>0</v>
      </c>
      <c r="L61" s="5">
        <f>[2]B81B!L62</f>
        <v>0</v>
      </c>
      <c r="M61" s="5">
        <f>[2]B81B!M62</f>
        <v>0</v>
      </c>
      <c r="N61" s="5">
        <f>[2]B81B!N62</f>
        <v>0</v>
      </c>
      <c r="O61" s="36">
        <f t="shared" si="1"/>
        <v>0</v>
      </c>
      <c r="P61" s="36">
        <f>[2]B81B!P62</f>
        <v>1300000</v>
      </c>
      <c r="Q61" s="37">
        <f t="shared" si="2"/>
        <v>-1</v>
      </c>
    </row>
    <row r="62" spans="1:18" ht="10.5" customHeight="1">
      <c r="A62" s="4">
        <f t="shared" si="0"/>
        <v>58</v>
      </c>
      <c r="B62" s="2" t="s">
        <v>50</v>
      </c>
      <c r="C62" s="5">
        <f>[2]B81B!C63</f>
        <v>0</v>
      </c>
      <c r="D62" s="5">
        <f>[2]B81B!D63</f>
        <v>0</v>
      </c>
      <c r="E62" s="5">
        <f>[2]B81B!E63</f>
        <v>0</v>
      </c>
      <c r="F62" s="5">
        <f>[2]B81B!F63</f>
        <v>0</v>
      </c>
      <c r="G62" s="5">
        <f>[2]B81B!G63</f>
        <v>0</v>
      </c>
      <c r="H62" s="5">
        <f>[2]B81B!H63</f>
        <v>0</v>
      </c>
      <c r="I62" s="5">
        <f>[2]B81B!I63</f>
        <v>0</v>
      </c>
      <c r="J62" s="5">
        <f>[2]B81B!J63</f>
        <v>0</v>
      </c>
      <c r="K62" s="5">
        <f>[2]B81B!K63</f>
        <v>0</v>
      </c>
      <c r="L62" s="5">
        <f>[2]B81B!L63</f>
        <v>0</v>
      </c>
      <c r="M62" s="5">
        <f>[2]B81B!M63</f>
        <v>0</v>
      </c>
      <c r="N62" s="5">
        <f>[2]B81B!N63</f>
        <v>0</v>
      </c>
      <c r="O62" s="36">
        <f t="shared" si="1"/>
        <v>0</v>
      </c>
      <c r="P62" s="36">
        <f>[2]B81B!P63</f>
        <v>0</v>
      </c>
      <c r="Q62" s="37" t="str">
        <f t="shared" si="2"/>
        <v/>
      </c>
    </row>
    <row r="63" spans="1:18" s="7" customFormat="1" ht="10.5" customHeight="1">
      <c r="A63" s="4">
        <f t="shared" si="0"/>
        <v>59</v>
      </c>
      <c r="B63" s="19" t="s">
        <v>51</v>
      </c>
      <c r="C63" s="6">
        <f>SUM(C57:C62)</f>
        <v>-31575.919999999998</v>
      </c>
      <c r="D63" s="6">
        <f t="shared" ref="D63:P63" si="12">SUM(D57:D62)</f>
        <v>-31494.240000000002</v>
      </c>
      <c r="E63" s="6">
        <f t="shared" si="12"/>
        <v>-31412.560000000001</v>
      </c>
      <c r="F63" s="6">
        <f t="shared" si="12"/>
        <v>-32177.366486486488</v>
      </c>
      <c r="G63" s="6">
        <f t="shared" si="12"/>
        <v>-32122.972972972973</v>
      </c>
      <c r="H63" s="6">
        <f t="shared" si="12"/>
        <v>-33275.135135135133</v>
      </c>
      <c r="I63" s="6">
        <f t="shared" si="12"/>
        <v>-33218.963963963964</v>
      </c>
      <c r="J63" s="6">
        <f t="shared" si="12"/>
        <v>-33162.792792792796</v>
      </c>
      <c r="K63" s="6">
        <f t="shared" si="12"/>
        <v>-33106.62162162162</v>
      </c>
      <c r="L63" s="6">
        <f t="shared" si="12"/>
        <v>-33050.450450450451</v>
      </c>
      <c r="M63" s="6">
        <f t="shared" si="12"/>
        <v>-32994.279279279282</v>
      </c>
      <c r="N63" s="6">
        <f t="shared" si="12"/>
        <v>-32938.108108108107</v>
      </c>
      <c r="O63" s="38">
        <f t="shared" si="1"/>
        <v>-390529.4108108108</v>
      </c>
      <c r="P63" s="38">
        <f t="shared" si="12"/>
        <v>918397.27</v>
      </c>
      <c r="Q63" s="39">
        <f t="shared" si="2"/>
        <v>-1.4252292810178004</v>
      </c>
    </row>
    <row r="64" spans="1:18" s="7" customFormat="1" ht="10.5" customHeight="1">
      <c r="A64" s="4">
        <f t="shared" si="0"/>
        <v>60</v>
      </c>
      <c r="B64" s="20" t="s">
        <v>52</v>
      </c>
      <c r="C64" s="21">
        <f>SUM(C56,C63)</f>
        <v>331201.95079736522</v>
      </c>
      <c r="D64" s="21">
        <f t="shared" ref="D64:P64" si="13">SUM(D56,D63)</f>
        <v>339272.82194830314</v>
      </c>
      <c r="E64" s="21">
        <f t="shared" si="13"/>
        <v>211819.25039727255</v>
      </c>
      <c r="F64" s="21">
        <f t="shared" si="13"/>
        <v>311945.76610005903</v>
      </c>
      <c r="G64" s="21">
        <f t="shared" si="13"/>
        <v>327616.41743117647</v>
      </c>
      <c r="H64" s="21">
        <f t="shared" si="13"/>
        <v>305180.03590422461</v>
      </c>
      <c r="I64" s="21">
        <f t="shared" si="13"/>
        <v>315533.46105000033</v>
      </c>
      <c r="J64" s="21">
        <f t="shared" si="13"/>
        <v>311732.40776010661</v>
      </c>
      <c r="K64" s="21">
        <f t="shared" si="13"/>
        <v>287927.15981171216</v>
      </c>
      <c r="L64" s="21">
        <f t="shared" si="13"/>
        <v>221458.66340009728</v>
      </c>
      <c r="M64" s="21">
        <f t="shared" si="13"/>
        <v>38952.674961099088</v>
      </c>
      <c r="N64" s="21">
        <f t="shared" si="13"/>
        <v>220039.06887522523</v>
      </c>
      <c r="O64" s="50">
        <f t="shared" si="1"/>
        <v>3222679.678436642</v>
      </c>
      <c r="P64" s="51">
        <f t="shared" si="13"/>
        <v>4385048.7624999974</v>
      </c>
      <c r="Q64" s="52">
        <f t="shared" si="2"/>
        <v>-0.26507552071112367</v>
      </c>
    </row>
    <row r="65" spans="1:19" ht="10.5" customHeight="1">
      <c r="A65" s="4">
        <f t="shared" si="0"/>
        <v>61</v>
      </c>
      <c r="B65" s="1" t="s">
        <v>53</v>
      </c>
      <c r="C65" s="22">
        <f>[2]B81B!C66</f>
        <v>-79488.468191367618</v>
      </c>
      <c r="D65" s="22">
        <f>[2]B81B!D66</f>
        <v>-81425.477267592723</v>
      </c>
      <c r="E65" s="22">
        <f>[2]B81B!E66</f>
        <v>-50836.620095345417</v>
      </c>
      <c r="F65" s="22">
        <f>[2]B81B!F66</f>
        <v>-74866.983864014168</v>
      </c>
      <c r="G65" s="22">
        <f>[2]B81B!G66</f>
        <v>-78627.940183482351</v>
      </c>
      <c r="H65" s="22">
        <f>[2]B81B!H66</f>
        <v>-73243.208617013908</v>
      </c>
      <c r="I65" s="22">
        <f>[2]B81B!I66</f>
        <v>-75728.030652000074</v>
      </c>
      <c r="J65" s="22">
        <f>[2]B81B!J66</f>
        <v>-74815.777862425588</v>
      </c>
      <c r="K65" s="22">
        <f>[2]B81B!K66</f>
        <v>-69102.51835481092</v>
      </c>
      <c r="L65" s="22">
        <f>[2]B81B!L66</f>
        <v>-53150.07921602334</v>
      </c>
      <c r="M65" s="22">
        <f>[2]B81B!M66</f>
        <v>-9348.641990663773</v>
      </c>
      <c r="N65" s="22">
        <f>[2]B81B!N66</f>
        <v>-52809.376530054047</v>
      </c>
      <c r="O65" s="53">
        <f t="shared" si="1"/>
        <v>-773443.1228247938</v>
      </c>
      <c r="P65" s="36">
        <f>[2]B81B!P66</f>
        <v>-446336.46269999986</v>
      </c>
      <c r="Q65" s="37">
        <f t="shared" si="2"/>
        <v>0.7328701270473057</v>
      </c>
    </row>
    <row r="66" spans="1:19" s="7" customFormat="1" ht="10.5" customHeight="1" thickBot="1">
      <c r="A66" s="4">
        <f t="shared" si="0"/>
        <v>62</v>
      </c>
      <c r="B66" s="23" t="s">
        <v>54</v>
      </c>
      <c r="C66" s="9">
        <f>SUM(C64,C65)</f>
        <v>251713.48260599759</v>
      </c>
      <c r="D66" s="9">
        <f t="shared" ref="D66:P66" si="14">SUM(D64,D65)</f>
        <v>257847.3446807104</v>
      </c>
      <c r="E66" s="9">
        <f t="shared" si="14"/>
        <v>160982.63030192713</v>
      </c>
      <c r="F66" s="9">
        <f t="shared" si="14"/>
        <v>237078.78223604488</v>
      </c>
      <c r="G66" s="9">
        <f t="shared" si="14"/>
        <v>248988.4772476941</v>
      </c>
      <c r="H66" s="9">
        <f t="shared" si="14"/>
        <v>231936.8272872107</v>
      </c>
      <c r="I66" s="9">
        <f t="shared" si="14"/>
        <v>239805.43039800026</v>
      </c>
      <c r="J66" s="9">
        <f t="shared" si="14"/>
        <v>236916.62989768101</v>
      </c>
      <c r="K66" s="9">
        <f t="shared" si="14"/>
        <v>218824.64145690124</v>
      </c>
      <c r="L66" s="9">
        <f t="shared" si="14"/>
        <v>168308.58418407396</v>
      </c>
      <c r="M66" s="9">
        <f t="shared" si="14"/>
        <v>29604.032970435313</v>
      </c>
      <c r="N66" s="9">
        <f t="shared" si="14"/>
        <v>167229.69234517118</v>
      </c>
      <c r="O66" s="40">
        <f t="shared" si="1"/>
        <v>2449236.5556118479</v>
      </c>
      <c r="P66" s="40">
        <f t="shared" si="14"/>
        <v>3938712.2997999974</v>
      </c>
      <c r="Q66" s="41">
        <f t="shared" si="2"/>
        <v>-0.37816312307547395</v>
      </c>
      <c r="S66" s="24"/>
    </row>
    <row r="67" spans="1:19" s="59" customFormat="1" ht="10.5" customHeight="1" thickTop="1">
      <c r="A67" s="4">
        <f t="shared" si="0"/>
        <v>63</v>
      </c>
      <c r="B67" s="56" t="s">
        <v>55</v>
      </c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8"/>
    </row>
    <row r="68" spans="1:19" ht="10.5" customHeight="1">
      <c r="A68" s="31"/>
      <c r="B68" s="55" t="s">
        <v>59</v>
      </c>
      <c r="C68" s="32">
        <v>43556</v>
      </c>
      <c r="D68" s="32">
        <f>D3</f>
        <v>43586</v>
      </c>
      <c r="E68" s="32">
        <v>43617</v>
      </c>
      <c r="F68" s="32">
        <v>43647</v>
      </c>
      <c r="G68" s="32">
        <v>43678</v>
      </c>
      <c r="H68" s="32">
        <v>43709</v>
      </c>
      <c r="I68" s="32">
        <v>43739</v>
      </c>
      <c r="J68" s="32">
        <v>43770</v>
      </c>
      <c r="K68" s="32">
        <v>43800</v>
      </c>
      <c r="L68" s="32">
        <v>43831</v>
      </c>
      <c r="M68" s="32">
        <v>43862</v>
      </c>
      <c r="N68" s="32">
        <v>43891</v>
      </c>
      <c r="O68" s="54" t="s">
        <v>5</v>
      </c>
      <c r="P68" s="54" t="s">
        <v>60</v>
      </c>
      <c r="Q68" s="54" t="s">
        <v>61</v>
      </c>
      <c r="S68" s="103" t="s">
        <v>90</v>
      </c>
    </row>
    <row r="69" spans="1:19" ht="10.5" customHeight="1">
      <c r="A69" s="33">
        <v>1</v>
      </c>
      <c r="B69" s="34" t="s">
        <v>62</v>
      </c>
      <c r="C69" s="99">
        <f>C11/C7</f>
        <v>0.37213669522949955</v>
      </c>
      <c r="D69" s="100">
        <f t="shared" ref="D69:P69" si="15">D11/D7</f>
        <v>0.37212772696223834</v>
      </c>
      <c r="E69" s="100">
        <f t="shared" si="15"/>
        <v>0.37213463818332498</v>
      </c>
      <c r="F69" s="100">
        <f t="shared" si="15"/>
        <v>0.37212784792719311</v>
      </c>
      <c r="G69" s="101">
        <f t="shared" si="15"/>
        <v>0.3721721259493242</v>
      </c>
      <c r="H69" s="100">
        <f t="shared" si="15"/>
        <v>0.37216835774054852</v>
      </c>
      <c r="I69" s="100">
        <f t="shared" si="15"/>
        <v>0.37346477259993671</v>
      </c>
      <c r="J69" s="100">
        <f t="shared" si="15"/>
        <v>0.37736702598230082</v>
      </c>
      <c r="K69" s="100">
        <f t="shared" si="15"/>
        <v>0.37494417134917624</v>
      </c>
      <c r="L69" s="100">
        <f t="shared" si="15"/>
        <v>0.37374180220256831</v>
      </c>
      <c r="M69" s="100">
        <f t="shared" si="15"/>
        <v>0.38350868077743017</v>
      </c>
      <c r="N69" s="100">
        <f t="shared" si="15"/>
        <v>0.37632158768873053</v>
      </c>
      <c r="O69" s="102">
        <f t="shared" si="15"/>
        <v>0.37406064043048853</v>
      </c>
      <c r="P69" s="102">
        <f t="shared" si="15"/>
        <v>0.37069091518184033</v>
      </c>
      <c r="Q69" s="102">
        <f>O69-P69</f>
        <v>3.3697252486482032E-3</v>
      </c>
      <c r="R69" s="95"/>
      <c r="S69" s="105"/>
    </row>
    <row r="70" spans="1:19" ht="10.5" customHeight="1">
      <c r="A70" s="33">
        <v>2</v>
      </c>
      <c r="B70" s="34" t="s">
        <v>63</v>
      </c>
      <c r="C70" s="99">
        <f>(C5+C8)/C5</f>
        <v>0.37887883431119651</v>
      </c>
      <c r="D70" s="100">
        <f t="shared" ref="D70:P70" si="16">(D5+D8)/D5</f>
        <v>0.37922052394936662</v>
      </c>
      <c r="E70" s="100">
        <f t="shared" si="16"/>
        <v>0.37895713154312383</v>
      </c>
      <c r="F70" s="100">
        <f t="shared" si="16"/>
        <v>0.37921590948220801</v>
      </c>
      <c r="G70" s="101">
        <f t="shared" si="16"/>
        <v>0.3775372857740612</v>
      </c>
      <c r="H70" s="100">
        <f t="shared" si="16"/>
        <v>0.37767933499324408</v>
      </c>
      <c r="I70" s="100">
        <f t="shared" si="16"/>
        <v>0.37930843050910523</v>
      </c>
      <c r="J70" s="100">
        <f t="shared" si="16"/>
        <v>0.38391264933413077</v>
      </c>
      <c r="K70" s="100">
        <f t="shared" si="16"/>
        <v>0.38150731826655587</v>
      </c>
      <c r="L70" s="100">
        <f t="shared" si="16"/>
        <v>0.38130270629173874</v>
      </c>
      <c r="M70" s="100">
        <f t="shared" si="16"/>
        <v>0.39095713611575383</v>
      </c>
      <c r="N70" s="100">
        <f t="shared" si="16"/>
        <v>0.38300484673895296</v>
      </c>
      <c r="O70" s="102">
        <f t="shared" si="16"/>
        <v>0.38060816427669941</v>
      </c>
      <c r="P70" s="102">
        <f t="shared" si="16"/>
        <v>0.41767595559174137</v>
      </c>
      <c r="Q70" s="102">
        <f t="shared" ref="Q70:Q76" si="17">O70-P70</f>
        <v>-3.7067791315041954E-2</v>
      </c>
      <c r="R70" s="95"/>
      <c r="S70" s="105"/>
    </row>
    <row r="71" spans="1:19" ht="10.5" customHeight="1">
      <c r="A71" s="33">
        <v>3</v>
      </c>
      <c r="B71" s="34" t="s">
        <v>64</v>
      </c>
      <c r="C71" s="99">
        <f>(C6+C9)/C6</f>
        <v>9.9999999999999978E-2</v>
      </c>
      <c r="D71" s="100">
        <f t="shared" ref="D71:P71" si="18">(D6+D9)/D6</f>
        <v>9.9999999999999908E-2</v>
      </c>
      <c r="E71" s="100">
        <f t="shared" si="18"/>
        <v>9.9999999999999964E-2</v>
      </c>
      <c r="F71" s="100">
        <f t="shared" si="18"/>
        <v>9.9999999999999936E-2</v>
      </c>
      <c r="G71" s="101">
        <f t="shared" si="18"/>
        <v>0.10000000000000002</v>
      </c>
      <c r="H71" s="100">
        <f t="shared" si="18"/>
        <v>0.10000000000000002</v>
      </c>
      <c r="I71" s="100">
        <f t="shared" si="18"/>
        <v>9.9999999999999922E-2</v>
      </c>
      <c r="J71" s="100">
        <f t="shared" si="18"/>
        <v>0.10000000000000002</v>
      </c>
      <c r="K71" s="100">
        <f t="shared" si="18"/>
        <v>9.9999999999999936E-2</v>
      </c>
      <c r="L71" s="100">
        <f t="shared" si="18"/>
        <v>0.10000000000000002</v>
      </c>
      <c r="M71" s="100">
        <f t="shared" si="18"/>
        <v>0.1</v>
      </c>
      <c r="N71" s="100">
        <f t="shared" si="18"/>
        <v>9.9999999999999908E-2</v>
      </c>
      <c r="O71" s="102">
        <f t="shared" si="18"/>
        <v>9.9999999999999992E-2</v>
      </c>
      <c r="P71" s="102">
        <f t="shared" si="18"/>
        <v>-1.6027396216446075</v>
      </c>
      <c r="Q71" s="102">
        <f t="shared" si="17"/>
        <v>1.7027396216446076</v>
      </c>
      <c r="R71" s="95"/>
      <c r="S71" s="105"/>
    </row>
    <row r="72" spans="1:19" ht="10.5" customHeight="1">
      <c r="A72" s="33">
        <v>4</v>
      </c>
      <c r="B72" s="34" t="s">
        <v>65</v>
      </c>
      <c r="C72" s="99">
        <f>C32/C7</f>
        <v>-0.25141179124306606</v>
      </c>
      <c r="D72" s="100">
        <f t="shared" ref="D72:P72" si="19">D32/D7</f>
        <v>-0.24323654044457449</v>
      </c>
      <c r="E72" s="100">
        <f t="shared" si="19"/>
        <v>-0.26228062341377151</v>
      </c>
      <c r="F72" s="100">
        <f t="shared" si="19"/>
        <v>-0.254253018961905</v>
      </c>
      <c r="G72" s="101">
        <f t="shared" si="19"/>
        <v>-0.25388084384457915</v>
      </c>
      <c r="H72" s="100">
        <f t="shared" si="19"/>
        <v>-0.25746517054394341</v>
      </c>
      <c r="I72" s="100">
        <f t="shared" si="19"/>
        <v>-0.25707787567308493</v>
      </c>
      <c r="J72" s="100">
        <f t="shared" si="19"/>
        <v>-0.25487477360373328</v>
      </c>
      <c r="K72" s="100">
        <f t="shared" si="19"/>
        <v>-0.25772772176666453</v>
      </c>
      <c r="L72" s="100">
        <f t="shared" si="19"/>
        <v>-0.26036894571983715</v>
      </c>
      <c r="M72" s="100">
        <f t="shared" si="19"/>
        <v>-0.31661194593889952</v>
      </c>
      <c r="N72" s="100">
        <f t="shared" si="19"/>
        <v>-0.27868251889992784</v>
      </c>
      <c r="O72" s="102">
        <f t="shared" si="19"/>
        <v>-0.26050411664430551</v>
      </c>
      <c r="P72" s="102">
        <f t="shared" si="19"/>
        <v>-0.25911656462045396</v>
      </c>
      <c r="Q72" s="102">
        <f t="shared" si="17"/>
        <v>-1.387552023851546E-3</v>
      </c>
      <c r="R72" s="95"/>
      <c r="S72" s="105"/>
    </row>
    <row r="73" spans="1:19" ht="10.5" customHeight="1">
      <c r="A73" s="33">
        <v>5</v>
      </c>
      <c r="B73" s="34" t="s">
        <v>66</v>
      </c>
      <c r="C73" s="99">
        <f>C55/C7</f>
        <v>-2.7770658776354776E-2</v>
      </c>
      <c r="D73" s="100">
        <f t="shared" ref="D73:P73" si="20">D55/D7</f>
        <v>-2.9144968271679419E-2</v>
      </c>
      <c r="E73" s="100">
        <f t="shared" si="20"/>
        <v>-3.2958966050846E-2</v>
      </c>
      <c r="F73" s="100">
        <f t="shared" si="20"/>
        <v>-2.7929628507220906E-2</v>
      </c>
      <c r="G73" s="101">
        <f t="shared" si="20"/>
        <v>-2.7665586403074881E-2</v>
      </c>
      <c r="H73" s="100">
        <f t="shared" si="20"/>
        <v>-2.7531543679104334E-2</v>
      </c>
      <c r="I73" s="100">
        <f t="shared" si="20"/>
        <v>-2.7290945965357215E-2</v>
      </c>
      <c r="J73" s="100">
        <f t="shared" si="20"/>
        <v>-2.8973033954087752E-2</v>
      </c>
      <c r="K73" s="100">
        <f t="shared" si="20"/>
        <v>-2.930611443510367E-2</v>
      </c>
      <c r="L73" s="100">
        <f t="shared" si="20"/>
        <v>-3.3003809784803183E-2</v>
      </c>
      <c r="M73" s="100">
        <f t="shared" si="20"/>
        <v>-3.928422776013122E-2</v>
      </c>
      <c r="N73" s="100">
        <f t="shared" si="20"/>
        <v>-2.9136167235246636E-2</v>
      </c>
      <c r="O73" s="102">
        <f t="shared" si="20"/>
        <v>-2.9584878808110983E-2</v>
      </c>
      <c r="P73" s="102">
        <f t="shared" si="20"/>
        <v>-3.1671737124725409E-2</v>
      </c>
      <c r="Q73" s="102">
        <f t="shared" si="17"/>
        <v>2.0868583166144261E-3</v>
      </c>
      <c r="R73" s="95"/>
      <c r="S73" s="105"/>
    </row>
    <row r="74" spans="1:19" ht="10.5" customHeight="1">
      <c r="A74" s="33">
        <v>6</v>
      </c>
      <c r="B74" s="34" t="s">
        <v>67</v>
      </c>
      <c r="C74" s="99">
        <f>C56/C7</f>
        <v>9.4836450545331352E-2</v>
      </c>
      <c r="D74" s="100">
        <f t="shared" ref="D74:P74" si="21">D56/D7</f>
        <v>0.10172156982905281</v>
      </c>
      <c r="E74" s="100">
        <f t="shared" si="21"/>
        <v>7.9240683189937558E-2</v>
      </c>
      <c r="F74" s="100">
        <f t="shared" si="21"/>
        <v>9.1867316753040579E-2</v>
      </c>
      <c r="G74" s="101">
        <f t="shared" si="21"/>
        <v>9.2476566914398997E-2</v>
      </c>
      <c r="H74" s="100">
        <f t="shared" si="21"/>
        <v>8.9066363625134745E-2</v>
      </c>
      <c r="I74" s="100">
        <f t="shared" si="21"/>
        <v>9.0974113140833604E-2</v>
      </c>
      <c r="J74" s="100">
        <f t="shared" si="21"/>
        <v>9.5513141854702666E-2</v>
      </c>
      <c r="K74" s="100">
        <f t="shared" si="21"/>
        <v>8.9927181167522616E-2</v>
      </c>
      <c r="L74" s="100">
        <f t="shared" si="21"/>
        <v>8.2708859926868536E-2</v>
      </c>
      <c r="M74" s="100">
        <f t="shared" si="21"/>
        <v>3.0683077011718275E-2</v>
      </c>
      <c r="N74" s="100">
        <f t="shared" si="21"/>
        <v>7.050968223693517E-2</v>
      </c>
      <c r="O74" s="102">
        <f t="shared" si="21"/>
        <v>8.6028787835116721E-2</v>
      </c>
      <c r="P74" s="102">
        <f t="shared" si="21"/>
        <v>8.4614388393946735E-2</v>
      </c>
      <c r="Q74" s="102">
        <f t="shared" si="17"/>
        <v>1.4143994411699862E-3</v>
      </c>
      <c r="R74" s="95"/>
      <c r="S74" s="105"/>
    </row>
    <row r="75" spans="1:19" ht="10.5" customHeight="1">
      <c r="A75" s="33">
        <v>7</v>
      </c>
      <c r="B75" s="34" t="s">
        <v>68</v>
      </c>
      <c r="C75" s="99">
        <f>C64/C7</f>
        <v>8.6581955394010535E-2</v>
      </c>
      <c r="D75" s="100">
        <f t="shared" ref="D75:P75" si="22">D64/D7</f>
        <v>9.3080986934395246E-2</v>
      </c>
      <c r="E75" s="100">
        <f t="shared" si="22"/>
        <v>6.9007018805828629E-2</v>
      </c>
      <c r="F75" s="100">
        <f t="shared" si="22"/>
        <v>8.3277227801234074E-2</v>
      </c>
      <c r="G75" s="101">
        <f t="shared" si="22"/>
        <v>8.4218860533434664E-2</v>
      </c>
      <c r="H75" s="100">
        <f t="shared" si="22"/>
        <v>8.0309826455026656E-2</v>
      </c>
      <c r="I75" s="100">
        <f t="shared" si="22"/>
        <v>8.2308751786119225E-2</v>
      </c>
      <c r="J75" s="100">
        <f t="shared" si="22"/>
        <v>8.6329243304539144E-2</v>
      </c>
      <c r="K75" s="100">
        <f t="shared" si="22"/>
        <v>8.0653436992938199E-2</v>
      </c>
      <c r="L75" s="100">
        <f t="shared" si="22"/>
        <v>7.1968320873200639E-2</v>
      </c>
      <c r="M75" s="100">
        <f t="shared" si="22"/>
        <v>1.6612071188596127E-2</v>
      </c>
      <c r="N75" s="100">
        <f t="shared" si="22"/>
        <v>6.1329187917712337E-2</v>
      </c>
      <c r="O75" s="102">
        <f t="shared" si="22"/>
        <v>7.6730468530541468E-2</v>
      </c>
      <c r="P75" s="102">
        <f t="shared" si="22"/>
        <v>0.10703072400536971</v>
      </c>
      <c r="Q75" s="102">
        <f t="shared" si="17"/>
        <v>-3.0300255474828244E-2</v>
      </c>
      <c r="R75" s="95"/>
      <c r="S75" s="105"/>
    </row>
    <row r="76" spans="1:19" ht="10.5" customHeight="1">
      <c r="A76" s="33">
        <v>8</v>
      </c>
      <c r="B76" s="34" t="s">
        <v>69</v>
      </c>
      <c r="C76" s="99">
        <f>C66/C7</f>
        <v>6.5802286099448021E-2</v>
      </c>
      <c r="D76" s="100">
        <f t="shared" ref="D76:P76" si="23">D66/D7</f>
        <v>7.0741550070140394E-2</v>
      </c>
      <c r="E76" s="100">
        <f t="shared" si="23"/>
        <v>5.244533429242975E-2</v>
      </c>
      <c r="F76" s="100">
        <f t="shared" si="23"/>
        <v>6.3290693128937911E-2</v>
      </c>
      <c r="G76" s="101">
        <f t="shared" si="23"/>
        <v>6.4006334005410337E-2</v>
      </c>
      <c r="H76" s="100">
        <f t="shared" si="23"/>
        <v>6.1035468105820258E-2</v>
      </c>
      <c r="I76" s="100">
        <f t="shared" si="23"/>
        <v>6.2554651357450614E-2</v>
      </c>
      <c r="J76" s="100">
        <f t="shared" si="23"/>
        <v>6.5610224911449744E-2</v>
      </c>
      <c r="K76" s="100">
        <f t="shared" si="23"/>
        <v>6.1296612114633026E-2</v>
      </c>
      <c r="L76" s="100">
        <f t="shared" si="23"/>
        <v>5.4695923863632499E-2</v>
      </c>
      <c r="M76" s="100">
        <f t="shared" si="23"/>
        <v>1.2625174103333059E-2</v>
      </c>
      <c r="N76" s="100">
        <f t="shared" si="23"/>
        <v>4.6610182817461376E-2</v>
      </c>
      <c r="O76" s="102">
        <f t="shared" si="23"/>
        <v>5.8315156083211514E-2</v>
      </c>
      <c r="P76" s="102">
        <f t="shared" si="23"/>
        <v>9.6136497432267445E-2</v>
      </c>
      <c r="Q76" s="102">
        <f t="shared" si="17"/>
        <v>-3.7821341349055931E-2</v>
      </c>
      <c r="R76" s="97"/>
      <c r="S76" s="96" t="s">
        <v>71</v>
      </c>
    </row>
    <row r="77" spans="1:19" ht="3" customHeight="1"/>
    <row r="78" spans="1:19" ht="8.25" hidden="1" customHeight="1">
      <c r="B78" s="85" t="s">
        <v>70</v>
      </c>
      <c r="C78" s="86"/>
      <c r="D78" s="86"/>
    </row>
    <row r="79" spans="1:19" ht="9" hidden="1" customHeight="1">
      <c r="B79" s="82" t="s">
        <v>80</v>
      </c>
      <c r="C79" s="83"/>
      <c r="D79" s="84" t="s">
        <v>82</v>
      </c>
    </row>
    <row r="80" spans="1:19" ht="9" hidden="1" customHeight="1">
      <c r="B80" s="34" t="s">
        <v>19</v>
      </c>
      <c r="C80" s="79"/>
      <c r="D80" s="78" t="s">
        <v>83</v>
      </c>
    </row>
    <row r="81" spans="2:4" ht="9" hidden="1" customHeight="1">
      <c r="B81" s="34" t="s">
        <v>81</v>
      </c>
      <c r="C81" s="80"/>
      <c r="D81" s="78" t="s">
        <v>84</v>
      </c>
    </row>
    <row r="82" spans="2:4" ht="9" hidden="1" customHeight="1">
      <c r="B82" s="34" t="s">
        <v>77</v>
      </c>
      <c r="C82" s="81"/>
      <c r="D82" s="78" t="s">
        <v>85</v>
      </c>
    </row>
    <row r="83" spans="2:4" hidden="1"/>
    <row r="84" spans="2:4" hidden="1"/>
  </sheetData>
  <mergeCells count="1">
    <mergeCell ref="S69:S75"/>
  </mergeCells>
  <printOptions horizontalCentered="1" verticalCentered="1" gridLines="1"/>
  <pageMargins left="0.25" right="0.25" top="0.25" bottom="0.25" header="0.25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B81B</vt:lpstr>
      <vt:lpstr>B81B!Print_Area</vt:lpstr>
      <vt:lpstr>B81B!Print_Titles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ldlnb85</cp:lastModifiedBy>
  <cp:lastPrinted>2019-04-04T08:18:14Z</cp:lastPrinted>
  <dcterms:created xsi:type="dcterms:W3CDTF">2018-11-26T08:16:35Z</dcterms:created>
  <dcterms:modified xsi:type="dcterms:W3CDTF">2019-04-05T01:23:18Z</dcterms:modified>
</cp:coreProperties>
</file>